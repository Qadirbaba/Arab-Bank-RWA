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nfig" sheetId="2" state="visible" r:id="rId4"/>
    <sheet name="Entities" sheetId="3" state="visible" r:id="rId5"/>
    <sheet name="Risk Taxonomy" sheetId="4" state="visible" r:id="rId6"/>
    <sheet name="Factor Weights" sheetId="5" state="visible" r:id="rId7"/>
    <sheet name="Indicators" sheetId="6" state="visible" r:id="rId8"/>
    <sheet name="Indicator Data" sheetId="7" state="visible" r:id="rId9"/>
    <sheet name="Indicator Scores" sheetId="8" state="visible" r:id="rId10"/>
    <sheet name="FC Calculation" sheetId="9" state="visible" r:id="rId11"/>
    <sheet name="LxI Assessment" sheetId="10" state="visible" r:id="rId12"/>
    <sheet name="Inherent Summary" sheetId="11" state="visible" r:id="rId13"/>
    <sheet name="Dashboard" sheetId="12" state="visible" r:id="rId14"/>
    <sheet name="Checks" sheetId="13" state="visible" r:id="rId15"/>
  </sheets>
  <definedNames>
    <definedName function="false" hidden="true" localSheetId="8" name="_xlnm._FilterDatabase" vbProcedure="false">'FC Calculation'!$A$4:$W$214</definedName>
    <definedName function="false" hidden="true" localSheetId="9" name="_xlnm._FilterDatabase" vbProcedure="false">'LxI Assessment'!$A$4:$V$394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Bands from Scope Document §8.2: 1.00–1.80 Low, 1.81–2.60 Medium-Low, 2.61–3.40 Medium, 3.41–4.20 Medium-High, 4.21–5.00 High.</t>
        </r>
      </text>
    </comment>
    <comment ref="E5" authorId="0">
      <text>
        <r>
          <rPr>
            <sz val="10"/>
            <rFont val="Arial"/>
            <family val="2"/>
          </rPr>
          <t xml:space="preserve">Proposed default L×I mapping: 1–4 Low, 5–8 Medium-Low, 9–12 Medium, 13–19 Medium-High, 20–25 High. To be confirmed by the Methodology Working Group.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Used only by the build script to generate illustrative sample data. Not used in any calculation.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Example: 12.4 = 12.4% of active customers rated high risk. Enter percentages as numbers (12.4), not fractions.</t>
        </r>
      </text>
    </comment>
  </commentList>
</comments>
</file>

<file path=xl/sharedStrings.xml><?xml version="1.0" encoding="utf-8"?>
<sst xmlns="http://schemas.openxmlformats.org/spreadsheetml/2006/main" count="1583" uniqueCount="488">
  <si>
    <t xml:space="preserve">Arab Bank – EWRA Platform: Inherent Risk Rating Calculator</t>
  </si>
  <si>
    <t xml:space="preserve">Companion to the EWRA Platform Scope Document v1.0 (§7 taxonomy, §8 inherent risk methodology, §12 risk appetite). Classification: Confidential – Internal Use Only.</t>
  </si>
  <si>
    <t xml:space="preserve">Purpose</t>
  </si>
  <si>
    <t xml:space="preserve">Calculates the inherent risk rating (before controls) for all 20 Level-1 risks across 30 group entities, using the two methods in Scope Document §8: a factor-based model for financial-crime risks (FC-01 to FC-07) and a likelihood × impact model for regulatory and enterprise risks (RC-01 to ER-09).</t>
  </si>
  <si>
    <t xml:space="preserve">Status of data</t>
  </si>
  <si>
    <t xml:space="preserve">All entity data, indicator values and likelihood/impact scores are ILLUSTRATIVE SAMPLE DATA for design and testing. Entity names, tiers and thresholds are proposed defaults to be confirmed by Group Compliance and Group Risk during Discovery.</t>
  </si>
  <si>
    <t xml:space="preserve">Calculation flow</t>
  </si>
  <si>
    <t xml:space="preserve">1. Config sets scales, bands, aggregation method and LxI parameters.  2. Factor Weights sets the 5 factor weights per FC risk.  3. Indicators holds the indicator library, score thresholds and per-risk indicator weights.  4. Indicator Data holds raw values per entity.  5. Indicator Scores converts each value to a 1–5 score.  6. FC Calculation builds factor scores and the inherent score for 7 FC risks × 30 entities.  7. LxI Assessment scores 13 risks × 30 entities.  8. Inherent Summary, Dashboard and Checks consolidate and validate.</t>
  </si>
  <si>
    <t xml:space="preserve">Factor model</t>
  </si>
  <si>
    <t xml:space="preserve">Indicator score: 1 if below the 'Score 2 from' threshold, rising by one for each threshold met (max 5). Factor score = weighted average of indicator scores within the factor (indicator weights are relative, per risk; indicators with no data are excluded and the remainder reweighted, unless Config says otherwise). Inherent score = Σ factor weight × factor score, then the Config aggregation method is applied (weighted average, weighted with floor, or maximum).</t>
  </si>
  <si>
    <t xml:space="preserve">Floor rule</t>
  </si>
  <si>
    <t xml:space="preserve">With 'Weighted with floor', if any single factor scores at or above the trigger (default 5), the inherent score cannot be below the floor (default 4.00 = Medium-High). This stops one severe factor being averaged away.</t>
  </si>
  <si>
    <t xml:space="preserve">LxI model</t>
  </si>
  <si>
    <t xml:space="preserve">Impact = highest of the four impact dimensions (or weighted average, per Config). Inherent product = Likelihood × Impact (1–25), mapped to the 5-point scale using the L×I bands in Config. RC-04 Shariah applies only to entities flagged Islamic.</t>
  </si>
  <si>
    <t xml:space="preserve">Overrides</t>
  </si>
  <si>
    <t xml:space="preserve">A calculated rating may be moved by up to the Config maximum (default ±1 notch). The override applies only when 'HO approval' = Y, matching the maker-checker rule in Scope Document §8.4 and §13.4. Every override needs a justification.</t>
  </si>
  <si>
    <t xml:space="preserve">Colour legend</t>
  </si>
  <si>
    <t xml:space="preserve">Blue text on light-yellow fill = input you may edit.  Black text = formula, do not edit.  Green text = link to another sheet.  Rating colours: green Low, light green Medium-Low, yellow Medium, orange Medium-High, red High.</t>
  </si>
  <si>
    <t xml:space="preserve">Sheet</t>
  </si>
  <si>
    <t xml:space="preserve">What it holds</t>
  </si>
  <si>
    <t xml:space="preserve">Edit?</t>
  </si>
  <si>
    <t xml:space="preserve">Config</t>
  </si>
  <si>
    <t xml:space="preserve">Rating scale, score bands, aggregation method, missing-data rule, LxI parameters, override limit</t>
  </si>
  <si>
    <t xml:space="preserve">Yes – yellow cells</t>
  </si>
  <si>
    <t xml:space="preserve">Entities</t>
  </si>
  <si>
    <t xml:space="preserve">30 group entities with region, type, tier, Islamic flag and aggregation weight</t>
  </si>
  <si>
    <t xml:space="preserve">Risk Taxonomy</t>
  </si>
  <si>
    <t xml:space="preserve">20 Level-1 risks, domain, method, owner and appetite reference</t>
  </si>
  <si>
    <t xml:space="preserve">Reference</t>
  </si>
  <si>
    <t xml:space="preserve">Factor Weights</t>
  </si>
  <si>
    <t xml:space="preserve">Factor weights for the 7 financial-crime risks (each row must total 100%)</t>
  </si>
  <si>
    <t xml:space="preserve">Indicators</t>
  </si>
  <si>
    <t xml:space="preserve">31 indicators: factor, unit, source, direction, thresholds and relative weight per FC risk</t>
  </si>
  <si>
    <t xml:space="preserve">Indicator Data</t>
  </si>
  <si>
    <t xml:space="preserve">Raw indicator values for each entity (one column per entity)</t>
  </si>
  <si>
    <t xml:space="preserve">Indicator Scores</t>
  </si>
  <si>
    <t xml:space="preserve">1–5 score for every indicator and entity</t>
  </si>
  <si>
    <t xml:space="preserve">No – formulas</t>
  </si>
  <si>
    <t xml:space="preserve">FC Calculation</t>
  </si>
  <si>
    <t xml:space="preserve">Factor scores, inherent score and rating for 7 FC risks × 30 entities, with overrides</t>
  </si>
  <si>
    <t xml:space="preserve">Override columns only</t>
  </si>
  <si>
    <t xml:space="preserve">LxI Assessment</t>
  </si>
  <si>
    <t xml:space="preserve">Likelihood, impact dimensions, product and rating for 13 risks × 30 entities, with overrides</t>
  </si>
  <si>
    <t xml:space="preserve">Yellow cells</t>
  </si>
  <si>
    <t xml:space="preserve">Inherent Summary</t>
  </si>
  <si>
    <t xml:space="preserve">Heat map of final inherent rating: 30 entities × 20 risks, with group averages</t>
  </si>
  <si>
    <t xml:space="preserve">Dashboard</t>
  </si>
  <si>
    <t xml:space="preserve">Headline figures and charts of group inherent risk</t>
  </si>
  <si>
    <t xml:space="preserve">Checks</t>
  </si>
  <si>
    <t xml:space="preserve">Validation of weights, thresholds, coverage, inputs and overrides</t>
  </si>
  <si>
    <t xml:space="preserve">Configuration</t>
  </si>
  <si>
    <t xml:space="preserve">Head Office Administrator settings. Changes here flow through every calculation. Yellow cells are editable.</t>
  </si>
  <si>
    <t xml:space="preserve">1. Rating scale and score bands</t>
  </si>
  <si>
    <t xml:space="preserve">Lists (used by drop-downs)</t>
  </si>
  <si>
    <t xml:space="preserve">Score</t>
  </si>
  <si>
    <t xml:space="preserve">Rating</t>
  </si>
  <si>
    <t xml:space="preserve">Colour</t>
  </si>
  <si>
    <t xml:space="preserve">Factor model: inherent score from</t>
  </si>
  <si>
    <t xml:space="preserve">L×I model: product from</t>
  </si>
  <si>
    <t xml:space="preserve">Low</t>
  </si>
  <si>
    <t xml:space="preserve">Green</t>
  </si>
  <si>
    <t xml:space="preserve">Weighted average</t>
  </si>
  <si>
    <t xml:space="preserve">Medium-Low</t>
  </si>
  <si>
    <t xml:space="preserve">Light green</t>
  </si>
  <si>
    <t xml:space="preserve">Weighted with floor</t>
  </si>
  <si>
    <t xml:space="preserve">Medium</t>
  </si>
  <si>
    <t xml:space="preserve">Amber</t>
  </si>
  <si>
    <t xml:space="preserve">Maximum (worst-of)</t>
  </si>
  <si>
    <t xml:space="preserve">Medium-High</t>
  </si>
  <si>
    <t xml:space="preserve">Orange</t>
  </si>
  <si>
    <t xml:space="preserve">High</t>
  </si>
  <si>
    <t xml:space="preserve">Red</t>
  </si>
  <si>
    <t xml:space="preserve">Exclude and reweight</t>
  </si>
  <si>
    <t xml:space="preserve">Score as High (5)</t>
  </si>
  <si>
    <t xml:space="preserve">2. Factor model (FC-01 to FC-07)</t>
  </si>
  <si>
    <t xml:space="preserve">Aggregation method</t>
  </si>
  <si>
    <t xml:space="preserve">Weighted average | Weighted with floor | Maximum (worst-of). Scope Document §8.4.</t>
  </si>
  <si>
    <t xml:space="preserve">Highest dimension</t>
  </si>
  <si>
    <t xml:space="preserve">Floor trigger: any factor score at or above</t>
  </si>
  <si>
    <t xml:space="preserve">Used only with 'Weighted with floor'.</t>
  </si>
  <si>
    <t xml:space="preserve">Floor: minimum inherent score when triggered</t>
  </si>
  <si>
    <t xml:space="preserve">Default 4.00 = Medium-High.</t>
  </si>
  <si>
    <t xml:space="preserve">Missing indicator data</t>
  </si>
  <si>
    <t xml:space="preserve">Exclude and reweight | Score as High (5). Conservative option scores missing data as 5.</t>
  </si>
  <si>
    <t xml:space="preserve">Y</t>
  </si>
  <si>
    <t xml:space="preserve">N</t>
  </si>
  <si>
    <t xml:space="preserve">3. Likelihood × impact model (RC-01 to ER-09)</t>
  </si>
  <si>
    <t xml:space="preserve">Customer</t>
  </si>
  <si>
    <t xml:space="preserve">Impact aggregation</t>
  </si>
  <si>
    <t xml:space="preserve">Highest dimension | Weighted average. Scope Document §8.3 default is highest dimension.</t>
  </si>
  <si>
    <t xml:space="preserve">Geography</t>
  </si>
  <si>
    <t xml:space="preserve">Financial impact weight</t>
  </si>
  <si>
    <t xml:space="preserve">Products &amp; services</t>
  </si>
  <si>
    <t xml:space="preserve">Regulatory impact weight</t>
  </si>
  <si>
    <t xml:space="preserve">Delivery channels</t>
  </si>
  <si>
    <t xml:space="preserve">Reputational impact weight</t>
  </si>
  <si>
    <t xml:space="preserve">Transactions &amp; volumes</t>
  </si>
  <si>
    <t xml:space="preserve">Customer / operational impact weight</t>
  </si>
  <si>
    <t xml:space="preserve">Total (must be 100%)</t>
  </si>
  <si>
    <t xml:space="preserve">Used only with 'Weighted average'. Proposed default weights.</t>
  </si>
  <si>
    <t xml:space="preserve">Higher = riskier</t>
  </si>
  <si>
    <t xml:space="preserve">Lower = riskier</t>
  </si>
  <si>
    <t xml:space="preserve">4. Override governance</t>
  </si>
  <si>
    <t xml:space="preserve">Maximum override (notches)</t>
  </si>
  <si>
    <t xml:space="preserve">Scope Document §8.4: up to one notch, with justification and HO approval.</t>
  </si>
  <si>
    <t xml:space="preserve">Entity register (illustrative – confirm in Discovery)</t>
  </si>
  <si>
    <t xml:space="preserve">Per Scope Document §5.3–5.5. Aggregation weight drives the group weighted average (default: Tier 1 = 3, Tier 2 = 2, Tier 3 = 1).</t>
  </si>
  <si>
    <t xml:space="preserve">Entity code</t>
  </si>
  <si>
    <t xml:space="preserve">Entity</t>
  </si>
  <si>
    <t xml:space="preserve">Country</t>
  </si>
  <si>
    <t xml:space="preserve">Region</t>
  </si>
  <si>
    <t xml:space="preserve">Entity type</t>
  </si>
  <si>
    <t xml:space="preserve">Tier</t>
  </si>
  <si>
    <t xml:space="preserve">Islamic (Y/N)</t>
  </si>
  <si>
    <t xml:space="preserve">Profile (sample data only)</t>
  </si>
  <si>
    <t xml:space="preserve">Aggregation weight</t>
  </si>
  <si>
    <t xml:space="preserve">JO-HO</t>
  </si>
  <si>
    <t xml:space="preserve">Arab Bank plc – Jordan (HO and domestic network)</t>
  </si>
  <si>
    <t xml:space="preserve">Jordan</t>
  </si>
  <si>
    <t xml:space="preserve">Jordan (home)</t>
  </si>
  <si>
    <t xml:space="preserve">Head Office / branches</t>
  </si>
  <si>
    <t xml:space="preserve">Tier 1</t>
  </si>
  <si>
    <t xml:space="preserve">JO-IIAB</t>
  </si>
  <si>
    <t xml:space="preserve">Islamic International Arab Bank</t>
  </si>
  <si>
    <t xml:space="preserve">Subsidiary – Islamic bank</t>
  </si>
  <si>
    <t xml:space="preserve">JO-INV</t>
  </si>
  <si>
    <t xml:space="preserve">Al-Arabi Investment Group (AB Invest)</t>
  </si>
  <si>
    <t xml:space="preserve">Subsidiary – investment</t>
  </si>
  <si>
    <t xml:space="preserve">Tier 3</t>
  </si>
  <si>
    <t xml:space="preserve">JO-INS</t>
  </si>
  <si>
    <t xml:space="preserve">Insurance subsidiary – Jordan</t>
  </si>
  <si>
    <t xml:space="preserve">Subsidiary – insurance</t>
  </si>
  <si>
    <t xml:space="preserve">JO-LSG</t>
  </si>
  <si>
    <t xml:space="preserve">Leasing subsidiary – Jordan</t>
  </si>
  <si>
    <t xml:space="preserve">Subsidiary – leasing</t>
  </si>
  <si>
    <t xml:space="preserve">PS</t>
  </si>
  <si>
    <t xml:space="preserve">Arab Bank – Palestine</t>
  </si>
  <si>
    <t xml:space="preserve">Palestine</t>
  </si>
  <si>
    <t xml:space="preserve">Levant</t>
  </si>
  <si>
    <t xml:space="preserve">Foreign branch</t>
  </si>
  <si>
    <t xml:space="preserve">Higher</t>
  </si>
  <si>
    <t xml:space="preserve">PS-INV</t>
  </si>
  <si>
    <t xml:space="preserve">Al-Arabi Investment Group – Palestine</t>
  </si>
  <si>
    <t xml:space="preserve">LB</t>
  </si>
  <si>
    <t xml:space="preserve">Arab Bank – Lebanon</t>
  </si>
  <si>
    <t xml:space="preserve">Lebanon</t>
  </si>
  <si>
    <t xml:space="preserve">Tier 2</t>
  </si>
  <si>
    <t xml:space="preserve">SY</t>
  </si>
  <si>
    <t xml:space="preserve">Arab Bank – Syria</t>
  </si>
  <si>
    <t xml:space="preserve">Syria</t>
  </si>
  <si>
    <t xml:space="preserve">Subsidiary – bank</t>
  </si>
  <si>
    <t xml:space="preserve">AE</t>
  </si>
  <si>
    <t xml:space="preserve">Arab Bank – UAE</t>
  </si>
  <si>
    <t xml:space="preserve">UAE</t>
  </si>
  <si>
    <t xml:space="preserve">GCC</t>
  </si>
  <si>
    <t xml:space="preserve">BH</t>
  </si>
  <si>
    <t xml:space="preserve">Arab Bank – Bahrain</t>
  </si>
  <si>
    <t xml:space="preserve">Bahrain</t>
  </si>
  <si>
    <t xml:space="preserve">QA</t>
  </si>
  <si>
    <t xml:space="preserve">Arab Bank – Qatar</t>
  </si>
  <si>
    <t xml:space="preserve">Qatar</t>
  </si>
  <si>
    <t xml:space="preserve">SA</t>
  </si>
  <si>
    <t xml:space="preserve">Arab National Bank (affiliate)</t>
  </si>
  <si>
    <t xml:space="preserve">Saudi Arabia</t>
  </si>
  <si>
    <t xml:space="preserve">Affiliate</t>
  </si>
  <si>
    <t xml:space="preserve">OM</t>
  </si>
  <si>
    <t xml:space="preserve">Oman Arab Bank (affiliate)</t>
  </si>
  <si>
    <t xml:space="preserve">Oman</t>
  </si>
  <si>
    <t xml:space="preserve">IQ</t>
  </si>
  <si>
    <t xml:space="preserve">Arab Bank Iraq</t>
  </si>
  <si>
    <t xml:space="preserve">Iraq</t>
  </si>
  <si>
    <t xml:space="preserve">Iraq and Yemen</t>
  </si>
  <si>
    <t xml:space="preserve">YE</t>
  </si>
  <si>
    <t xml:space="preserve">Arab Bank – Yemen</t>
  </si>
  <si>
    <t xml:space="preserve">Yemen</t>
  </si>
  <si>
    <t xml:space="preserve">EG</t>
  </si>
  <si>
    <t xml:space="preserve">Arab Bank – Egypt</t>
  </si>
  <si>
    <t xml:space="preserve">Egypt</t>
  </si>
  <si>
    <t xml:space="preserve">North Africa</t>
  </si>
  <si>
    <t xml:space="preserve">DZ</t>
  </si>
  <si>
    <t xml:space="preserve">Arab Bank – Algeria</t>
  </si>
  <si>
    <t xml:space="preserve">Algeria</t>
  </si>
  <si>
    <t xml:space="preserve">MA</t>
  </si>
  <si>
    <t xml:space="preserve">Arab Bank – Morocco</t>
  </si>
  <si>
    <t xml:space="preserve">Morocco</t>
  </si>
  <si>
    <t xml:space="preserve">TN</t>
  </si>
  <si>
    <t xml:space="preserve">Arab Tunisian Bank</t>
  </si>
  <si>
    <t xml:space="preserve">Tunisia</t>
  </si>
  <si>
    <t xml:space="preserve">SD</t>
  </si>
  <si>
    <t xml:space="preserve">Arab Sudanese Bank</t>
  </si>
  <si>
    <t xml:space="preserve">Sudan</t>
  </si>
  <si>
    <t xml:space="preserve">GB</t>
  </si>
  <si>
    <t xml:space="preserve">Europe Arab Bank – United Kingdom</t>
  </si>
  <si>
    <t xml:space="preserve">United Kingdom</t>
  </si>
  <si>
    <t xml:space="preserve">Europe</t>
  </si>
  <si>
    <t xml:space="preserve">Lower</t>
  </si>
  <si>
    <t xml:space="preserve">FR</t>
  </si>
  <si>
    <t xml:space="preserve">Arab Bank – France</t>
  </si>
  <si>
    <t xml:space="preserve">France</t>
  </si>
  <si>
    <t xml:space="preserve">DE</t>
  </si>
  <si>
    <t xml:space="preserve">Arab Bank – Germany</t>
  </si>
  <si>
    <t xml:space="preserve">Germany</t>
  </si>
  <si>
    <t xml:space="preserve">IT</t>
  </si>
  <si>
    <t xml:space="preserve">Arab Bank – Italy</t>
  </si>
  <si>
    <t xml:space="preserve">Italy</t>
  </si>
  <si>
    <t xml:space="preserve">CH</t>
  </si>
  <si>
    <t xml:space="preserve">Arab Bank (Switzerland) – sister company</t>
  </si>
  <si>
    <t xml:space="preserve">Switzerland</t>
  </si>
  <si>
    <t xml:space="preserve">Sister company</t>
  </si>
  <si>
    <t xml:space="preserve">SG</t>
  </si>
  <si>
    <t xml:space="preserve">Arab Bank – Singapore</t>
  </si>
  <si>
    <t xml:space="preserve">Singapore</t>
  </si>
  <si>
    <t xml:space="preserve">Asia-Pacific</t>
  </si>
  <si>
    <t xml:space="preserve">CN</t>
  </si>
  <si>
    <t xml:space="preserve">Arab Bank – China</t>
  </si>
  <si>
    <t xml:space="preserve">China</t>
  </si>
  <si>
    <t xml:space="preserve">AU</t>
  </si>
  <si>
    <t xml:space="preserve">Arab Bank Australia</t>
  </si>
  <si>
    <t xml:space="preserve">Australia</t>
  </si>
  <si>
    <t xml:space="preserve">US</t>
  </si>
  <si>
    <t xml:space="preserve">Arab Bank – United States (if retained)</t>
  </si>
  <si>
    <t xml:space="preserve">United States</t>
  </si>
  <si>
    <t xml:space="preserve">Americas</t>
  </si>
  <si>
    <t xml:space="preserve">Level-1 risk taxonomy</t>
  </si>
  <si>
    <t xml:space="preserve">Scope Document §7 (taxonomy) and §12 (appetite). Appetite applies to residual risk and is shown here for reference.</t>
  </si>
  <si>
    <t xml:space="preserve">Code</t>
  </si>
  <si>
    <t xml:space="preserve">Level-1 risk</t>
  </si>
  <si>
    <t xml:space="preserve">Domain</t>
  </si>
  <si>
    <t xml:space="preserve">Inherent method</t>
  </si>
  <si>
    <t xml:space="preserve">Group owner</t>
  </si>
  <si>
    <t xml:space="preserve">Applies to</t>
  </si>
  <si>
    <t xml:space="preserve">Appetite level</t>
  </si>
  <si>
    <t xml:space="preserve">Max acceptable residual rating</t>
  </si>
  <si>
    <t xml:space="preserve">FC-01</t>
  </si>
  <si>
    <t xml:space="preserve">Money laundering</t>
  </si>
  <si>
    <t xml:space="preserve">A – Financial crime</t>
  </si>
  <si>
    <t xml:space="preserve">Factor-based</t>
  </si>
  <si>
    <t xml:space="preserve">Group MLRO</t>
  </si>
  <si>
    <t xml:space="preserve">All entities</t>
  </si>
  <si>
    <t xml:space="preserve">Very low</t>
  </si>
  <si>
    <t xml:space="preserve">FC-02</t>
  </si>
  <si>
    <t xml:space="preserve">Terrorist financing</t>
  </si>
  <si>
    <t xml:space="preserve">Zero tolerance</t>
  </si>
  <si>
    <t xml:space="preserve">FC-03</t>
  </si>
  <si>
    <t xml:space="preserve">Proliferation financing</t>
  </si>
  <si>
    <t xml:space="preserve">FC-04</t>
  </si>
  <si>
    <t xml:space="preserve">Sanctions</t>
  </si>
  <si>
    <t xml:space="preserve">Head of Group Sanctions</t>
  </si>
  <si>
    <t xml:space="preserve">FC-05</t>
  </si>
  <si>
    <t xml:space="preserve">Bribery and corruption</t>
  </si>
  <si>
    <t xml:space="preserve">Group CCO</t>
  </si>
  <si>
    <t xml:space="preserve">FC-06</t>
  </si>
  <si>
    <t xml:space="preserve">Fraud</t>
  </si>
  <si>
    <t xml:space="preserve">Head of Fraud Risk</t>
  </si>
  <si>
    <t xml:space="preserve">FC-07</t>
  </si>
  <si>
    <t xml:space="preserve">Tax evasion and tax transparency</t>
  </si>
  <si>
    <t xml:space="preserve">Zero tolerance (facilitation)</t>
  </si>
  <si>
    <t xml:space="preserve">RC-01</t>
  </si>
  <si>
    <t xml:space="preserve">Regulatory compliance</t>
  </si>
  <si>
    <t xml:space="preserve">B – Regulatory and conduct</t>
  </si>
  <si>
    <t xml:space="preserve">Likelihood × impact</t>
  </si>
  <si>
    <t xml:space="preserve">RC-02</t>
  </si>
  <si>
    <t xml:space="preserve">Conduct and consumer protection</t>
  </si>
  <si>
    <t xml:space="preserve">RC-03</t>
  </si>
  <si>
    <t xml:space="preserve">Data protection and privacy</t>
  </si>
  <si>
    <t xml:space="preserve">Group DPO</t>
  </si>
  <si>
    <t xml:space="preserve">RC-04</t>
  </si>
  <si>
    <t xml:space="preserve">Shariah non-compliance</t>
  </si>
  <si>
    <t xml:space="preserve">Shariah Supervisory Board Secretary</t>
  </si>
  <si>
    <t xml:space="preserve">Islamic entities only</t>
  </si>
  <si>
    <t xml:space="preserve">ER-01</t>
  </si>
  <si>
    <t xml:space="preserve">Credit risk</t>
  </si>
  <si>
    <t xml:space="preserve">C – Enterprise</t>
  </si>
  <si>
    <t xml:space="preserve">Group CRO</t>
  </si>
  <si>
    <t xml:space="preserve">Moderate</t>
  </si>
  <si>
    <t xml:space="preserve">ER-02</t>
  </si>
  <si>
    <t xml:space="preserve">Market risk</t>
  </si>
  <si>
    <t xml:space="preserve">ER-03</t>
  </si>
  <si>
    <t xml:space="preserve">Liquidity and funding risk</t>
  </si>
  <si>
    <t xml:space="preserve">Group Treasurer / CRO</t>
  </si>
  <si>
    <t xml:space="preserve">ER-04</t>
  </si>
  <si>
    <t xml:space="preserve">Operational risk</t>
  </si>
  <si>
    <t xml:space="preserve">Head of Operational Risk</t>
  </si>
  <si>
    <t xml:space="preserve">ER-05</t>
  </si>
  <si>
    <t xml:space="preserve">Cyber, information security and technology</t>
  </si>
  <si>
    <t xml:space="preserve">Group CISO / CIO</t>
  </si>
  <si>
    <t xml:space="preserve">ER-06</t>
  </si>
  <si>
    <t xml:space="preserve">Third-party and outsourcing</t>
  </si>
  <si>
    <t xml:space="preserve">Head of Procurement / ORM</t>
  </si>
  <si>
    <t xml:space="preserve">ER-07</t>
  </si>
  <si>
    <t xml:space="preserve">Legal and litigation</t>
  </si>
  <si>
    <t xml:space="preserve">Group General Counsel</t>
  </si>
  <si>
    <t xml:space="preserve">ER-08</t>
  </si>
  <si>
    <t xml:space="preserve">Reputational</t>
  </si>
  <si>
    <t xml:space="preserve">Group Head of Corporate Communications</t>
  </si>
  <si>
    <t xml:space="preserve">ER-09</t>
  </si>
  <si>
    <t xml:space="preserve">Strategic, business model and ESG</t>
  </si>
  <si>
    <t xml:space="preserve">Group Head of Strategy / Sustainability</t>
  </si>
  <si>
    <t xml:space="preserve">Factor weights – financial-crime risks</t>
  </si>
  <si>
    <t xml:space="preserve">Scope Document §8.2. Each row must total 100%; the ML row is the documented default, other rows are proposed defaults.</t>
  </si>
  <si>
    <t xml:space="preserve">Risk</t>
  </si>
  <si>
    <t xml:space="preserve">Total</t>
  </si>
  <si>
    <t xml:space="preserve">Check</t>
  </si>
  <si>
    <t xml:space="preserve">Indicator library, scoring thresholds and per-risk weights</t>
  </si>
  <si>
    <t xml:space="preserve">Score = 1 below 'Score 2 from', +1 for each threshold met. For 'Lower = riskier' enter thresholds in descending order. Weights are relative within each factor (0 = not used for that risk).</t>
  </si>
  <si>
    <t xml:space="preserve">ID</t>
  </si>
  <si>
    <t xml:space="preserve">Risk factor</t>
  </si>
  <si>
    <t xml:space="preserve">Indicator</t>
  </si>
  <si>
    <t xml:space="preserve">Unit</t>
  </si>
  <si>
    <t xml:space="preserve">Data source</t>
  </si>
  <si>
    <t xml:space="preserve">Direction</t>
  </si>
  <si>
    <t xml:space="preserve">Score 2 from</t>
  </si>
  <si>
    <t xml:space="preserve">Score 3 from</t>
  </si>
  <si>
    <t xml:space="preserve">Score 4 from</t>
  </si>
  <si>
    <t xml:space="preserve">Score 5 from</t>
  </si>
  <si>
    <t xml:space="preserve">Weight FC-01</t>
  </si>
  <si>
    <t xml:space="preserve">Weight FC-02</t>
  </si>
  <si>
    <t xml:space="preserve">Weight FC-03</t>
  </si>
  <si>
    <t xml:space="preserve">Weight FC-04</t>
  </si>
  <si>
    <t xml:space="preserve">Weight FC-05</t>
  </si>
  <si>
    <t xml:space="preserve">Weight FC-06</t>
  </si>
  <si>
    <t xml:space="preserve">Weight FC-07</t>
  </si>
  <si>
    <t xml:space="preserve">Thresholds ordered?</t>
  </si>
  <si>
    <t xml:space="preserve">C01</t>
  </si>
  <si>
    <t xml:space="preserve">% of customers rated high risk (CRR)</t>
  </si>
  <si>
    <t xml:space="preserve">%</t>
  </si>
  <si>
    <t xml:space="preserve">KYC / CRR system</t>
  </si>
  <si>
    <t xml:space="preserve">C02</t>
  </si>
  <si>
    <t xml:space="preserve">PEP relationships per 10,000 customers</t>
  </si>
  <si>
    <t xml:space="preserve">count</t>
  </si>
  <si>
    <t xml:space="preserve">C03</t>
  </si>
  <si>
    <t xml:space="preserve">% of customers that are NPOs / charities</t>
  </si>
  <si>
    <t xml:space="preserve">C04</t>
  </si>
  <si>
    <t xml:space="preserve">% non-resident customers</t>
  </si>
  <si>
    <t xml:space="preserve">Core banking</t>
  </si>
  <si>
    <t xml:space="preserve">C05</t>
  </si>
  <si>
    <t xml:space="preserve">% corporate customers with complex or opaque ownership</t>
  </si>
  <si>
    <t xml:space="preserve">C06</t>
  </si>
  <si>
    <t xml:space="preserve">% customers in cash-intensive businesses</t>
  </si>
  <si>
    <t xml:space="preserve">C07</t>
  </si>
  <si>
    <t xml:space="preserve">% customers that are government bodies or SOEs</t>
  </si>
  <si>
    <t xml:space="preserve">G01</t>
  </si>
  <si>
    <t xml:space="preserve">% cross-border value with FATF high-risk / increased-monitoring jurisdictions</t>
  </si>
  <si>
    <t xml:space="preserve">Payments / TM system</t>
  </si>
  <si>
    <t xml:space="preserve">G02</t>
  </si>
  <si>
    <t xml:space="preserve">% payment value involving sanctioned or high sanctions-risk jurisdictions</t>
  </si>
  <si>
    <t xml:space="preserve">Screening / payments</t>
  </si>
  <si>
    <t xml:space="preserve">G03</t>
  </si>
  <si>
    <t xml:space="preserve">Host-country national ML/TF risk (NRA-based, 1–5)</t>
  </si>
  <si>
    <t xml:space="preserve">score 1–5</t>
  </si>
  <si>
    <t xml:space="preserve">Reference data (HO)</t>
  </si>
  <si>
    <t xml:space="preserve">G04</t>
  </si>
  <si>
    <t xml:space="preserve">Host-country corruption risk (CPI-based, 1–5)</t>
  </si>
  <si>
    <t xml:space="preserve">G05</t>
  </si>
  <si>
    <t xml:space="preserve">% branches in border, free-zone or conflict-affected areas</t>
  </si>
  <si>
    <t xml:space="preserve">Branch register</t>
  </si>
  <si>
    <t xml:space="preserve">G06</t>
  </si>
  <si>
    <t xml:space="preserve">% non-resident customers from non-CRS jurisdictions</t>
  </si>
  <si>
    <t xml:space="preserve">KYC / tax system</t>
  </si>
  <si>
    <t xml:space="preserve">P01</t>
  </si>
  <si>
    <t xml:space="preserve">Trade finance volume (% of total assets)</t>
  </si>
  <si>
    <t xml:space="preserve">Trade finance system</t>
  </si>
  <si>
    <t xml:space="preserve">P02</t>
  </si>
  <si>
    <t xml:space="preserve">Number of respondent (correspondent) bank relationships</t>
  </si>
  <si>
    <t xml:space="preserve">FI relationship system</t>
  </si>
  <si>
    <t xml:space="preserve">P03</t>
  </si>
  <si>
    <t xml:space="preserve">Private banking / wealth AUM (% of deposits)</t>
  </si>
  <si>
    <t xml:space="preserve">Wealth platform</t>
  </si>
  <si>
    <t xml:space="preserve">P04</t>
  </si>
  <si>
    <t xml:space="preserve">Prepaid / stored-value cards (% of cards issued)</t>
  </si>
  <si>
    <t xml:space="preserve">Cards system</t>
  </si>
  <si>
    <t xml:space="preserve">P05</t>
  </si>
  <si>
    <t xml:space="preserve">Dual-use or strategic goods (% of trade transactions)</t>
  </si>
  <si>
    <t xml:space="preserve">P06</t>
  </si>
  <si>
    <t xml:space="preserve">Higher-risk product exposure: bearer, safe deposit, virtual assets (1–5)</t>
  </si>
  <si>
    <t xml:space="preserve">Product catalogue</t>
  </si>
  <si>
    <t xml:space="preserve">D01</t>
  </si>
  <si>
    <t xml:space="preserve">% accounts opened non-face-to-face</t>
  </si>
  <si>
    <t xml:space="preserve">Digital banking</t>
  </si>
  <si>
    <t xml:space="preserve">D02</t>
  </si>
  <si>
    <t xml:space="preserve">% customers introduced via agents or intermediaries</t>
  </si>
  <si>
    <t xml:space="preserve">CRM</t>
  </si>
  <si>
    <t xml:space="preserve">D03</t>
  </si>
  <si>
    <t xml:space="preserve">Real-time / digital payments (% of payment value)</t>
  </si>
  <si>
    <t xml:space="preserve">Payments</t>
  </si>
  <si>
    <t xml:space="preserve">D04</t>
  </si>
  <si>
    <t xml:space="preserve">Cash deposit machines and ATMs per branch</t>
  </si>
  <si>
    <t xml:space="preserve">Channel MIS</t>
  </si>
  <si>
    <t xml:space="preserve">D05</t>
  </si>
  <si>
    <t xml:space="preserve">Third parties with public-official contact acting for the bank</t>
  </si>
  <si>
    <t xml:space="preserve">Procurement register</t>
  </si>
  <si>
    <t xml:space="preserve">T01</t>
  </si>
  <si>
    <t xml:space="preserve">Cash deposits (% of total deposit inflows)</t>
  </si>
  <si>
    <t xml:space="preserve">T02</t>
  </si>
  <si>
    <t xml:space="preserve">Cross-border wires per month ('000)</t>
  </si>
  <si>
    <t xml:space="preserve">count ('000)</t>
  </si>
  <si>
    <t xml:space="preserve">Payments / SWIFT</t>
  </si>
  <si>
    <t xml:space="preserve">T03</t>
  </si>
  <si>
    <t xml:space="preserve">Transactions above USD 1m per month</t>
  </si>
  <si>
    <t xml:space="preserve">T04</t>
  </si>
  <si>
    <t xml:space="preserve">TM alerts per 1,000 customers per month</t>
  </si>
  <si>
    <t xml:space="preserve">AML TM system</t>
  </si>
  <si>
    <t xml:space="preserve">T05</t>
  </si>
  <si>
    <t xml:space="preserve">STRs filed per 10,000 customers per year</t>
  </si>
  <si>
    <t xml:space="preserve">Compliance case system</t>
  </si>
  <si>
    <t xml:space="preserve">T06</t>
  </si>
  <si>
    <t xml:space="preserve">Fraud cases per 10,000 customers per year</t>
  </si>
  <si>
    <t xml:space="preserve">Fraud system</t>
  </si>
  <si>
    <t xml:space="preserve">T07</t>
  </si>
  <si>
    <t xml:space="preserve">FATCA/CRS reportable accounts (% of accounts)</t>
  </si>
  <si>
    <t xml:space="preserve">Tax reporting system</t>
  </si>
  <si>
    <t xml:space="preserve">Raw indicator values by entity (ILLUSTRATIVE SAMPLE DATA)</t>
  </si>
  <si>
    <t xml:space="preserve">Replace with values from source systems or Country CO submissions for the assessment period. Leave a cell blank if data is unavailable; Config decides how blanks are treated.</t>
  </si>
  <si>
    <t xml:space="preserve">Indicator scores (1–5) by entity</t>
  </si>
  <si>
    <t xml:space="preserve">Formula sheet – do not edit. A '-' means no data and the indicator is excluded (when Config = Exclude and reweight).</t>
  </si>
  <si>
    <t xml:space="preserve">Inherent risk – factor-based model (FC-01 to FC-07)</t>
  </si>
  <si>
    <t xml:space="preserve">One row per entity and risk. Factor score = weighted average of that factor's indicator scores using the risk's indicator weights. Edit only the yellow override columns.</t>
  </si>
  <si>
    <t xml:space="preserve">Risk code</t>
  </si>
  <si>
    <t xml:space="preserve">Weighted score</t>
  </si>
  <si>
    <t xml:space="preserve">Highest factor</t>
  </si>
  <si>
    <t xml:space="preserve">Floor-adjusted score</t>
  </si>
  <si>
    <t xml:space="preserve">Calculated inherent score</t>
  </si>
  <si>
    <t xml:space="preserve">Calculated rating (1–5)</t>
  </si>
  <si>
    <t xml:space="preserve">Calculated rating</t>
  </si>
  <si>
    <t xml:space="preserve">Override (notches)</t>
  </si>
  <si>
    <t xml:space="preserve">Override justification</t>
  </si>
  <si>
    <t xml:space="preserve">HO approval (Y/N)</t>
  </si>
  <si>
    <t xml:space="preserve">Final score (1–5)</t>
  </si>
  <si>
    <t xml:space="preserve">Final rating</t>
  </si>
  <si>
    <t xml:space="preserve">Override status</t>
  </si>
  <si>
    <t xml:space="preserve">Data completeness</t>
  </si>
  <si>
    <t xml:space="preserve">Re-export hub exposure not captured by indicators; aligns with host NRA.</t>
  </si>
  <si>
    <t xml:space="preserve">Proposed: correspondent book reduced 40% after period end.</t>
  </si>
  <si>
    <t xml:space="preserve">Inherent risk – likelihood × impact model (RC-01 to ER-09)</t>
  </si>
  <si>
    <t xml:space="preserve">Scores 1–5 per Scope Document §8.3 definitions. Impact = highest dimension by default. ILLUSTRATIVE SAMPLE SCORES – replace with entity assessments.</t>
  </si>
  <si>
    <t xml:space="preserve">Applicable</t>
  </si>
  <si>
    <t xml:space="preserve">Likelihood (1–5)</t>
  </si>
  <si>
    <t xml:space="preserve">Impact: financial</t>
  </si>
  <si>
    <t xml:space="preserve">Impact: regulatory</t>
  </si>
  <si>
    <t xml:space="preserve">Impact: reputational</t>
  </si>
  <si>
    <t xml:space="preserve">Impact: customer / operational</t>
  </si>
  <si>
    <t xml:space="preserve">Impact (aggregated)</t>
  </si>
  <si>
    <t xml:space="preserve">L × I (1–25)</t>
  </si>
  <si>
    <t xml:space="preserve">Basis for assessment</t>
  </si>
  <si>
    <t xml:space="preserve">Example: two regulatory findings open from 2025 inspection; licence conditions under review.</t>
  </si>
  <si>
    <t xml:space="preserve">Capital controls and trapped liquidity not reflected in standard impact scale.</t>
  </si>
  <si>
    <t xml:space="preserve">Inherent risk heat map – final ratings (1 = Low … 5 = High)</t>
  </si>
  <si>
    <t xml:space="preserve">Final scores after approved overrides. Blank = not assessed or no data; N/A = risk not applicable to the entity.</t>
  </si>
  <si>
    <t xml:space="preserve">Highest</t>
  </si>
  <si>
    <t xml:space="preserve">Average</t>
  </si>
  <si>
    <t xml:space="preserve"># High</t>
  </si>
  <si>
    <t xml:space="preserve"># Medium-High</t>
  </si>
  <si>
    <t xml:space="preserve">Highest rating</t>
  </si>
  <si>
    <t xml:space="preserve">Group simple average</t>
  </si>
  <si>
    <t xml:space="preserve">Group weighted average (Entities weight)</t>
  </si>
  <si>
    <t xml:space="preserve">Group weighted rating</t>
  </si>
  <si>
    <t xml:space="preserve">Entities rated High (5)</t>
  </si>
  <si>
    <t xml:space="preserve">Entities rated Medium-High (4)</t>
  </si>
  <si>
    <t xml:space="preserve">Group inherent risk dashboard</t>
  </si>
  <si>
    <t xml:space="preserve">All figures are formulas over the Inherent Summary and calculation sheets.</t>
  </si>
  <si>
    <t xml:space="preserve">Entities in register</t>
  </si>
  <si>
    <t xml:space="preserve">Entity-risk ratings: High (5)</t>
  </si>
  <si>
    <t xml:space="preserve">Entity-risk ratings: Medium-High (4)</t>
  </si>
  <si>
    <t xml:space="preserve">Group weighted average inherent score (all risks)</t>
  </si>
  <si>
    <t xml:space="preserve">Overrides pending HO approval</t>
  </si>
  <si>
    <t xml:space="preserve">Overrides applied</t>
  </si>
  <si>
    <t xml:space="preserve">Workbook checks</t>
  </si>
  <si>
    <t xml:space="preserve">Group weighted avg</t>
  </si>
  <si>
    <t xml:space="preserve">Low (1)</t>
  </si>
  <si>
    <t xml:space="preserve">Medium-Low (2)</t>
  </si>
  <si>
    <t xml:space="preserve">Medium (3)</t>
  </si>
  <si>
    <t xml:space="preserve">Medium-High (4)</t>
  </si>
  <si>
    <t xml:space="preserve">High (5)</t>
  </si>
  <si>
    <t xml:space="preserve">Every check should read OK before results are submitted to Head Office.</t>
  </si>
  <si>
    <t xml:space="preserve">Overall status</t>
  </si>
  <si>
    <t xml:space="preserve">#</t>
  </si>
  <si>
    <t xml:space="preserve">Result</t>
  </si>
  <si>
    <t xml:space="preserve">Detail</t>
  </si>
  <si>
    <t xml:space="preserve">Factor weights total 100% for every FC risk</t>
  </si>
  <si>
    <t xml:space="preserve">Indicator thresholds in the right order</t>
  </si>
  <si>
    <t xml:space="preserve">Every weighted factor has at least one weighted indicator</t>
  </si>
  <si>
    <t xml:space="preserve">LxI impact weights total 100%</t>
  </si>
  <si>
    <t xml:space="preserve">Rating band lower bounds ascending</t>
  </si>
  <si>
    <t xml:space="preserve">Missing indicator values</t>
  </si>
  <si>
    <t xml:space="preserve">FC rows with no data</t>
  </si>
  <si>
    <t xml:space="preserve">Applicable LxI rows not yet assessed</t>
  </si>
  <si>
    <t xml:space="preserve">Overrides without justification</t>
  </si>
  <si>
    <t xml:space="preserve">Indicator coverage grid (number of indicators with weight &gt; 0 for each FC risk and factor)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</si>
</sst>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0"/>
    <numFmt numFmtId="167" formatCode="0%"/>
    <numFmt numFmtId="168" formatCode="0.0"/>
    <numFmt numFmtId="169" formatCode="#,##0.##"/>
    <numFmt numFmtId="170" formatCode="#,##0.00"/>
    <numFmt numFmtId="171" formatCode="0;\-0;\-"/>
    <numFmt numFmtId="172" formatCode="0.00;\-0.00;\-"/>
    <numFmt numFmtId="173" formatCode="\+0;\-0;0"/>
    <numFmt numFmtId="174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9F9F9"/>
      </patternFill>
    </fill>
    <fill>
      <patternFill patternType="solid">
        <fgColor rgb="FF63BE7B"/>
        <bgColor rgb="FF339966"/>
      </patternFill>
    </fill>
    <fill>
      <patternFill patternType="solid">
        <fgColor rgb="FFC6E0B4"/>
        <bgColor rgb="FFD9D9D9"/>
      </patternFill>
    </fill>
    <fill>
      <patternFill patternType="solid">
        <fgColor rgb="FFFFEB84"/>
        <bgColor rgb="FFFFF2CC"/>
      </patternFill>
    </fill>
    <fill>
      <patternFill patternType="solid">
        <fgColor rgb="FFF4B183"/>
        <bgColor rgb="FFFF99CC"/>
      </patternFill>
    </fill>
    <fill>
      <patternFill patternType="solid">
        <fgColor rgb="FFF8696B"/>
        <bgColor rgb="FFFF6600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3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>
          <bgColor rgb="FF63BE7B"/>
        </patternFill>
      </fill>
    </dxf>
    <dxf>
      <fill>
        <patternFill>
          <bgColor rgb="FFC6E0B4"/>
        </patternFill>
      </fill>
    </dxf>
    <dxf>
      <fill>
        <patternFill>
          <bgColor rgb="FFFFEB84"/>
        </patternFill>
      </fill>
    </dxf>
    <dxf>
      <fill>
        <patternFill>
          <bgColor rgb="FFF4B183"/>
        </patternFill>
      </fill>
    </dxf>
    <dxf>
      <fill>
        <patternFill>
          <bgColor rgb="FFF8696B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9E1F2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0B4"/>
      <rgbColor rgb="FFFFEB84"/>
      <rgbColor rgb="FF99CCFF"/>
      <rgbColor rgb="FFFF99CC"/>
      <rgbColor rgb="FFCC99FF"/>
      <rgbColor rgb="FFF4B183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Group weighted average inherent score by risk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Dashboard!C13</c:f>
              <c:strCache>
                <c:ptCount val="1"/>
                <c:pt idx="0">
                  <c:v>Group weighted avg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Dashboard!$A$14:$A$33</c:f>
              <c:strCache>
                <c:ptCount val="20"/>
                <c:pt idx="0">
                  <c:v>FC-01</c:v>
                </c:pt>
                <c:pt idx="1">
                  <c:v>FC-02</c:v>
                </c:pt>
                <c:pt idx="2">
                  <c:v>FC-03</c:v>
                </c:pt>
                <c:pt idx="3">
                  <c:v>FC-04</c:v>
                </c:pt>
                <c:pt idx="4">
                  <c:v>FC-05</c:v>
                </c:pt>
                <c:pt idx="5">
                  <c:v>FC-06</c:v>
                </c:pt>
                <c:pt idx="6">
                  <c:v>FC-07</c:v>
                </c:pt>
                <c:pt idx="7">
                  <c:v>RC-01</c:v>
                </c:pt>
                <c:pt idx="8">
                  <c:v>RC-02</c:v>
                </c:pt>
                <c:pt idx="9">
                  <c:v>RC-03</c:v>
                </c:pt>
                <c:pt idx="10">
                  <c:v>RC-04</c:v>
                </c:pt>
                <c:pt idx="11">
                  <c:v>ER-01</c:v>
                </c:pt>
                <c:pt idx="12">
                  <c:v>ER-02</c:v>
                </c:pt>
                <c:pt idx="13">
                  <c:v>ER-03</c:v>
                </c:pt>
                <c:pt idx="14">
                  <c:v>ER-04</c:v>
                </c:pt>
                <c:pt idx="15">
                  <c:v>ER-05</c:v>
                </c:pt>
                <c:pt idx="16">
                  <c:v>ER-06</c:v>
                </c:pt>
                <c:pt idx="17">
                  <c:v>ER-07</c:v>
                </c:pt>
                <c:pt idx="18">
                  <c:v>ER-08</c:v>
                </c:pt>
                <c:pt idx="19">
                  <c:v>ER-09</c:v>
                </c:pt>
              </c:strCache>
            </c:strRef>
          </c:cat>
          <c:val>
            <c:numRef>
              <c:f>Dashboard!$C$14:$C$33</c:f>
              <c:numCache>
                <c:formatCode>0.00</c:formatCode>
                <c:ptCount val="20"/>
                <c:pt idx="0">
                  <c:v>2.75</c:v>
                </c:pt>
                <c:pt idx="1">
                  <c:v>2.67857142857143</c:v>
                </c:pt>
                <c:pt idx="2">
                  <c:v>2.66071428571429</c:v>
                </c:pt>
                <c:pt idx="3">
                  <c:v>2.75</c:v>
                </c:pt>
                <c:pt idx="4">
                  <c:v>2.71428571428571</c:v>
                </c:pt>
                <c:pt idx="5">
                  <c:v>2.75</c:v>
                </c:pt>
                <c:pt idx="6">
                  <c:v>2.78571428571429</c:v>
                </c:pt>
                <c:pt idx="7">
                  <c:v>3.21428571428571</c:v>
                </c:pt>
                <c:pt idx="8">
                  <c:v>2.73214285714286</c:v>
                </c:pt>
                <c:pt idx="9">
                  <c:v>2.80357142857143</c:v>
                </c:pt>
                <c:pt idx="10">
                  <c:v>2</c:v>
                </c:pt>
                <c:pt idx="11">
                  <c:v>3.07142857142857</c:v>
                </c:pt>
                <c:pt idx="12">
                  <c:v>2.83928571428571</c:v>
                </c:pt>
                <c:pt idx="13">
                  <c:v>2.98214285714286</c:v>
                </c:pt>
                <c:pt idx="14">
                  <c:v>3.05357142857143</c:v>
                </c:pt>
                <c:pt idx="15">
                  <c:v>3.16071428571429</c:v>
                </c:pt>
                <c:pt idx="16">
                  <c:v>2.82142857142857</c:v>
                </c:pt>
                <c:pt idx="17">
                  <c:v>2.44642857142857</c:v>
                </c:pt>
                <c:pt idx="18">
                  <c:v>2.98214285714286</c:v>
                </c:pt>
                <c:pt idx="19">
                  <c:v>2.69642857142857</c:v>
                </c:pt>
              </c:numCache>
            </c:numRef>
          </c:val>
        </c:ser>
        <c:gapWidth val="40"/>
        <c:overlap val="0"/>
        <c:axId val="97073121"/>
        <c:axId val="81632370"/>
      </c:barChart>
      <c:catAx>
        <c:axId val="9707312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632370"/>
        <c:crosses val="autoZero"/>
        <c:auto val="1"/>
        <c:lblAlgn val="ctr"/>
        <c:lblOffset val="100"/>
        <c:noMultiLvlLbl val="0"/>
      </c:catAx>
      <c:valAx>
        <c:axId val="81632370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 (1–5)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73121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entity ratings by risk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Dashboard!D13</c:f>
              <c:strCache>
                <c:ptCount val="1"/>
                <c:pt idx="0">
                  <c:v>Low (1)</c:v>
                </c:pt>
              </c:strCache>
            </c:strRef>
          </c:tx>
          <c:spPr>
            <a:solidFill>
              <a:srgbClr val="63be7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Dashboard!$A$14:$A$33</c:f>
              <c:strCache>
                <c:ptCount val="20"/>
                <c:pt idx="0">
                  <c:v>FC-01</c:v>
                </c:pt>
                <c:pt idx="1">
                  <c:v>FC-02</c:v>
                </c:pt>
                <c:pt idx="2">
                  <c:v>FC-03</c:v>
                </c:pt>
                <c:pt idx="3">
                  <c:v>FC-04</c:v>
                </c:pt>
                <c:pt idx="4">
                  <c:v>FC-05</c:v>
                </c:pt>
                <c:pt idx="5">
                  <c:v>FC-06</c:v>
                </c:pt>
                <c:pt idx="6">
                  <c:v>FC-07</c:v>
                </c:pt>
                <c:pt idx="7">
                  <c:v>RC-01</c:v>
                </c:pt>
                <c:pt idx="8">
                  <c:v>RC-02</c:v>
                </c:pt>
                <c:pt idx="9">
                  <c:v>RC-03</c:v>
                </c:pt>
                <c:pt idx="10">
                  <c:v>RC-04</c:v>
                </c:pt>
                <c:pt idx="11">
                  <c:v>ER-01</c:v>
                </c:pt>
                <c:pt idx="12">
                  <c:v>ER-02</c:v>
                </c:pt>
                <c:pt idx="13">
                  <c:v>ER-03</c:v>
                </c:pt>
                <c:pt idx="14">
                  <c:v>ER-04</c:v>
                </c:pt>
                <c:pt idx="15">
                  <c:v>ER-05</c:v>
                </c:pt>
                <c:pt idx="16">
                  <c:v>ER-06</c:v>
                </c:pt>
                <c:pt idx="17">
                  <c:v>ER-07</c:v>
                </c:pt>
                <c:pt idx="18">
                  <c:v>ER-08</c:v>
                </c:pt>
                <c:pt idx="19">
                  <c:v>ER-09</c:v>
                </c:pt>
              </c:strCache>
            </c:strRef>
          </c:cat>
          <c:val>
            <c:numRef>
              <c:f>Dashboard!$D$14:$D$33</c:f>
              <c:numCache>
                <c:formatCode>0</c:formatCode>
                <c:ptCount val="20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0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1</c:v>
                </c:pt>
                <c:pt idx="19">
                  <c:v>6</c:v>
                </c:pt>
              </c:numCache>
            </c:numRef>
          </c:val>
        </c:ser>
        <c:ser>
          <c:idx val="1"/>
          <c:order val="1"/>
          <c:tx>
            <c:strRef>
              <c:f>Dashboard!E13</c:f>
              <c:strCache>
                <c:ptCount val="1"/>
                <c:pt idx="0">
                  <c:v>Medium-Low (2)</c:v>
                </c:pt>
              </c:strCache>
            </c:strRef>
          </c:tx>
          <c:spPr>
            <a:solidFill>
              <a:srgbClr val="c6e0b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Dashboard!$A$14:$A$33</c:f>
              <c:strCache>
                <c:ptCount val="20"/>
                <c:pt idx="0">
                  <c:v>FC-01</c:v>
                </c:pt>
                <c:pt idx="1">
                  <c:v>FC-02</c:v>
                </c:pt>
                <c:pt idx="2">
                  <c:v>FC-03</c:v>
                </c:pt>
                <c:pt idx="3">
                  <c:v>FC-04</c:v>
                </c:pt>
                <c:pt idx="4">
                  <c:v>FC-05</c:v>
                </c:pt>
                <c:pt idx="5">
                  <c:v>FC-06</c:v>
                </c:pt>
                <c:pt idx="6">
                  <c:v>FC-07</c:v>
                </c:pt>
                <c:pt idx="7">
                  <c:v>RC-01</c:v>
                </c:pt>
                <c:pt idx="8">
                  <c:v>RC-02</c:v>
                </c:pt>
                <c:pt idx="9">
                  <c:v>RC-03</c:v>
                </c:pt>
                <c:pt idx="10">
                  <c:v>RC-04</c:v>
                </c:pt>
                <c:pt idx="11">
                  <c:v>ER-01</c:v>
                </c:pt>
                <c:pt idx="12">
                  <c:v>ER-02</c:v>
                </c:pt>
                <c:pt idx="13">
                  <c:v>ER-03</c:v>
                </c:pt>
                <c:pt idx="14">
                  <c:v>ER-04</c:v>
                </c:pt>
                <c:pt idx="15">
                  <c:v>ER-05</c:v>
                </c:pt>
                <c:pt idx="16">
                  <c:v>ER-06</c:v>
                </c:pt>
                <c:pt idx="17">
                  <c:v>ER-07</c:v>
                </c:pt>
                <c:pt idx="18">
                  <c:v>ER-08</c:v>
                </c:pt>
                <c:pt idx="19">
                  <c:v>ER-09</c:v>
                </c:pt>
              </c:strCache>
            </c:strRef>
          </c:cat>
          <c:val>
            <c:numRef>
              <c:f>Dashboard!$E$14:$E$33</c:f>
              <c:numCache>
                <c:formatCode>0</c:formatCode>
                <c:ptCount val="20"/>
                <c:pt idx="0">
                  <c:v>6</c:v>
                </c:pt>
                <c:pt idx="1">
                  <c:v>7</c:v>
                </c:pt>
                <c:pt idx="2">
                  <c:v>9</c:v>
                </c:pt>
                <c:pt idx="3">
                  <c:v>7</c:v>
                </c:pt>
                <c:pt idx="4">
                  <c:v>9</c:v>
                </c:pt>
                <c:pt idx="5">
                  <c:v>8</c:v>
                </c:pt>
                <c:pt idx="6">
                  <c:v>6</c:v>
                </c:pt>
                <c:pt idx="7">
                  <c:v>3</c:v>
                </c:pt>
                <c:pt idx="8">
                  <c:v>6</c:v>
                </c:pt>
                <c:pt idx="9">
                  <c:v>8</c:v>
                </c:pt>
                <c:pt idx="10">
                  <c:v>1</c:v>
                </c:pt>
                <c:pt idx="11">
                  <c:v>7</c:v>
                </c:pt>
                <c:pt idx="12">
                  <c:v>9</c:v>
                </c:pt>
                <c:pt idx="13">
                  <c:v>8</c:v>
                </c:pt>
                <c:pt idx="14">
                  <c:v>6</c:v>
                </c:pt>
                <c:pt idx="15">
                  <c:v>2</c:v>
                </c:pt>
                <c:pt idx="16">
                  <c:v>5</c:v>
                </c:pt>
                <c:pt idx="17">
                  <c:v>9</c:v>
                </c:pt>
                <c:pt idx="18">
                  <c:v>10</c:v>
                </c:pt>
                <c:pt idx="19">
                  <c:v>9</c:v>
                </c:pt>
              </c:numCache>
            </c:numRef>
          </c:val>
        </c:ser>
        <c:ser>
          <c:idx val="2"/>
          <c:order val="2"/>
          <c:tx>
            <c:strRef>
              <c:f>Dashboard!F13</c:f>
              <c:strCache>
                <c:ptCount val="1"/>
                <c:pt idx="0">
                  <c:v>Medium (3)</c:v>
                </c:pt>
              </c:strCache>
            </c:strRef>
          </c:tx>
          <c:spPr>
            <a:solidFill>
              <a:srgbClr val="ffeb8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Dashboard!$A$14:$A$33</c:f>
              <c:strCache>
                <c:ptCount val="20"/>
                <c:pt idx="0">
                  <c:v>FC-01</c:v>
                </c:pt>
                <c:pt idx="1">
                  <c:v>FC-02</c:v>
                </c:pt>
                <c:pt idx="2">
                  <c:v>FC-03</c:v>
                </c:pt>
                <c:pt idx="3">
                  <c:v>FC-04</c:v>
                </c:pt>
                <c:pt idx="4">
                  <c:v>FC-05</c:v>
                </c:pt>
                <c:pt idx="5">
                  <c:v>FC-06</c:v>
                </c:pt>
                <c:pt idx="6">
                  <c:v>FC-07</c:v>
                </c:pt>
                <c:pt idx="7">
                  <c:v>RC-01</c:v>
                </c:pt>
                <c:pt idx="8">
                  <c:v>RC-02</c:v>
                </c:pt>
                <c:pt idx="9">
                  <c:v>RC-03</c:v>
                </c:pt>
                <c:pt idx="10">
                  <c:v>RC-04</c:v>
                </c:pt>
                <c:pt idx="11">
                  <c:v>ER-01</c:v>
                </c:pt>
                <c:pt idx="12">
                  <c:v>ER-02</c:v>
                </c:pt>
                <c:pt idx="13">
                  <c:v>ER-03</c:v>
                </c:pt>
                <c:pt idx="14">
                  <c:v>ER-04</c:v>
                </c:pt>
                <c:pt idx="15">
                  <c:v>ER-05</c:v>
                </c:pt>
                <c:pt idx="16">
                  <c:v>ER-06</c:v>
                </c:pt>
                <c:pt idx="17">
                  <c:v>ER-07</c:v>
                </c:pt>
                <c:pt idx="18">
                  <c:v>ER-08</c:v>
                </c:pt>
                <c:pt idx="19">
                  <c:v>ER-09</c:v>
                </c:pt>
              </c:strCache>
            </c:strRef>
          </c:cat>
          <c:val>
            <c:numRef>
              <c:f>Dashboard!$F$14:$F$33</c:f>
              <c:numCache>
                <c:formatCode>0</c:formatCode>
                <c:ptCount val="20"/>
                <c:pt idx="0">
                  <c:v>12</c:v>
                </c:pt>
                <c:pt idx="1">
                  <c:v>11</c:v>
                </c:pt>
                <c:pt idx="2">
                  <c:v>11</c:v>
                </c:pt>
                <c:pt idx="3">
                  <c:v>13</c:v>
                </c:pt>
                <c:pt idx="4">
                  <c:v>10</c:v>
                </c:pt>
                <c:pt idx="5">
                  <c:v>12</c:v>
                </c:pt>
                <c:pt idx="6">
                  <c:v>13</c:v>
                </c:pt>
                <c:pt idx="7">
                  <c:v>11</c:v>
                </c:pt>
                <c:pt idx="8">
                  <c:v>13</c:v>
                </c:pt>
                <c:pt idx="9">
                  <c:v>8</c:v>
                </c:pt>
                <c:pt idx="10">
                  <c:v>0</c:v>
                </c:pt>
                <c:pt idx="11">
                  <c:v>9</c:v>
                </c:pt>
                <c:pt idx="12">
                  <c:v>11</c:v>
                </c:pt>
                <c:pt idx="13">
                  <c:v>11</c:v>
                </c:pt>
                <c:pt idx="14">
                  <c:v>13</c:v>
                </c:pt>
                <c:pt idx="15">
                  <c:v>13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8</c:v>
                </c:pt>
              </c:numCache>
            </c:numRef>
          </c:val>
        </c:ser>
        <c:ser>
          <c:idx val="3"/>
          <c:order val="3"/>
          <c:tx>
            <c:strRef>
              <c:f>Dashboard!G13</c:f>
              <c:strCache>
                <c:ptCount val="1"/>
                <c:pt idx="0">
                  <c:v>Medium-High (4)</c:v>
                </c:pt>
              </c:strCache>
            </c:strRef>
          </c:tx>
          <c:spPr>
            <a:solidFill>
              <a:srgbClr val="f4b18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Dashboard!$A$14:$A$33</c:f>
              <c:strCache>
                <c:ptCount val="20"/>
                <c:pt idx="0">
                  <c:v>FC-01</c:v>
                </c:pt>
                <c:pt idx="1">
                  <c:v>FC-02</c:v>
                </c:pt>
                <c:pt idx="2">
                  <c:v>FC-03</c:v>
                </c:pt>
                <c:pt idx="3">
                  <c:v>FC-04</c:v>
                </c:pt>
                <c:pt idx="4">
                  <c:v>FC-05</c:v>
                </c:pt>
                <c:pt idx="5">
                  <c:v>FC-06</c:v>
                </c:pt>
                <c:pt idx="6">
                  <c:v>FC-07</c:v>
                </c:pt>
                <c:pt idx="7">
                  <c:v>RC-01</c:v>
                </c:pt>
                <c:pt idx="8">
                  <c:v>RC-02</c:v>
                </c:pt>
                <c:pt idx="9">
                  <c:v>RC-03</c:v>
                </c:pt>
                <c:pt idx="10">
                  <c:v>RC-04</c:v>
                </c:pt>
                <c:pt idx="11">
                  <c:v>ER-01</c:v>
                </c:pt>
                <c:pt idx="12">
                  <c:v>ER-02</c:v>
                </c:pt>
                <c:pt idx="13">
                  <c:v>ER-03</c:v>
                </c:pt>
                <c:pt idx="14">
                  <c:v>ER-04</c:v>
                </c:pt>
                <c:pt idx="15">
                  <c:v>ER-05</c:v>
                </c:pt>
                <c:pt idx="16">
                  <c:v>ER-06</c:v>
                </c:pt>
                <c:pt idx="17">
                  <c:v>ER-07</c:v>
                </c:pt>
                <c:pt idx="18">
                  <c:v>ER-08</c:v>
                </c:pt>
                <c:pt idx="19">
                  <c:v>ER-09</c:v>
                </c:pt>
              </c:strCache>
            </c:strRef>
          </c:cat>
          <c:val>
            <c:numRef>
              <c:f>Dashboard!$G$14:$G$33</c:f>
              <c:numCache>
                <c:formatCode>0</c:formatCode>
                <c:ptCount val="20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5</c:v>
                </c:pt>
                <c:pt idx="6">
                  <c:v>7</c:v>
                </c:pt>
                <c:pt idx="7">
                  <c:v>3</c:v>
                </c:pt>
                <c:pt idx="8">
                  <c:v>2</c:v>
                </c:pt>
                <c:pt idx="9">
                  <c:v>6</c:v>
                </c:pt>
                <c:pt idx="10">
                  <c:v>0</c:v>
                </c:pt>
                <c:pt idx="11">
                  <c:v>6</c:v>
                </c:pt>
                <c:pt idx="12">
                  <c:v>5</c:v>
                </c:pt>
                <c:pt idx="13">
                  <c:v>3</c:v>
                </c:pt>
                <c:pt idx="14">
                  <c:v>6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7</c:v>
                </c:pt>
                <c:pt idx="19">
                  <c:v>3</c:v>
                </c:pt>
              </c:numCache>
            </c:numRef>
          </c:val>
        </c:ser>
        <c:ser>
          <c:idx val="4"/>
          <c:order val="4"/>
          <c:tx>
            <c:strRef>
              <c:f>Dashboard!H13</c:f>
              <c:strCache>
                <c:ptCount val="1"/>
                <c:pt idx="0">
                  <c:v>High (5)</c:v>
                </c:pt>
              </c:strCache>
            </c:strRef>
          </c:tx>
          <c:spPr>
            <a:solidFill>
              <a:srgbClr val="f869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Dashboard!$A$14:$A$33</c:f>
              <c:strCache>
                <c:ptCount val="20"/>
                <c:pt idx="0">
                  <c:v>FC-01</c:v>
                </c:pt>
                <c:pt idx="1">
                  <c:v>FC-02</c:v>
                </c:pt>
                <c:pt idx="2">
                  <c:v>FC-03</c:v>
                </c:pt>
                <c:pt idx="3">
                  <c:v>FC-04</c:v>
                </c:pt>
                <c:pt idx="4">
                  <c:v>FC-05</c:v>
                </c:pt>
                <c:pt idx="5">
                  <c:v>FC-06</c:v>
                </c:pt>
                <c:pt idx="6">
                  <c:v>FC-07</c:v>
                </c:pt>
                <c:pt idx="7">
                  <c:v>RC-01</c:v>
                </c:pt>
                <c:pt idx="8">
                  <c:v>RC-02</c:v>
                </c:pt>
                <c:pt idx="9">
                  <c:v>RC-03</c:v>
                </c:pt>
                <c:pt idx="10">
                  <c:v>RC-04</c:v>
                </c:pt>
                <c:pt idx="11">
                  <c:v>ER-01</c:v>
                </c:pt>
                <c:pt idx="12">
                  <c:v>ER-02</c:v>
                </c:pt>
                <c:pt idx="13">
                  <c:v>ER-03</c:v>
                </c:pt>
                <c:pt idx="14">
                  <c:v>ER-04</c:v>
                </c:pt>
                <c:pt idx="15">
                  <c:v>ER-05</c:v>
                </c:pt>
                <c:pt idx="16">
                  <c:v>ER-06</c:v>
                </c:pt>
                <c:pt idx="17">
                  <c:v>ER-07</c:v>
                </c:pt>
                <c:pt idx="18">
                  <c:v>ER-08</c:v>
                </c:pt>
                <c:pt idx="19">
                  <c:v>ER-09</c:v>
                </c:pt>
              </c:strCache>
            </c:strRef>
          </c:cat>
          <c:val>
            <c:numRef>
              <c:f>Dashboard!$H$14:$H$33</c:f>
              <c:numCache>
                <c:formatCode>0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8</c:v>
                </c:pt>
                <c:pt idx="8">
                  <c:v>3</c:v>
                </c:pt>
                <c:pt idx="9">
                  <c:v>3</c:v>
                </c:pt>
                <c:pt idx="10">
                  <c:v>0</c:v>
                </c:pt>
                <c:pt idx="11">
                  <c:v>5</c:v>
                </c:pt>
                <c:pt idx="12">
                  <c:v>2</c:v>
                </c:pt>
                <c:pt idx="13">
                  <c:v>5</c:v>
                </c:pt>
                <c:pt idx="14">
                  <c:v>3</c:v>
                </c:pt>
                <c:pt idx="15">
                  <c:v>6</c:v>
                </c:pt>
                <c:pt idx="16">
                  <c:v>4</c:v>
                </c:pt>
                <c:pt idx="17">
                  <c:v>1</c:v>
                </c:pt>
                <c:pt idx="18">
                  <c:v>2</c:v>
                </c:pt>
                <c:pt idx="19">
                  <c:v>4</c:v>
                </c:pt>
              </c:numCache>
            </c:numRef>
          </c:val>
        </c:ser>
        <c:gapWidth val="40"/>
        <c:overlap val="100"/>
        <c:axId val="2380771"/>
        <c:axId val="38643507"/>
      </c:barChart>
      <c:catAx>
        <c:axId val="238077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43507"/>
        <c:crosses val="autoZero"/>
        <c:auto val="1"/>
        <c:lblAlgn val="ctr"/>
        <c:lblOffset val="100"/>
        <c:noMultiLvlLbl val="0"/>
      </c:catAx>
      <c:valAx>
        <c:axId val="386435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entities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80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160560</xdr:rowOff>
    </xdr:from>
    <xdr:to>
      <xdr:col>19</xdr:col>
      <xdr:colOff>364680</xdr:colOff>
      <xdr:row>25</xdr:row>
      <xdr:rowOff>77760</xdr:rowOff>
    </xdr:to>
    <xdr:graphicFrame>
      <xdr:nvGraphicFramePr>
        <xdr:cNvPr id="0" name="Chart 1"/>
        <xdr:cNvGraphicFramePr/>
      </xdr:nvGraphicFramePr>
      <xdr:xfrm>
        <a:off x="11959560" y="380880"/>
        <a:ext cx="64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28</xdr:row>
      <xdr:rowOff>160560</xdr:rowOff>
    </xdr:from>
    <xdr:to>
      <xdr:col>19</xdr:col>
      <xdr:colOff>364680</xdr:colOff>
      <xdr:row>53</xdr:row>
      <xdr:rowOff>77760</xdr:rowOff>
    </xdr:to>
    <xdr:graphicFrame>
      <xdr:nvGraphicFramePr>
        <xdr:cNvPr id="1" name="Chart 2"/>
        <xdr:cNvGraphicFramePr/>
      </xdr:nvGraphicFramePr>
      <xdr:xfrm>
        <a:off x="11959560" y="5715000"/>
        <a:ext cx="64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60" hidden="false" customHeight="true" outlineLevel="0" collapsed="false">
      <c r="A4" s="3" t="s">
        <v>2</v>
      </c>
      <c r="B4" s="4" t="s">
        <v>3</v>
      </c>
    </row>
    <row r="5" customFormat="false" ht="45" hidden="false" customHeight="true" outlineLevel="0" collapsed="false">
      <c r="A5" s="3" t="s">
        <v>4</v>
      </c>
      <c r="B5" s="4" t="s">
        <v>5</v>
      </c>
    </row>
    <row r="6" customFormat="false" ht="90" hidden="false" customHeight="true" outlineLevel="0" collapsed="false">
      <c r="A6" s="3" t="s">
        <v>6</v>
      </c>
      <c r="B6" s="4" t="s">
        <v>7</v>
      </c>
    </row>
    <row r="7" customFormat="false" ht="75" hidden="false" customHeight="true" outlineLevel="0" collapsed="false">
      <c r="A7" s="3" t="s">
        <v>8</v>
      </c>
      <c r="B7" s="4" t="s">
        <v>9</v>
      </c>
    </row>
    <row r="8" customFormat="false" ht="45" hidden="false" customHeight="true" outlineLevel="0" collapsed="false">
      <c r="A8" s="3" t="s">
        <v>10</v>
      </c>
      <c r="B8" s="4" t="s">
        <v>11</v>
      </c>
    </row>
    <row r="9" customFormat="false" ht="45" hidden="false" customHeight="true" outlineLevel="0" collapsed="false">
      <c r="A9" s="3" t="s">
        <v>12</v>
      </c>
      <c r="B9" s="4" t="s">
        <v>13</v>
      </c>
    </row>
    <row r="10" customFormat="false" ht="45" hidden="false" customHeight="true" outlineLevel="0" collapsed="false">
      <c r="A10" s="3" t="s">
        <v>14</v>
      </c>
      <c r="B10" s="4" t="s">
        <v>15</v>
      </c>
    </row>
    <row r="11" customFormat="false" ht="45" hidden="false" customHeight="true" outlineLevel="0" collapsed="false">
      <c r="A11" s="3" t="s">
        <v>16</v>
      </c>
      <c r="B11" s="4" t="s">
        <v>17</v>
      </c>
    </row>
    <row r="13" customFormat="false" ht="15" hidden="false" customHeight="false" outlineLevel="0" collapsed="false">
      <c r="A13" s="5" t="s">
        <v>18</v>
      </c>
      <c r="B13" s="5" t="s">
        <v>19</v>
      </c>
      <c r="C13" s="5" t="s">
        <v>20</v>
      </c>
    </row>
    <row r="14" customFormat="false" ht="15" hidden="false" customHeight="false" outlineLevel="0" collapsed="false">
      <c r="A14" s="4" t="s">
        <v>21</v>
      </c>
      <c r="B14" s="4" t="s">
        <v>22</v>
      </c>
      <c r="C14" s="4" t="s">
        <v>23</v>
      </c>
    </row>
    <row r="15" customFormat="false" ht="15" hidden="false" customHeight="false" outlineLevel="0" collapsed="false">
      <c r="A15" s="4" t="s">
        <v>24</v>
      </c>
      <c r="B15" s="4" t="s">
        <v>25</v>
      </c>
      <c r="C15" s="4" t="s">
        <v>23</v>
      </c>
    </row>
    <row r="16" customFormat="false" ht="15" hidden="false" customHeight="false" outlineLevel="0" collapsed="false">
      <c r="A16" s="4" t="s">
        <v>26</v>
      </c>
      <c r="B16" s="4" t="s">
        <v>27</v>
      </c>
      <c r="C16" s="4" t="s">
        <v>28</v>
      </c>
    </row>
    <row r="17" customFormat="false" ht="15" hidden="false" customHeight="false" outlineLevel="0" collapsed="false">
      <c r="A17" s="4" t="s">
        <v>29</v>
      </c>
      <c r="B17" s="4" t="s">
        <v>30</v>
      </c>
      <c r="C17" s="4" t="s">
        <v>23</v>
      </c>
    </row>
    <row r="18" customFormat="false" ht="15" hidden="false" customHeight="false" outlineLevel="0" collapsed="false">
      <c r="A18" s="4" t="s">
        <v>31</v>
      </c>
      <c r="B18" s="4" t="s">
        <v>32</v>
      </c>
      <c r="C18" s="4" t="s">
        <v>23</v>
      </c>
    </row>
    <row r="19" customFormat="false" ht="15" hidden="false" customHeight="false" outlineLevel="0" collapsed="false">
      <c r="A19" s="4" t="s">
        <v>33</v>
      </c>
      <c r="B19" s="4" t="s">
        <v>34</v>
      </c>
      <c r="C19" s="4" t="s">
        <v>23</v>
      </c>
    </row>
    <row r="20" customFormat="false" ht="15" hidden="false" customHeight="false" outlineLevel="0" collapsed="false">
      <c r="A20" s="4" t="s">
        <v>35</v>
      </c>
      <c r="B20" s="4" t="s">
        <v>36</v>
      </c>
      <c r="C20" s="4" t="s">
        <v>37</v>
      </c>
    </row>
    <row r="21" customFormat="false" ht="15" hidden="false" customHeight="false" outlineLevel="0" collapsed="false">
      <c r="A21" s="4" t="s">
        <v>38</v>
      </c>
      <c r="B21" s="4" t="s">
        <v>39</v>
      </c>
      <c r="C21" s="4" t="s">
        <v>40</v>
      </c>
    </row>
    <row r="22" customFormat="false" ht="15" hidden="false" customHeight="false" outlineLevel="0" collapsed="false">
      <c r="A22" s="4" t="s">
        <v>41</v>
      </c>
      <c r="B22" s="4" t="s">
        <v>42</v>
      </c>
      <c r="C22" s="4" t="s">
        <v>43</v>
      </c>
    </row>
    <row r="23" customFormat="false" ht="15" hidden="false" customHeight="false" outlineLevel="0" collapsed="false">
      <c r="A23" s="4" t="s">
        <v>44</v>
      </c>
      <c r="B23" s="4" t="s">
        <v>45</v>
      </c>
      <c r="C23" s="4" t="s">
        <v>37</v>
      </c>
    </row>
    <row r="24" customFormat="false" ht="15" hidden="false" customHeight="false" outlineLevel="0" collapsed="false">
      <c r="A24" s="4" t="s">
        <v>46</v>
      </c>
      <c r="B24" s="4" t="s">
        <v>47</v>
      </c>
      <c r="C24" s="4" t="s">
        <v>37</v>
      </c>
    </row>
    <row r="25" customFormat="false" ht="15" hidden="false" customHeight="false" outlineLevel="0" collapsed="false">
      <c r="A25" s="4" t="s">
        <v>48</v>
      </c>
      <c r="B25" s="4" t="s">
        <v>49</v>
      </c>
      <c r="C25" s="4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5" min="4" style="0" width="20"/>
    <col collapsed="false" customWidth="true" hidden="false" outlineLevel="0" max="6" min="6" style="0" width="30"/>
    <col collapsed="false" customWidth="true" hidden="false" outlineLevel="0" max="7" min="7" style="0" width="3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3" customFormat="false" ht="15" hidden="false" customHeight="false" outlineLevel="0" collapsed="false">
      <c r="A3" s="6" t="s">
        <v>52</v>
      </c>
      <c r="H3" s="6" t="s">
        <v>53</v>
      </c>
    </row>
    <row r="4" customFormat="false" ht="23.85" hidden="false" customHeight="false" outlineLevel="0" collapsed="false">
      <c r="A4" s="5" t="s">
        <v>54</v>
      </c>
      <c r="B4" s="5" t="s">
        <v>55</v>
      </c>
      <c r="C4" s="5" t="s">
        <v>56</v>
      </c>
      <c r="D4" s="5" t="s">
        <v>57</v>
      </c>
      <c r="E4" s="5" t="s">
        <v>58</v>
      </c>
    </row>
    <row r="5" customFormat="false" ht="15" hidden="false" customHeight="false" outlineLevel="0" collapsed="false">
      <c r="A5" s="7" t="n">
        <v>1</v>
      </c>
      <c r="B5" s="8" t="s">
        <v>59</v>
      </c>
      <c r="C5" s="9" t="s">
        <v>60</v>
      </c>
      <c r="D5" s="10" t="n">
        <v>1</v>
      </c>
      <c r="E5" s="11" t="n">
        <v>1</v>
      </c>
      <c r="H5" s="12" t="s">
        <v>61</v>
      </c>
    </row>
    <row r="6" customFormat="false" ht="15" hidden="false" customHeight="false" outlineLevel="0" collapsed="false">
      <c r="A6" s="7" t="n">
        <v>2</v>
      </c>
      <c r="B6" s="8" t="s">
        <v>62</v>
      </c>
      <c r="C6" s="13" t="s">
        <v>63</v>
      </c>
      <c r="D6" s="10" t="n">
        <v>1.81</v>
      </c>
      <c r="E6" s="11" t="n">
        <v>5</v>
      </c>
      <c r="H6" s="12" t="s">
        <v>64</v>
      </c>
    </row>
    <row r="7" customFormat="false" ht="15" hidden="false" customHeight="false" outlineLevel="0" collapsed="false">
      <c r="A7" s="7" t="n">
        <v>3</v>
      </c>
      <c r="B7" s="8" t="s">
        <v>65</v>
      </c>
      <c r="C7" s="14" t="s">
        <v>66</v>
      </c>
      <c r="D7" s="10" t="n">
        <v>2.61</v>
      </c>
      <c r="E7" s="11" t="n">
        <v>9</v>
      </c>
      <c r="H7" s="12" t="s">
        <v>67</v>
      </c>
    </row>
    <row r="8" customFormat="false" ht="15" hidden="false" customHeight="false" outlineLevel="0" collapsed="false">
      <c r="A8" s="7" t="n">
        <v>4</v>
      </c>
      <c r="B8" s="8" t="s">
        <v>68</v>
      </c>
      <c r="C8" s="15" t="s">
        <v>69</v>
      </c>
      <c r="D8" s="10" t="n">
        <v>3.41</v>
      </c>
      <c r="E8" s="11" t="n">
        <v>13</v>
      </c>
    </row>
    <row r="9" customFormat="false" ht="15" hidden="false" customHeight="false" outlineLevel="0" collapsed="false">
      <c r="A9" s="7" t="n">
        <v>5</v>
      </c>
      <c r="B9" s="8" t="s">
        <v>70</v>
      </c>
      <c r="C9" s="16" t="s">
        <v>71</v>
      </c>
      <c r="D9" s="10" t="n">
        <v>4.21</v>
      </c>
      <c r="E9" s="11" t="n">
        <v>20</v>
      </c>
      <c r="H9" s="12" t="s">
        <v>72</v>
      </c>
    </row>
    <row r="10" customFormat="false" ht="15" hidden="false" customHeight="false" outlineLevel="0" collapsed="false">
      <c r="H10" s="12" t="s">
        <v>73</v>
      </c>
    </row>
    <row r="11" customFormat="false" ht="15" hidden="false" customHeight="false" outlineLevel="0" collapsed="false">
      <c r="A11" s="6" t="s">
        <v>74</v>
      </c>
    </row>
    <row r="12" customFormat="false" ht="15" hidden="false" customHeight="true" outlineLevel="0" collapsed="false">
      <c r="A12" s="3" t="s">
        <v>75</v>
      </c>
      <c r="C12" s="8" t="s">
        <v>64</v>
      </c>
      <c r="D12" s="4" t="s">
        <v>76</v>
      </c>
      <c r="E12" s="4"/>
      <c r="F12" s="4"/>
      <c r="H12" s="12" t="s">
        <v>77</v>
      </c>
    </row>
    <row r="13" customFormat="false" ht="15" hidden="false" customHeight="true" outlineLevel="0" collapsed="false">
      <c r="A13" s="3" t="s">
        <v>78</v>
      </c>
      <c r="C13" s="10" t="n">
        <v>5</v>
      </c>
      <c r="D13" s="4" t="s">
        <v>79</v>
      </c>
      <c r="E13" s="4"/>
      <c r="F13" s="4"/>
      <c r="H13" s="12" t="s">
        <v>61</v>
      </c>
    </row>
    <row r="14" customFormat="false" ht="15" hidden="false" customHeight="true" outlineLevel="0" collapsed="false">
      <c r="A14" s="3" t="s">
        <v>80</v>
      </c>
      <c r="C14" s="10" t="n">
        <v>4</v>
      </c>
      <c r="D14" s="4" t="s">
        <v>81</v>
      </c>
      <c r="E14" s="4"/>
      <c r="F14" s="4"/>
    </row>
    <row r="15" customFormat="false" ht="23.85" hidden="false" customHeight="true" outlineLevel="0" collapsed="false">
      <c r="A15" s="3" t="s">
        <v>82</v>
      </c>
      <c r="C15" s="8" t="s">
        <v>72</v>
      </c>
      <c r="D15" s="4" t="s">
        <v>83</v>
      </c>
      <c r="E15" s="4"/>
      <c r="F15" s="4"/>
      <c r="H15" s="12" t="s">
        <v>84</v>
      </c>
    </row>
    <row r="16" customFormat="false" ht="15" hidden="false" customHeight="false" outlineLevel="0" collapsed="false">
      <c r="H16" s="12" t="s">
        <v>85</v>
      </c>
    </row>
    <row r="18" customFormat="false" ht="15" hidden="false" customHeight="false" outlineLevel="0" collapsed="false">
      <c r="A18" s="6" t="s">
        <v>86</v>
      </c>
      <c r="H18" s="12" t="s">
        <v>87</v>
      </c>
    </row>
    <row r="19" customFormat="false" ht="23.85" hidden="false" customHeight="true" outlineLevel="0" collapsed="false">
      <c r="A19" s="3" t="s">
        <v>88</v>
      </c>
      <c r="C19" s="8" t="s">
        <v>77</v>
      </c>
      <c r="D19" s="4" t="s">
        <v>89</v>
      </c>
      <c r="E19" s="4"/>
      <c r="F19" s="4"/>
      <c r="H19" s="12" t="s">
        <v>90</v>
      </c>
    </row>
    <row r="20" customFormat="false" ht="15" hidden="false" customHeight="false" outlineLevel="0" collapsed="false">
      <c r="A20" s="12" t="s">
        <v>91</v>
      </c>
      <c r="C20" s="17" t="n">
        <v>0.35</v>
      </c>
      <c r="H20" s="12" t="s">
        <v>92</v>
      </c>
    </row>
    <row r="21" customFormat="false" ht="15" hidden="false" customHeight="false" outlineLevel="0" collapsed="false">
      <c r="A21" s="12" t="s">
        <v>93</v>
      </c>
      <c r="C21" s="17" t="n">
        <v>0.3</v>
      </c>
      <c r="H21" s="12" t="s">
        <v>94</v>
      </c>
    </row>
    <row r="22" customFormat="false" ht="15" hidden="false" customHeight="false" outlineLevel="0" collapsed="false">
      <c r="A22" s="12" t="s">
        <v>95</v>
      </c>
      <c r="C22" s="17" t="n">
        <v>0.2</v>
      </c>
      <c r="H22" s="12" t="s">
        <v>96</v>
      </c>
    </row>
    <row r="23" customFormat="false" ht="15" hidden="false" customHeight="false" outlineLevel="0" collapsed="false">
      <c r="A23" s="12" t="s">
        <v>97</v>
      </c>
      <c r="C23" s="17" t="n">
        <v>0.15</v>
      </c>
    </row>
    <row r="24" customFormat="false" ht="15" hidden="false" customHeight="false" outlineLevel="0" collapsed="false">
      <c r="A24" s="3" t="s">
        <v>98</v>
      </c>
      <c r="C24" s="18" t="n">
        <f aca="false">SUM(C20:C23)</f>
        <v>1</v>
      </c>
      <c r="D24" s="12" t="s">
        <v>99</v>
      </c>
      <c r="H24" s="12" t="s">
        <v>100</v>
      </c>
    </row>
    <row r="25" customFormat="false" ht="15" hidden="false" customHeight="false" outlineLevel="0" collapsed="false">
      <c r="H25" s="12" t="s">
        <v>101</v>
      </c>
    </row>
    <row r="26" customFormat="false" ht="15" hidden="false" customHeight="false" outlineLevel="0" collapsed="false">
      <c r="A26" s="6" t="s">
        <v>102</v>
      </c>
    </row>
    <row r="27" customFormat="false" ht="15" hidden="false" customHeight="false" outlineLevel="0" collapsed="false">
      <c r="A27" s="3" t="s">
        <v>103</v>
      </c>
      <c r="C27" s="11" t="n">
        <v>1</v>
      </c>
      <c r="D27" s="12" t="s">
        <v>104</v>
      </c>
      <c r="E27" s="12"/>
      <c r="F27" s="12"/>
    </row>
  </sheetData>
  <mergeCells count="6">
    <mergeCell ref="D12:F12"/>
    <mergeCell ref="D13:F13"/>
    <mergeCell ref="D14:F14"/>
    <mergeCell ref="D15:F15"/>
    <mergeCell ref="D19:F19"/>
    <mergeCell ref="D27:F27"/>
  </mergeCells>
  <dataValidations count="3">
    <dataValidation allowBlank="false" errorStyle="stop" operator="between" showDropDown="false" showErrorMessage="false" showInputMessage="false" sqref="C12" type="list">
      <formula1>Config!$H$5:$H$7</formula1>
      <formula2>0</formula2>
    </dataValidation>
    <dataValidation allowBlank="false" errorStyle="stop" operator="between" showDropDown="false" showErrorMessage="false" showInputMessage="false" sqref="C15" type="list">
      <formula1>Config!$H$9:$H$10</formula1>
      <formula2>0</formula2>
    </dataValidation>
    <dataValidation allowBlank="false" errorStyle="stop" operator="between" showDropDown="false" showErrorMessage="false" showInputMessage="false" sqref="C19" type="list">
      <formula1>Config!$H$12:$H$13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24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23.85" hidden="false" customHeight="false" outlineLevel="0" collapsed="false">
      <c r="A4" s="5" t="s">
        <v>107</v>
      </c>
      <c r="B4" s="5" t="s">
        <v>108</v>
      </c>
      <c r="C4" s="5" t="s">
        <v>109</v>
      </c>
      <c r="D4" s="5" t="s">
        <v>110</v>
      </c>
      <c r="E4" s="5" t="s">
        <v>111</v>
      </c>
      <c r="F4" s="5" t="s">
        <v>112</v>
      </c>
      <c r="G4" s="5" t="s">
        <v>113</v>
      </c>
      <c r="H4" s="5" t="s">
        <v>114</v>
      </c>
      <c r="I4" s="5" t="s">
        <v>115</v>
      </c>
    </row>
    <row r="5" customFormat="false" ht="15" hidden="false" customHeight="false" outlineLevel="0" collapsed="false">
      <c r="A5" s="8" t="s">
        <v>116</v>
      </c>
      <c r="B5" s="8" t="s">
        <v>117</v>
      </c>
      <c r="C5" s="8" t="s">
        <v>118</v>
      </c>
      <c r="D5" s="8" t="s">
        <v>119</v>
      </c>
      <c r="E5" s="8" t="s">
        <v>120</v>
      </c>
      <c r="F5" s="8" t="s">
        <v>121</v>
      </c>
      <c r="G5" s="8" t="s">
        <v>85</v>
      </c>
      <c r="H5" s="12" t="s">
        <v>65</v>
      </c>
      <c r="I5" s="19" t="n">
        <v>3</v>
      </c>
    </row>
    <row r="6" customFormat="false" ht="15" hidden="false" customHeight="false" outlineLevel="0" collapsed="false">
      <c r="A6" s="8" t="s">
        <v>122</v>
      </c>
      <c r="B6" s="8" t="s">
        <v>123</v>
      </c>
      <c r="C6" s="8" t="s">
        <v>118</v>
      </c>
      <c r="D6" s="8" t="s">
        <v>119</v>
      </c>
      <c r="E6" s="8" t="s">
        <v>124</v>
      </c>
      <c r="F6" s="8" t="s">
        <v>121</v>
      </c>
      <c r="G6" s="8" t="s">
        <v>84</v>
      </c>
      <c r="H6" s="12" t="s">
        <v>65</v>
      </c>
      <c r="I6" s="19" t="n">
        <v>3</v>
      </c>
    </row>
    <row r="7" customFormat="false" ht="15" hidden="false" customHeight="false" outlineLevel="0" collapsed="false">
      <c r="A7" s="8" t="s">
        <v>125</v>
      </c>
      <c r="B7" s="8" t="s">
        <v>126</v>
      </c>
      <c r="C7" s="8" t="s">
        <v>118</v>
      </c>
      <c r="D7" s="8" t="s">
        <v>119</v>
      </c>
      <c r="E7" s="8" t="s">
        <v>127</v>
      </c>
      <c r="F7" s="8" t="s">
        <v>128</v>
      </c>
      <c r="G7" s="8" t="s">
        <v>85</v>
      </c>
      <c r="H7" s="12" t="s">
        <v>65</v>
      </c>
      <c r="I7" s="19" t="n">
        <v>1</v>
      </c>
    </row>
    <row r="8" customFormat="false" ht="15" hidden="false" customHeight="false" outlineLevel="0" collapsed="false">
      <c r="A8" s="8" t="s">
        <v>129</v>
      </c>
      <c r="B8" s="8" t="s">
        <v>130</v>
      </c>
      <c r="C8" s="8" t="s">
        <v>118</v>
      </c>
      <c r="D8" s="8" t="s">
        <v>119</v>
      </c>
      <c r="E8" s="8" t="s">
        <v>131</v>
      </c>
      <c r="F8" s="8" t="s">
        <v>128</v>
      </c>
      <c r="G8" s="8" t="s">
        <v>85</v>
      </c>
      <c r="H8" s="12" t="s">
        <v>65</v>
      </c>
      <c r="I8" s="19" t="n">
        <v>1</v>
      </c>
    </row>
    <row r="9" customFormat="false" ht="15" hidden="false" customHeight="false" outlineLevel="0" collapsed="false">
      <c r="A9" s="8" t="s">
        <v>132</v>
      </c>
      <c r="B9" s="8" t="s">
        <v>133</v>
      </c>
      <c r="C9" s="8" t="s">
        <v>118</v>
      </c>
      <c r="D9" s="8" t="s">
        <v>119</v>
      </c>
      <c r="E9" s="8" t="s">
        <v>134</v>
      </c>
      <c r="F9" s="8" t="s">
        <v>128</v>
      </c>
      <c r="G9" s="8" t="s">
        <v>85</v>
      </c>
      <c r="H9" s="12" t="s">
        <v>65</v>
      </c>
      <c r="I9" s="19" t="n">
        <v>1</v>
      </c>
    </row>
    <row r="10" customFormat="false" ht="15" hidden="false" customHeight="false" outlineLevel="0" collapsed="false">
      <c r="A10" s="8" t="s">
        <v>135</v>
      </c>
      <c r="B10" s="8" t="s">
        <v>136</v>
      </c>
      <c r="C10" s="8" t="s">
        <v>137</v>
      </c>
      <c r="D10" s="8" t="s">
        <v>138</v>
      </c>
      <c r="E10" s="8" t="s">
        <v>139</v>
      </c>
      <c r="F10" s="8" t="s">
        <v>121</v>
      </c>
      <c r="G10" s="8" t="s">
        <v>85</v>
      </c>
      <c r="H10" s="12" t="s">
        <v>140</v>
      </c>
      <c r="I10" s="19" t="n">
        <v>3</v>
      </c>
    </row>
    <row r="11" customFormat="false" ht="15" hidden="false" customHeight="false" outlineLevel="0" collapsed="false">
      <c r="A11" s="8" t="s">
        <v>141</v>
      </c>
      <c r="B11" s="8" t="s">
        <v>142</v>
      </c>
      <c r="C11" s="8" t="s">
        <v>137</v>
      </c>
      <c r="D11" s="8" t="s">
        <v>138</v>
      </c>
      <c r="E11" s="8" t="s">
        <v>127</v>
      </c>
      <c r="F11" s="8" t="s">
        <v>128</v>
      </c>
      <c r="G11" s="8" t="s">
        <v>85</v>
      </c>
      <c r="H11" s="12" t="s">
        <v>140</v>
      </c>
      <c r="I11" s="19" t="n">
        <v>1</v>
      </c>
    </row>
    <row r="12" customFormat="false" ht="15" hidden="false" customHeight="false" outlineLevel="0" collapsed="false">
      <c r="A12" s="8" t="s">
        <v>143</v>
      </c>
      <c r="B12" s="8" t="s">
        <v>144</v>
      </c>
      <c r="C12" s="8" t="s">
        <v>145</v>
      </c>
      <c r="D12" s="8" t="s">
        <v>138</v>
      </c>
      <c r="E12" s="8" t="s">
        <v>139</v>
      </c>
      <c r="F12" s="8" t="s">
        <v>146</v>
      </c>
      <c r="G12" s="8" t="s">
        <v>85</v>
      </c>
      <c r="H12" s="12" t="s">
        <v>140</v>
      </c>
      <c r="I12" s="19" t="n">
        <v>2</v>
      </c>
    </row>
    <row r="13" customFormat="false" ht="15" hidden="false" customHeight="false" outlineLevel="0" collapsed="false">
      <c r="A13" s="8" t="s">
        <v>147</v>
      </c>
      <c r="B13" s="8" t="s">
        <v>148</v>
      </c>
      <c r="C13" s="8" t="s">
        <v>149</v>
      </c>
      <c r="D13" s="8" t="s">
        <v>138</v>
      </c>
      <c r="E13" s="8" t="s">
        <v>150</v>
      </c>
      <c r="F13" s="8" t="s">
        <v>146</v>
      </c>
      <c r="G13" s="8" t="s">
        <v>85</v>
      </c>
      <c r="H13" s="12" t="s">
        <v>140</v>
      </c>
      <c r="I13" s="19" t="n">
        <v>2</v>
      </c>
    </row>
    <row r="14" customFormat="false" ht="15" hidden="false" customHeight="false" outlineLevel="0" collapsed="false">
      <c r="A14" s="8" t="s">
        <v>151</v>
      </c>
      <c r="B14" s="8" t="s">
        <v>152</v>
      </c>
      <c r="C14" s="8" t="s">
        <v>153</v>
      </c>
      <c r="D14" s="8" t="s">
        <v>154</v>
      </c>
      <c r="E14" s="8" t="s">
        <v>139</v>
      </c>
      <c r="F14" s="8" t="s">
        <v>121</v>
      </c>
      <c r="G14" s="8" t="s">
        <v>85</v>
      </c>
      <c r="H14" s="12" t="s">
        <v>65</v>
      </c>
      <c r="I14" s="19" t="n">
        <v>3</v>
      </c>
    </row>
    <row r="15" customFormat="false" ht="15" hidden="false" customHeight="false" outlineLevel="0" collapsed="false">
      <c r="A15" s="8" t="s">
        <v>155</v>
      </c>
      <c r="B15" s="8" t="s">
        <v>156</v>
      </c>
      <c r="C15" s="8" t="s">
        <v>157</v>
      </c>
      <c r="D15" s="8" t="s">
        <v>154</v>
      </c>
      <c r="E15" s="8" t="s">
        <v>139</v>
      </c>
      <c r="F15" s="8" t="s">
        <v>146</v>
      </c>
      <c r="G15" s="8" t="s">
        <v>85</v>
      </c>
      <c r="H15" s="12" t="s">
        <v>65</v>
      </c>
      <c r="I15" s="19" t="n">
        <v>2</v>
      </c>
    </row>
    <row r="16" customFormat="false" ht="15" hidden="false" customHeight="false" outlineLevel="0" collapsed="false">
      <c r="A16" s="8" t="s">
        <v>158</v>
      </c>
      <c r="B16" s="8" t="s">
        <v>159</v>
      </c>
      <c r="C16" s="8" t="s">
        <v>160</v>
      </c>
      <c r="D16" s="8" t="s">
        <v>154</v>
      </c>
      <c r="E16" s="8" t="s">
        <v>139</v>
      </c>
      <c r="F16" s="8" t="s">
        <v>146</v>
      </c>
      <c r="G16" s="8" t="s">
        <v>85</v>
      </c>
      <c r="H16" s="12" t="s">
        <v>65</v>
      </c>
      <c r="I16" s="19" t="n">
        <v>2</v>
      </c>
    </row>
    <row r="17" customFormat="false" ht="15" hidden="false" customHeight="false" outlineLevel="0" collapsed="false">
      <c r="A17" s="8" t="s">
        <v>161</v>
      </c>
      <c r="B17" s="8" t="s">
        <v>162</v>
      </c>
      <c r="C17" s="8" t="s">
        <v>163</v>
      </c>
      <c r="D17" s="8" t="s">
        <v>154</v>
      </c>
      <c r="E17" s="8" t="s">
        <v>164</v>
      </c>
      <c r="F17" s="8" t="s">
        <v>146</v>
      </c>
      <c r="G17" s="8" t="s">
        <v>85</v>
      </c>
      <c r="H17" s="12" t="s">
        <v>65</v>
      </c>
      <c r="I17" s="19" t="n">
        <v>2</v>
      </c>
    </row>
    <row r="18" customFormat="false" ht="15" hidden="false" customHeight="false" outlineLevel="0" collapsed="false">
      <c r="A18" s="8" t="s">
        <v>165</v>
      </c>
      <c r="B18" s="8" t="s">
        <v>166</v>
      </c>
      <c r="C18" s="8" t="s">
        <v>167</v>
      </c>
      <c r="D18" s="8" t="s">
        <v>154</v>
      </c>
      <c r="E18" s="8" t="s">
        <v>164</v>
      </c>
      <c r="F18" s="8" t="s">
        <v>146</v>
      </c>
      <c r="G18" s="8" t="s">
        <v>85</v>
      </c>
      <c r="H18" s="12" t="s">
        <v>65</v>
      </c>
      <c r="I18" s="19" t="n">
        <v>2</v>
      </c>
    </row>
    <row r="19" customFormat="false" ht="15" hidden="false" customHeight="false" outlineLevel="0" collapsed="false">
      <c r="A19" s="8" t="s">
        <v>168</v>
      </c>
      <c r="B19" s="8" t="s">
        <v>169</v>
      </c>
      <c r="C19" s="8" t="s">
        <v>170</v>
      </c>
      <c r="D19" s="8" t="s">
        <v>171</v>
      </c>
      <c r="E19" s="8" t="s">
        <v>150</v>
      </c>
      <c r="F19" s="8" t="s">
        <v>146</v>
      </c>
      <c r="G19" s="8" t="s">
        <v>85</v>
      </c>
      <c r="H19" s="12" t="s">
        <v>140</v>
      </c>
      <c r="I19" s="19" t="n">
        <v>2</v>
      </c>
    </row>
    <row r="20" customFormat="false" ht="15" hidden="false" customHeight="false" outlineLevel="0" collapsed="false">
      <c r="A20" s="8" t="s">
        <v>172</v>
      </c>
      <c r="B20" s="8" t="s">
        <v>173</v>
      </c>
      <c r="C20" s="8" t="s">
        <v>174</v>
      </c>
      <c r="D20" s="8" t="s">
        <v>171</v>
      </c>
      <c r="E20" s="8" t="s">
        <v>139</v>
      </c>
      <c r="F20" s="8" t="s">
        <v>128</v>
      </c>
      <c r="G20" s="8" t="s">
        <v>85</v>
      </c>
      <c r="H20" s="12" t="s">
        <v>140</v>
      </c>
      <c r="I20" s="19" t="n">
        <v>1</v>
      </c>
    </row>
    <row r="21" customFormat="false" ht="15" hidden="false" customHeight="false" outlineLevel="0" collapsed="false">
      <c r="A21" s="8" t="s">
        <v>175</v>
      </c>
      <c r="B21" s="8" t="s">
        <v>176</v>
      </c>
      <c r="C21" s="8" t="s">
        <v>177</v>
      </c>
      <c r="D21" s="8" t="s">
        <v>178</v>
      </c>
      <c r="E21" s="8" t="s">
        <v>139</v>
      </c>
      <c r="F21" s="8" t="s">
        <v>121</v>
      </c>
      <c r="G21" s="8" t="s">
        <v>85</v>
      </c>
      <c r="H21" s="12" t="s">
        <v>65</v>
      </c>
      <c r="I21" s="19" t="n">
        <v>3</v>
      </c>
    </row>
    <row r="22" customFormat="false" ht="15" hidden="false" customHeight="false" outlineLevel="0" collapsed="false">
      <c r="A22" s="8" t="s">
        <v>179</v>
      </c>
      <c r="B22" s="8" t="s">
        <v>180</v>
      </c>
      <c r="C22" s="8" t="s">
        <v>181</v>
      </c>
      <c r="D22" s="8" t="s">
        <v>178</v>
      </c>
      <c r="E22" s="8" t="s">
        <v>139</v>
      </c>
      <c r="F22" s="8" t="s">
        <v>146</v>
      </c>
      <c r="G22" s="8" t="s">
        <v>85</v>
      </c>
      <c r="H22" s="12" t="s">
        <v>65</v>
      </c>
      <c r="I22" s="19" t="n">
        <v>2</v>
      </c>
    </row>
    <row r="23" customFormat="false" ht="15" hidden="false" customHeight="false" outlineLevel="0" collapsed="false">
      <c r="A23" s="8" t="s">
        <v>182</v>
      </c>
      <c r="B23" s="8" t="s">
        <v>183</v>
      </c>
      <c r="C23" s="8" t="s">
        <v>184</v>
      </c>
      <c r="D23" s="8" t="s">
        <v>178</v>
      </c>
      <c r="E23" s="8" t="s">
        <v>139</v>
      </c>
      <c r="F23" s="8" t="s">
        <v>128</v>
      </c>
      <c r="G23" s="8" t="s">
        <v>85</v>
      </c>
      <c r="H23" s="12" t="s">
        <v>65</v>
      </c>
      <c r="I23" s="19" t="n">
        <v>1</v>
      </c>
    </row>
    <row r="24" customFormat="false" ht="15" hidden="false" customHeight="false" outlineLevel="0" collapsed="false">
      <c r="A24" s="8" t="s">
        <v>185</v>
      </c>
      <c r="B24" s="8" t="s">
        <v>186</v>
      </c>
      <c r="C24" s="8" t="s">
        <v>187</v>
      </c>
      <c r="D24" s="8" t="s">
        <v>178</v>
      </c>
      <c r="E24" s="8" t="s">
        <v>150</v>
      </c>
      <c r="F24" s="8" t="s">
        <v>146</v>
      </c>
      <c r="G24" s="8" t="s">
        <v>85</v>
      </c>
      <c r="H24" s="12" t="s">
        <v>65</v>
      </c>
      <c r="I24" s="19" t="n">
        <v>2</v>
      </c>
    </row>
    <row r="25" customFormat="false" ht="15" hidden="false" customHeight="false" outlineLevel="0" collapsed="false">
      <c r="A25" s="8" t="s">
        <v>188</v>
      </c>
      <c r="B25" s="8" t="s">
        <v>189</v>
      </c>
      <c r="C25" s="8" t="s">
        <v>190</v>
      </c>
      <c r="D25" s="8" t="s">
        <v>178</v>
      </c>
      <c r="E25" s="8" t="s">
        <v>150</v>
      </c>
      <c r="F25" s="8" t="s">
        <v>128</v>
      </c>
      <c r="G25" s="8" t="s">
        <v>85</v>
      </c>
      <c r="H25" s="12" t="s">
        <v>140</v>
      </c>
      <c r="I25" s="19" t="n">
        <v>1</v>
      </c>
    </row>
    <row r="26" customFormat="false" ht="15" hidden="false" customHeight="false" outlineLevel="0" collapsed="false">
      <c r="A26" s="8" t="s">
        <v>191</v>
      </c>
      <c r="B26" s="8" t="s">
        <v>192</v>
      </c>
      <c r="C26" s="8" t="s">
        <v>193</v>
      </c>
      <c r="D26" s="8" t="s">
        <v>194</v>
      </c>
      <c r="E26" s="8" t="s">
        <v>150</v>
      </c>
      <c r="F26" s="8" t="s">
        <v>121</v>
      </c>
      <c r="G26" s="8" t="s">
        <v>85</v>
      </c>
      <c r="H26" s="12" t="s">
        <v>195</v>
      </c>
      <c r="I26" s="19" t="n">
        <v>3</v>
      </c>
    </row>
    <row r="27" customFormat="false" ht="15" hidden="false" customHeight="false" outlineLevel="0" collapsed="false">
      <c r="A27" s="8" t="s">
        <v>196</v>
      </c>
      <c r="B27" s="8" t="s">
        <v>197</v>
      </c>
      <c r="C27" s="8" t="s">
        <v>198</v>
      </c>
      <c r="D27" s="8" t="s">
        <v>194</v>
      </c>
      <c r="E27" s="8" t="s">
        <v>139</v>
      </c>
      <c r="F27" s="8" t="s">
        <v>146</v>
      </c>
      <c r="G27" s="8" t="s">
        <v>85</v>
      </c>
      <c r="H27" s="12" t="s">
        <v>195</v>
      </c>
      <c r="I27" s="19" t="n">
        <v>2</v>
      </c>
    </row>
    <row r="28" customFormat="false" ht="15" hidden="false" customHeight="false" outlineLevel="0" collapsed="false">
      <c r="A28" s="8" t="s">
        <v>199</v>
      </c>
      <c r="B28" s="8" t="s">
        <v>200</v>
      </c>
      <c r="C28" s="8" t="s">
        <v>201</v>
      </c>
      <c r="D28" s="8" t="s">
        <v>194</v>
      </c>
      <c r="E28" s="8" t="s">
        <v>139</v>
      </c>
      <c r="F28" s="8" t="s">
        <v>128</v>
      </c>
      <c r="G28" s="8" t="s">
        <v>85</v>
      </c>
      <c r="H28" s="12" t="s">
        <v>195</v>
      </c>
      <c r="I28" s="19" t="n">
        <v>1</v>
      </c>
    </row>
    <row r="29" customFormat="false" ht="15" hidden="false" customHeight="false" outlineLevel="0" collapsed="false">
      <c r="A29" s="8" t="s">
        <v>202</v>
      </c>
      <c r="B29" s="8" t="s">
        <v>203</v>
      </c>
      <c r="C29" s="8" t="s">
        <v>204</v>
      </c>
      <c r="D29" s="8" t="s">
        <v>194</v>
      </c>
      <c r="E29" s="8" t="s">
        <v>139</v>
      </c>
      <c r="F29" s="8" t="s">
        <v>128</v>
      </c>
      <c r="G29" s="8" t="s">
        <v>85</v>
      </c>
      <c r="H29" s="12" t="s">
        <v>195</v>
      </c>
      <c r="I29" s="19" t="n">
        <v>1</v>
      </c>
    </row>
    <row r="30" customFormat="false" ht="15" hidden="false" customHeight="false" outlineLevel="0" collapsed="false">
      <c r="A30" s="8" t="s">
        <v>205</v>
      </c>
      <c r="B30" s="8" t="s">
        <v>206</v>
      </c>
      <c r="C30" s="8" t="s">
        <v>207</v>
      </c>
      <c r="D30" s="8" t="s">
        <v>194</v>
      </c>
      <c r="E30" s="8" t="s">
        <v>208</v>
      </c>
      <c r="F30" s="8" t="s">
        <v>121</v>
      </c>
      <c r="G30" s="8" t="s">
        <v>85</v>
      </c>
      <c r="H30" s="12" t="s">
        <v>195</v>
      </c>
      <c r="I30" s="19" t="n">
        <v>3</v>
      </c>
    </row>
    <row r="31" customFormat="false" ht="15" hidden="false" customHeight="false" outlineLevel="0" collapsed="false">
      <c r="A31" s="8" t="s">
        <v>209</v>
      </c>
      <c r="B31" s="8" t="s">
        <v>210</v>
      </c>
      <c r="C31" s="8" t="s">
        <v>211</v>
      </c>
      <c r="D31" s="8" t="s">
        <v>212</v>
      </c>
      <c r="E31" s="8" t="s">
        <v>139</v>
      </c>
      <c r="F31" s="8" t="s">
        <v>146</v>
      </c>
      <c r="G31" s="8" t="s">
        <v>85</v>
      </c>
      <c r="H31" s="12" t="s">
        <v>195</v>
      </c>
      <c r="I31" s="19" t="n">
        <v>2</v>
      </c>
    </row>
    <row r="32" customFormat="false" ht="15" hidden="false" customHeight="false" outlineLevel="0" collapsed="false">
      <c r="A32" s="8" t="s">
        <v>213</v>
      </c>
      <c r="B32" s="8" t="s">
        <v>214</v>
      </c>
      <c r="C32" s="8" t="s">
        <v>215</v>
      </c>
      <c r="D32" s="8" t="s">
        <v>212</v>
      </c>
      <c r="E32" s="8" t="s">
        <v>139</v>
      </c>
      <c r="F32" s="8" t="s">
        <v>128</v>
      </c>
      <c r="G32" s="8" t="s">
        <v>85</v>
      </c>
      <c r="H32" s="12" t="s">
        <v>195</v>
      </c>
      <c r="I32" s="19" t="n">
        <v>1</v>
      </c>
    </row>
    <row r="33" customFormat="false" ht="15" hidden="false" customHeight="false" outlineLevel="0" collapsed="false">
      <c r="A33" s="8" t="s">
        <v>216</v>
      </c>
      <c r="B33" s="8" t="s">
        <v>217</v>
      </c>
      <c r="C33" s="8" t="s">
        <v>218</v>
      </c>
      <c r="D33" s="8" t="s">
        <v>212</v>
      </c>
      <c r="E33" s="8" t="s">
        <v>150</v>
      </c>
      <c r="F33" s="8" t="s">
        <v>146</v>
      </c>
      <c r="G33" s="8" t="s">
        <v>85</v>
      </c>
      <c r="H33" s="12" t="s">
        <v>195</v>
      </c>
      <c r="I33" s="19" t="n">
        <v>2</v>
      </c>
    </row>
    <row r="34" customFormat="false" ht="15" hidden="false" customHeight="false" outlineLevel="0" collapsed="false">
      <c r="A34" s="8" t="s">
        <v>219</v>
      </c>
      <c r="B34" s="8" t="s">
        <v>220</v>
      </c>
      <c r="C34" s="8" t="s">
        <v>221</v>
      </c>
      <c r="D34" s="8" t="s">
        <v>222</v>
      </c>
      <c r="E34" s="8" t="s">
        <v>139</v>
      </c>
      <c r="F34" s="8" t="s">
        <v>128</v>
      </c>
      <c r="G34" s="8" t="s">
        <v>85</v>
      </c>
      <c r="H34" s="12" t="s">
        <v>195</v>
      </c>
      <c r="I34" s="19" t="n">
        <v>1</v>
      </c>
    </row>
  </sheetData>
  <dataValidations count="2">
    <dataValidation allowBlank="false" errorStyle="stop" operator="between" showDropDown="false" showErrorMessage="false" showInputMessage="false" sqref="F5:F34" type="list">
      <formula1>"Tier 1,Tier 2,Tier 3"</formula1>
      <formula2>0</formula2>
    </dataValidation>
    <dataValidation allowBlank="false" errorStyle="stop" operator="between" showDropDown="false" showErrorMessage="false" showInputMessage="false" sqref="G5:G34" type="list">
      <formula1>Config!$H$15:$H$16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223</v>
      </c>
    </row>
    <row r="2" customFormat="false" ht="15" hidden="false" customHeight="false" outlineLevel="0" collapsed="false">
      <c r="A2" s="2" t="s">
        <v>224</v>
      </c>
    </row>
    <row r="4" customFormat="false" ht="23.85" hidden="false" customHeight="false" outlineLevel="0" collapsed="false">
      <c r="A4" s="5" t="s">
        <v>225</v>
      </c>
      <c r="B4" s="5" t="s">
        <v>226</v>
      </c>
      <c r="C4" s="5" t="s">
        <v>227</v>
      </c>
      <c r="D4" s="5" t="s">
        <v>228</v>
      </c>
      <c r="E4" s="5" t="s">
        <v>229</v>
      </c>
      <c r="F4" s="5" t="s">
        <v>230</v>
      </c>
      <c r="G4" s="5" t="s">
        <v>231</v>
      </c>
      <c r="H4" s="5" t="s">
        <v>232</v>
      </c>
    </row>
    <row r="5" customFormat="false" ht="15" hidden="false" customHeight="false" outlineLevel="0" collapsed="false">
      <c r="A5" s="4" t="s">
        <v>233</v>
      </c>
      <c r="B5" s="4" t="s">
        <v>234</v>
      </c>
      <c r="C5" s="4" t="s">
        <v>235</v>
      </c>
      <c r="D5" s="4" t="s">
        <v>236</v>
      </c>
      <c r="E5" s="4" t="s">
        <v>237</v>
      </c>
      <c r="F5" s="4" t="s">
        <v>238</v>
      </c>
      <c r="G5" s="4" t="s">
        <v>239</v>
      </c>
      <c r="H5" s="4" t="s">
        <v>62</v>
      </c>
    </row>
    <row r="6" customFormat="false" ht="15" hidden="false" customHeight="false" outlineLevel="0" collapsed="false">
      <c r="A6" s="4" t="s">
        <v>240</v>
      </c>
      <c r="B6" s="4" t="s">
        <v>241</v>
      </c>
      <c r="C6" s="4" t="s">
        <v>235</v>
      </c>
      <c r="D6" s="4" t="s">
        <v>236</v>
      </c>
      <c r="E6" s="4" t="s">
        <v>237</v>
      </c>
      <c r="F6" s="4" t="s">
        <v>238</v>
      </c>
      <c r="G6" s="4" t="s">
        <v>242</v>
      </c>
      <c r="H6" s="4" t="s">
        <v>59</v>
      </c>
    </row>
    <row r="7" customFormat="false" ht="15" hidden="false" customHeight="false" outlineLevel="0" collapsed="false">
      <c r="A7" s="4" t="s">
        <v>243</v>
      </c>
      <c r="B7" s="4" t="s">
        <v>244</v>
      </c>
      <c r="C7" s="4" t="s">
        <v>235</v>
      </c>
      <c r="D7" s="4" t="s">
        <v>236</v>
      </c>
      <c r="E7" s="4" t="s">
        <v>237</v>
      </c>
      <c r="F7" s="4" t="s">
        <v>238</v>
      </c>
      <c r="G7" s="4" t="s">
        <v>242</v>
      </c>
      <c r="H7" s="4" t="s">
        <v>59</v>
      </c>
    </row>
    <row r="8" customFormat="false" ht="15" hidden="false" customHeight="false" outlineLevel="0" collapsed="false">
      <c r="A8" s="4" t="s">
        <v>245</v>
      </c>
      <c r="B8" s="4" t="s">
        <v>246</v>
      </c>
      <c r="C8" s="4" t="s">
        <v>235</v>
      </c>
      <c r="D8" s="4" t="s">
        <v>236</v>
      </c>
      <c r="E8" s="4" t="s">
        <v>247</v>
      </c>
      <c r="F8" s="4" t="s">
        <v>238</v>
      </c>
      <c r="G8" s="4" t="s">
        <v>242</v>
      </c>
      <c r="H8" s="4" t="s">
        <v>59</v>
      </c>
    </row>
    <row r="9" customFormat="false" ht="15" hidden="false" customHeight="false" outlineLevel="0" collapsed="false">
      <c r="A9" s="4" t="s">
        <v>248</v>
      </c>
      <c r="B9" s="4" t="s">
        <v>249</v>
      </c>
      <c r="C9" s="4" t="s">
        <v>235</v>
      </c>
      <c r="D9" s="4" t="s">
        <v>236</v>
      </c>
      <c r="E9" s="4" t="s">
        <v>250</v>
      </c>
      <c r="F9" s="4" t="s">
        <v>238</v>
      </c>
      <c r="G9" s="4" t="s">
        <v>242</v>
      </c>
      <c r="H9" s="4" t="s">
        <v>59</v>
      </c>
    </row>
    <row r="10" customFormat="false" ht="15" hidden="false" customHeight="false" outlineLevel="0" collapsed="false">
      <c r="A10" s="4" t="s">
        <v>251</v>
      </c>
      <c r="B10" s="4" t="s">
        <v>252</v>
      </c>
      <c r="C10" s="4" t="s">
        <v>235</v>
      </c>
      <c r="D10" s="4" t="s">
        <v>236</v>
      </c>
      <c r="E10" s="4" t="s">
        <v>253</v>
      </c>
      <c r="F10" s="4" t="s">
        <v>238</v>
      </c>
      <c r="G10" s="4" t="s">
        <v>59</v>
      </c>
      <c r="H10" s="4" t="s">
        <v>65</v>
      </c>
    </row>
    <row r="11" customFormat="false" ht="15" hidden="false" customHeight="false" outlineLevel="0" collapsed="false">
      <c r="A11" s="4" t="s">
        <v>254</v>
      </c>
      <c r="B11" s="4" t="s">
        <v>255</v>
      </c>
      <c r="C11" s="4" t="s">
        <v>235</v>
      </c>
      <c r="D11" s="4" t="s">
        <v>236</v>
      </c>
      <c r="E11" s="4" t="s">
        <v>250</v>
      </c>
      <c r="F11" s="4" t="s">
        <v>238</v>
      </c>
      <c r="G11" s="4" t="s">
        <v>256</v>
      </c>
      <c r="H11" s="4" t="s">
        <v>59</v>
      </c>
    </row>
    <row r="12" customFormat="false" ht="15" hidden="false" customHeight="false" outlineLevel="0" collapsed="false">
      <c r="A12" s="4" t="s">
        <v>257</v>
      </c>
      <c r="B12" s="4" t="s">
        <v>258</v>
      </c>
      <c r="C12" s="4" t="s">
        <v>259</v>
      </c>
      <c r="D12" s="4" t="s">
        <v>260</v>
      </c>
      <c r="E12" s="4" t="s">
        <v>250</v>
      </c>
      <c r="F12" s="4" t="s">
        <v>238</v>
      </c>
      <c r="G12" s="4" t="s">
        <v>239</v>
      </c>
      <c r="H12" s="4" t="s">
        <v>62</v>
      </c>
    </row>
    <row r="13" customFormat="false" ht="15" hidden="false" customHeight="false" outlineLevel="0" collapsed="false">
      <c r="A13" s="4" t="s">
        <v>261</v>
      </c>
      <c r="B13" s="4" t="s">
        <v>262</v>
      </c>
      <c r="C13" s="4" t="s">
        <v>259</v>
      </c>
      <c r="D13" s="4" t="s">
        <v>260</v>
      </c>
      <c r="E13" s="4" t="s">
        <v>250</v>
      </c>
      <c r="F13" s="4" t="s">
        <v>238</v>
      </c>
      <c r="G13" s="4" t="s">
        <v>59</v>
      </c>
      <c r="H13" s="4" t="s">
        <v>65</v>
      </c>
    </row>
    <row r="14" customFormat="false" ht="15" hidden="false" customHeight="false" outlineLevel="0" collapsed="false">
      <c r="A14" s="4" t="s">
        <v>263</v>
      </c>
      <c r="B14" s="4" t="s">
        <v>264</v>
      </c>
      <c r="C14" s="4" t="s">
        <v>259</v>
      </c>
      <c r="D14" s="4" t="s">
        <v>260</v>
      </c>
      <c r="E14" s="4" t="s">
        <v>265</v>
      </c>
      <c r="F14" s="4" t="s">
        <v>238</v>
      </c>
      <c r="G14" s="4" t="s">
        <v>239</v>
      </c>
      <c r="H14" s="4" t="s">
        <v>62</v>
      </c>
    </row>
    <row r="15" customFormat="false" ht="15" hidden="false" customHeight="false" outlineLevel="0" collapsed="false">
      <c r="A15" s="4" t="s">
        <v>266</v>
      </c>
      <c r="B15" s="4" t="s">
        <v>267</v>
      </c>
      <c r="C15" s="4" t="s">
        <v>259</v>
      </c>
      <c r="D15" s="4" t="s">
        <v>260</v>
      </c>
      <c r="E15" s="4" t="s">
        <v>268</v>
      </c>
      <c r="F15" s="4" t="s">
        <v>269</v>
      </c>
      <c r="G15" s="4" t="s">
        <v>239</v>
      </c>
      <c r="H15" s="4" t="s">
        <v>62</v>
      </c>
    </row>
    <row r="16" customFormat="false" ht="15" hidden="false" customHeight="false" outlineLevel="0" collapsed="false">
      <c r="A16" s="4" t="s">
        <v>270</v>
      </c>
      <c r="B16" s="4" t="s">
        <v>271</v>
      </c>
      <c r="C16" s="4" t="s">
        <v>272</v>
      </c>
      <c r="D16" s="4" t="s">
        <v>260</v>
      </c>
      <c r="E16" s="4" t="s">
        <v>273</v>
      </c>
      <c r="F16" s="4" t="s">
        <v>238</v>
      </c>
      <c r="G16" s="4" t="s">
        <v>274</v>
      </c>
      <c r="H16" s="4" t="s">
        <v>68</v>
      </c>
    </row>
    <row r="17" customFormat="false" ht="15" hidden="false" customHeight="false" outlineLevel="0" collapsed="false">
      <c r="A17" s="4" t="s">
        <v>275</v>
      </c>
      <c r="B17" s="4" t="s">
        <v>276</v>
      </c>
      <c r="C17" s="4" t="s">
        <v>272</v>
      </c>
      <c r="D17" s="4" t="s">
        <v>260</v>
      </c>
      <c r="E17" s="4" t="s">
        <v>273</v>
      </c>
      <c r="F17" s="4" t="s">
        <v>238</v>
      </c>
      <c r="G17" s="4" t="s">
        <v>274</v>
      </c>
      <c r="H17" s="4" t="s">
        <v>68</v>
      </c>
    </row>
    <row r="18" customFormat="false" ht="15" hidden="false" customHeight="false" outlineLevel="0" collapsed="false">
      <c r="A18" s="4" t="s">
        <v>277</v>
      </c>
      <c r="B18" s="4" t="s">
        <v>278</v>
      </c>
      <c r="C18" s="4" t="s">
        <v>272</v>
      </c>
      <c r="D18" s="4" t="s">
        <v>260</v>
      </c>
      <c r="E18" s="4" t="s">
        <v>279</v>
      </c>
      <c r="F18" s="4" t="s">
        <v>238</v>
      </c>
      <c r="G18" s="4" t="s">
        <v>59</v>
      </c>
      <c r="H18" s="4" t="s">
        <v>65</v>
      </c>
    </row>
    <row r="19" customFormat="false" ht="15" hidden="false" customHeight="false" outlineLevel="0" collapsed="false">
      <c r="A19" s="4" t="s">
        <v>280</v>
      </c>
      <c r="B19" s="4" t="s">
        <v>281</v>
      </c>
      <c r="C19" s="4" t="s">
        <v>272</v>
      </c>
      <c r="D19" s="4" t="s">
        <v>260</v>
      </c>
      <c r="E19" s="4" t="s">
        <v>282</v>
      </c>
      <c r="F19" s="4" t="s">
        <v>238</v>
      </c>
      <c r="G19" s="4" t="s">
        <v>59</v>
      </c>
      <c r="H19" s="4" t="s">
        <v>65</v>
      </c>
    </row>
    <row r="20" customFormat="false" ht="15" hidden="false" customHeight="false" outlineLevel="0" collapsed="false">
      <c r="A20" s="4" t="s">
        <v>283</v>
      </c>
      <c r="B20" s="4" t="s">
        <v>284</v>
      </c>
      <c r="C20" s="4" t="s">
        <v>272</v>
      </c>
      <c r="D20" s="4" t="s">
        <v>260</v>
      </c>
      <c r="E20" s="4" t="s">
        <v>285</v>
      </c>
      <c r="F20" s="4" t="s">
        <v>238</v>
      </c>
      <c r="G20" s="4" t="s">
        <v>239</v>
      </c>
      <c r="H20" s="4" t="s">
        <v>62</v>
      </c>
    </row>
    <row r="21" customFormat="false" ht="15" hidden="false" customHeight="false" outlineLevel="0" collapsed="false">
      <c r="A21" s="4" t="s">
        <v>286</v>
      </c>
      <c r="B21" s="4" t="s">
        <v>287</v>
      </c>
      <c r="C21" s="4" t="s">
        <v>272</v>
      </c>
      <c r="D21" s="4" t="s">
        <v>260</v>
      </c>
      <c r="E21" s="4" t="s">
        <v>288</v>
      </c>
      <c r="F21" s="4" t="s">
        <v>238</v>
      </c>
      <c r="G21" s="4" t="s">
        <v>59</v>
      </c>
      <c r="H21" s="4" t="s">
        <v>65</v>
      </c>
    </row>
    <row r="22" customFormat="false" ht="15" hidden="false" customHeight="false" outlineLevel="0" collapsed="false">
      <c r="A22" s="4" t="s">
        <v>289</v>
      </c>
      <c r="B22" s="4" t="s">
        <v>290</v>
      </c>
      <c r="C22" s="4" t="s">
        <v>272</v>
      </c>
      <c r="D22" s="4" t="s">
        <v>260</v>
      </c>
      <c r="E22" s="4" t="s">
        <v>291</v>
      </c>
      <c r="F22" s="4" t="s">
        <v>238</v>
      </c>
      <c r="G22" s="4" t="s">
        <v>239</v>
      </c>
      <c r="H22" s="4" t="s">
        <v>62</v>
      </c>
    </row>
    <row r="23" customFormat="false" ht="23.85" hidden="false" customHeight="false" outlineLevel="0" collapsed="false">
      <c r="A23" s="4" t="s">
        <v>292</v>
      </c>
      <c r="B23" s="4" t="s">
        <v>293</v>
      </c>
      <c r="C23" s="4" t="s">
        <v>272</v>
      </c>
      <c r="D23" s="4" t="s">
        <v>260</v>
      </c>
      <c r="E23" s="4" t="s">
        <v>294</v>
      </c>
      <c r="F23" s="4" t="s">
        <v>238</v>
      </c>
      <c r="G23" s="4" t="s">
        <v>59</v>
      </c>
      <c r="H23" s="4" t="s">
        <v>65</v>
      </c>
    </row>
    <row r="24" customFormat="false" ht="15" hidden="false" customHeight="false" outlineLevel="0" collapsed="false">
      <c r="A24" s="4" t="s">
        <v>295</v>
      </c>
      <c r="B24" s="4" t="s">
        <v>296</v>
      </c>
      <c r="C24" s="4" t="s">
        <v>272</v>
      </c>
      <c r="D24" s="4" t="s">
        <v>260</v>
      </c>
      <c r="E24" s="4" t="s">
        <v>297</v>
      </c>
      <c r="F24" s="4" t="s">
        <v>238</v>
      </c>
      <c r="G24" s="4" t="s">
        <v>274</v>
      </c>
      <c r="H24" s="4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7" min="3" style="0" width="13"/>
    <col collapsed="false" customWidth="true" hidden="false" outlineLevel="0" max="8" min="8" style="0" width="10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298</v>
      </c>
    </row>
    <row r="2" customFormat="false" ht="15" hidden="false" customHeight="false" outlineLevel="0" collapsed="false">
      <c r="A2" s="2" t="s">
        <v>299</v>
      </c>
    </row>
    <row r="4" customFormat="false" ht="30" hidden="false" customHeight="true" outlineLevel="0" collapsed="false">
      <c r="A4" s="5" t="s">
        <v>225</v>
      </c>
      <c r="B4" s="5" t="s">
        <v>300</v>
      </c>
      <c r="C4" s="5" t="s">
        <v>87</v>
      </c>
      <c r="D4" s="5" t="s">
        <v>90</v>
      </c>
      <c r="E4" s="5" t="s">
        <v>92</v>
      </c>
      <c r="F4" s="5" t="s">
        <v>94</v>
      </c>
      <c r="G4" s="5" t="s">
        <v>96</v>
      </c>
      <c r="H4" s="5" t="s">
        <v>301</v>
      </c>
      <c r="I4" s="5" t="s">
        <v>302</v>
      </c>
    </row>
    <row r="5" customFormat="false" ht="15" hidden="false" customHeight="false" outlineLevel="0" collapsed="false">
      <c r="A5" s="12" t="s">
        <v>233</v>
      </c>
      <c r="B5" s="12" t="s">
        <v>234</v>
      </c>
      <c r="C5" s="20" t="n">
        <v>0.3</v>
      </c>
      <c r="D5" s="20" t="n">
        <v>0.25</v>
      </c>
      <c r="E5" s="20" t="n">
        <v>0.2</v>
      </c>
      <c r="F5" s="20" t="n">
        <v>0.15</v>
      </c>
      <c r="G5" s="20" t="n">
        <v>0.1</v>
      </c>
      <c r="H5" s="21" t="n">
        <f aca="false">SUM(C5:G5)</f>
        <v>1</v>
      </c>
      <c r="I5" s="7" t="str">
        <f aca="false">IF(ROUND(H5,4)=1,"OK","Must total 100%")</f>
        <v>OK</v>
      </c>
    </row>
    <row r="6" customFormat="false" ht="15" hidden="false" customHeight="false" outlineLevel="0" collapsed="false">
      <c r="A6" s="12" t="s">
        <v>240</v>
      </c>
      <c r="B6" s="12" t="s">
        <v>241</v>
      </c>
      <c r="C6" s="20" t="n">
        <v>0.25</v>
      </c>
      <c r="D6" s="20" t="n">
        <v>0.3</v>
      </c>
      <c r="E6" s="20" t="n">
        <v>0.15</v>
      </c>
      <c r="F6" s="20" t="n">
        <v>0.1</v>
      </c>
      <c r="G6" s="20" t="n">
        <v>0.2</v>
      </c>
      <c r="H6" s="21" t="n">
        <f aca="false">SUM(C6:G6)</f>
        <v>1</v>
      </c>
      <c r="I6" s="7" t="str">
        <f aca="false">IF(ROUND(H6,4)=1,"OK","Must total 100%")</f>
        <v>OK</v>
      </c>
    </row>
    <row r="7" customFormat="false" ht="15" hidden="false" customHeight="false" outlineLevel="0" collapsed="false">
      <c r="A7" s="12" t="s">
        <v>243</v>
      </c>
      <c r="B7" s="12" t="s">
        <v>244</v>
      </c>
      <c r="C7" s="20" t="n">
        <v>0.15</v>
      </c>
      <c r="D7" s="20" t="n">
        <v>0.3</v>
      </c>
      <c r="E7" s="20" t="n">
        <v>0.3</v>
      </c>
      <c r="F7" s="20" t="n">
        <v>0.05</v>
      </c>
      <c r="G7" s="20" t="n">
        <v>0.2</v>
      </c>
      <c r="H7" s="21" t="n">
        <f aca="false">SUM(C7:G7)</f>
        <v>1</v>
      </c>
      <c r="I7" s="7" t="str">
        <f aca="false">IF(ROUND(H7,4)=1,"OK","Must total 100%")</f>
        <v>OK</v>
      </c>
    </row>
    <row r="8" customFormat="false" ht="15" hidden="false" customHeight="false" outlineLevel="0" collapsed="false">
      <c r="A8" s="12" t="s">
        <v>245</v>
      </c>
      <c r="B8" s="12" t="s">
        <v>246</v>
      </c>
      <c r="C8" s="20" t="n">
        <v>0.15</v>
      </c>
      <c r="D8" s="20" t="n">
        <v>0.4</v>
      </c>
      <c r="E8" s="20" t="n">
        <v>0.2</v>
      </c>
      <c r="F8" s="20" t="n">
        <v>0.05</v>
      </c>
      <c r="G8" s="20" t="n">
        <v>0.2</v>
      </c>
      <c r="H8" s="21" t="n">
        <f aca="false">SUM(C8:G8)</f>
        <v>1</v>
      </c>
      <c r="I8" s="7" t="str">
        <f aca="false">IF(ROUND(H8,4)=1,"OK","Must total 100%")</f>
        <v>OK</v>
      </c>
    </row>
    <row r="9" customFormat="false" ht="15" hidden="false" customHeight="false" outlineLevel="0" collapsed="false">
      <c r="A9" s="12" t="s">
        <v>248</v>
      </c>
      <c r="B9" s="12" t="s">
        <v>249</v>
      </c>
      <c r="C9" s="20" t="n">
        <v>0.3</v>
      </c>
      <c r="D9" s="20" t="n">
        <v>0.25</v>
      </c>
      <c r="E9" s="20" t="n">
        <v>0.15</v>
      </c>
      <c r="F9" s="20" t="n">
        <v>0.2</v>
      </c>
      <c r="G9" s="20" t="n">
        <v>0.1</v>
      </c>
      <c r="H9" s="21" t="n">
        <f aca="false">SUM(C9:G9)</f>
        <v>1</v>
      </c>
      <c r="I9" s="7" t="str">
        <f aca="false">IF(ROUND(H9,4)=1,"OK","Must total 100%")</f>
        <v>OK</v>
      </c>
    </row>
    <row r="10" customFormat="false" ht="15" hidden="false" customHeight="false" outlineLevel="0" collapsed="false">
      <c r="A10" s="12" t="s">
        <v>251</v>
      </c>
      <c r="B10" s="12" t="s">
        <v>252</v>
      </c>
      <c r="C10" s="20" t="n">
        <v>0.2</v>
      </c>
      <c r="D10" s="20" t="n">
        <v>0.1</v>
      </c>
      <c r="E10" s="20" t="n">
        <v>0.2</v>
      </c>
      <c r="F10" s="20" t="n">
        <v>0.3</v>
      </c>
      <c r="G10" s="20" t="n">
        <v>0.2</v>
      </c>
      <c r="H10" s="21" t="n">
        <f aca="false">SUM(C10:G10)</f>
        <v>1</v>
      </c>
      <c r="I10" s="7" t="str">
        <f aca="false">IF(ROUND(H10,4)=1,"OK","Must total 100%")</f>
        <v>OK</v>
      </c>
    </row>
    <row r="11" customFormat="false" ht="15" hidden="false" customHeight="false" outlineLevel="0" collapsed="false">
      <c r="A11" s="12" t="s">
        <v>254</v>
      </c>
      <c r="B11" s="12" t="s">
        <v>255</v>
      </c>
      <c r="C11" s="20" t="n">
        <v>0.35</v>
      </c>
      <c r="D11" s="20" t="n">
        <v>0.25</v>
      </c>
      <c r="E11" s="20" t="n">
        <v>0.2</v>
      </c>
      <c r="F11" s="20" t="n">
        <v>0.1</v>
      </c>
      <c r="G11" s="20" t="n">
        <v>0.1</v>
      </c>
      <c r="H11" s="21" t="n">
        <f aca="false">SUM(C11:G11)</f>
        <v>1</v>
      </c>
      <c r="I11" s="7" t="str">
        <f aca="false">IF(ROUND(H11,4)=1,"OK","Must total 100%")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10" min="7" style="0" width="10"/>
    <col collapsed="false" customWidth="true" hidden="false" outlineLevel="0" max="17" min="11" style="0" width="9"/>
    <col collapsed="false" customWidth="true" hidden="false" outlineLevel="0" max="18" min="18" style="0" width="12"/>
  </cols>
  <sheetData>
    <row r="1" customFormat="false" ht="17.35" hidden="false" customHeight="false" outlineLevel="0" collapsed="false">
      <c r="A1" s="1" t="s">
        <v>303</v>
      </c>
    </row>
    <row r="2" customFormat="false" ht="15" hidden="false" customHeight="false" outlineLevel="0" collapsed="false">
      <c r="A2" s="2" t="s">
        <v>304</v>
      </c>
    </row>
    <row r="4" customFormat="false" ht="30" hidden="false" customHeight="true" outlineLevel="0" collapsed="false">
      <c r="A4" s="5" t="s">
        <v>305</v>
      </c>
      <c r="B4" s="5" t="s">
        <v>306</v>
      </c>
      <c r="C4" s="5" t="s">
        <v>307</v>
      </c>
      <c r="D4" s="5" t="s">
        <v>308</v>
      </c>
      <c r="E4" s="5" t="s">
        <v>309</v>
      </c>
      <c r="F4" s="5" t="s">
        <v>310</v>
      </c>
      <c r="G4" s="5" t="s">
        <v>311</v>
      </c>
      <c r="H4" s="5" t="s">
        <v>312</v>
      </c>
      <c r="I4" s="5" t="s">
        <v>313</v>
      </c>
      <c r="J4" s="5" t="s">
        <v>314</v>
      </c>
      <c r="K4" s="5" t="s">
        <v>315</v>
      </c>
      <c r="L4" s="5" t="s">
        <v>316</v>
      </c>
      <c r="M4" s="5" t="s">
        <v>317</v>
      </c>
      <c r="N4" s="5" t="s">
        <v>318</v>
      </c>
      <c r="O4" s="5" t="s">
        <v>319</v>
      </c>
      <c r="P4" s="5" t="s">
        <v>320</v>
      </c>
      <c r="Q4" s="5" t="s">
        <v>321</v>
      </c>
      <c r="R4" s="5" t="s">
        <v>322</v>
      </c>
    </row>
    <row r="5" customFormat="false" ht="15" hidden="false" customHeight="false" outlineLevel="0" collapsed="false">
      <c r="A5" s="12" t="s">
        <v>323</v>
      </c>
      <c r="B5" s="8" t="s">
        <v>87</v>
      </c>
      <c r="C5" s="22" t="s">
        <v>324</v>
      </c>
      <c r="D5" s="8" t="s">
        <v>325</v>
      </c>
      <c r="E5" s="8" t="s">
        <v>326</v>
      </c>
      <c r="F5" s="8" t="s">
        <v>100</v>
      </c>
      <c r="G5" s="23" t="n">
        <v>2</v>
      </c>
      <c r="H5" s="23" t="n">
        <v>5</v>
      </c>
      <c r="I5" s="23" t="n">
        <v>10</v>
      </c>
      <c r="J5" s="23" t="n">
        <v>20</v>
      </c>
      <c r="K5" s="24" t="n">
        <v>3</v>
      </c>
      <c r="L5" s="24" t="n">
        <v>2</v>
      </c>
      <c r="M5" s="24" t="n">
        <v>1</v>
      </c>
      <c r="N5" s="24" t="n">
        <v>1</v>
      </c>
      <c r="O5" s="24" t="n">
        <v>1</v>
      </c>
      <c r="P5" s="24" t="n">
        <v>1</v>
      </c>
      <c r="Q5" s="24" t="n">
        <v>1</v>
      </c>
      <c r="R5" s="7" t="str">
        <f aca="false">IF(F5="Higher = riskier",IF(AND(G5&lt;H5,H5&lt;I5,I5&lt;J5),"OK","Check order"),IF(AND(G5&gt;H5,H5&gt;I5,I5&gt;J5),"OK","Check order"))</f>
        <v>OK</v>
      </c>
    </row>
    <row r="6" customFormat="false" ht="15" hidden="false" customHeight="false" outlineLevel="0" collapsed="false">
      <c r="A6" s="12" t="s">
        <v>327</v>
      </c>
      <c r="B6" s="8" t="s">
        <v>87</v>
      </c>
      <c r="C6" s="22" t="s">
        <v>328</v>
      </c>
      <c r="D6" s="8" t="s">
        <v>329</v>
      </c>
      <c r="E6" s="8" t="s">
        <v>326</v>
      </c>
      <c r="F6" s="8" t="s">
        <v>100</v>
      </c>
      <c r="G6" s="23" t="n">
        <v>1</v>
      </c>
      <c r="H6" s="23" t="n">
        <v>3</v>
      </c>
      <c r="I6" s="23" t="n">
        <v>6</v>
      </c>
      <c r="J6" s="23" t="n">
        <v>10</v>
      </c>
      <c r="K6" s="24" t="n">
        <v>2</v>
      </c>
      <c r="L6" s="24" t="n">
        <v>1</v>
      </c>
      <c r="M6" s="24" t="n">
        <v>0</v>
      </c>
      <c r="N6" s="24" t="n">
        <v>1</v>
      </c>
      <c r="O6" s="24" t="n">
        <v>3</v>
      </c>
      <c r="P6" s="24" t="n">
        <v>0</v>
      </c>
      <c r="Q6" s="24" t="n">
        <v>1</v>
      </c>
      <c r="R6" s="7" t="str">
        <f aca="false">IF(F6="Higher = riskier",IF(AND(G6&lt;H6,H6&lt;I6,I6&lt;J6),"OK","Check order"),IF(AND(G6&gt;H6,H6&gt;I6,I6&gt;J6),"OK","Check order"))</f>
        <v>OK</v>
      </c>
    </row>
    <row r="7" customFormat="false" ht="15" hidden="false" customHeight="false" outlineLevel="0" collapsed="false">
      <c r="A7" s="12" t="s">
        <v>330</v>
      </c>
      <c r="B7" s="8" t="s">
        <v>87</v>
      </c>
      <c r="C7" s="22" t="s">
        <v>331</v>
      </c>
      <c r="D7" s="8" t="s">
        <v>325</v>
      </c>
      <c r="E7" s="8" t="s">
        <v>326</v>
      </c>
      <c r="F7" s="8" t="s">
        <v>100</v>
      </c>
      <c r="G7" s="25" t="n">
        <v>0.2</v>
      </c>
      <c r="H7" s="25" t="n">
        <v>0.5</v>
      </c>
      <c r="I7" s="23" t="n">
        <v>1</v>
      </c>
      <c r="J7" s="23" t="n">
        <v>2</v>
      </c>
      <c r="K7" s="24" t="n">
        <v>1</v>
      </c>
      <c r="L7" s="24" t="n">
        <v>3</v>
      </c>
      <c r="M7" s="24" t="n">
        <v>0</v>
      </c>
      <c r="N7" s="24" t="n">
        <v>0</v>
      </c>
      <c r="O7" s="24" t="n">
        <v>1</v>
      </c>
      <c r="P7" s="24" t="n">
        <v>0</v>
      </c>
      <c r="Q7" s="24" t="n">
        <v>0</v>
      </c>
      <c r="R7" s="7" t="str">
        <f aca="false">IF(F7="Higher = riskier",IF(AND(G7&lt;H7,H7&lt;I7,I7&lt;J7),"OK","Check order"),IF(AND(G7&gt;H7,H7&gt;I7,I7&gt;J7),"OK","Check order"))</f>
        <v>OK</v>
      </c>
    </row>
    <row r="8" customFormat="false" ht="15" hidden="false" customHeight="false" outlineLevel="0" collapsed="false">
      <c r="A8" s="12" t="s">
        <v>332</v>
      </c>
      <c r="B8" s="8" t="s">
        <v>87</v>
      </c>
      <c r="C8" s="22" t="s">
        <v>333</v>
      </c>
      <c r="D8" s="8" t="s">
        <v>325</v>
      </c>
      <c r="E8" s="8" t="s">
        <v>334</v>
      </c>
      <c r="F8" s="8" t="s">
        <v>100</v>
      </c>
      <c r="G8" s="23" t="n">
        <v>5</v>
      </c>
      <c r="H8" s="23" t="n">
        <v>10</v>
      </c>
      <c r="I8" s="23" t="n">
        <v>20</v>
      </c>
      <c r="J8" s="23" t="n">
        <v>35</v>
      </c>
      <c r="K8" s="24" t="n">
        <v>2</v>
      </c>
      <c r="L8" s="24" t="n">
        <v>2</v>
      </c>
      <c r="M8" s="24" t="n">
        <v>1</v>
      </c>
      <c r="N8" s="24" t="n">
        <v>2</v>
      </c>
      <c r="O8" s="24" t="n">
        <v>0</v>
      </c>
      <c r="P8" s="24" t="n">
        <v>1</v>
      </c>
      <c r="Q8" s="24" t="n">
        <v>3</v>
      </c>
      <c r="R8" s="7" t="str">
        <f aca="false">IF(F8="Higher = riskier",IF(AND(G8&lt;H8,H8&lt;I8,I8&lt;J8),"OK","Check order"),IF(AND(G8&gt;H8,H8&gt;I8,I8&gt;J8),"OK","Check order"))</f>
        <v>OK</v>
      </c>
    </row>
    <row r="9" customFormat="false" ht="15" hidden="false" customHeight="false" outlineLevel="0" collapsed="false">
      <c r="A9" s="12" t="s">
        <v>335</v>
      </c>
      <c r="B9" s="8" t="s">
        <v>87</v>
      </c>
      <c r="C9" s="22" t="s">
        <v>336</v>
      </c>
      <c r="D9" s="8" t="s">
        <v>325</v>
      </c>
      <c r="E9" s="8" t="s">
        <v>326</v>
      </c>
      <c r="F9" s="8" t="s">
        <v>100</v>
      </c>
      <c r="G9" s="23" t="n">
        <v>2</v>
      </c>
      <c r="H9" s="23" t="n">
        <v>5</v>
      </c>
      <c r="I9" s="23" t="n">
        <v>10</v>
      </c>
      <c r="J9" s="23" t="n">
        <v>20</v>
      </c>
      <c r="K9" s="24" t="n">
        <v>2</v>
      </c>
      <c r="L9" s="24" t="n">
        <v>1</v>
      </c>
      <c r="M9" s="24" t="n">
        <v>2</v>
      </c>
      <c r="N9" s="24" t="n">
        <v>2</v>
      </c>
      <c r="O9" s="24" t="n">
        <v>1</v>
      </c>
      <c r="P9" s="24" t="n">
        <v>0</v>
      </c>
      <c r="Q9" s="24" t="n">
        <v>3</v>
      </c>
      <c r="R9" s="7" t="str">
        <f aca="false">IF(F9="Higher = riskier",IF(AND(G9&lt;H9,H9&lt;I9,I9&lt;J9),"OK","Check order"),IF(AND(G9&gt;H9,H9&gt;I9,I9&gt;J9),"OK","Check order"))</f>
        <v>OK</v>
      </c>
    </row>
    <row r="10" customFormat="false" ht="15" hidden="false" customHeight="false" outlineLevel="0" collapsed="false">
      <c r="A10" s="12" t="s">
        <v>337</v>
      </c>
      <c r="B10" s="8" t="s">
        <v>87</v>
      </c>
      <c r="C10" s="22" t="s">
        <v>338</v>
      </c>
      <c r="D10" s="8" t="s">
        <v>325</v>
      </c>
      <c r="E10" s="8" t="s">
        <v>326</v>
      </c>
      <c r="F10" s="8" t="s">
        <v>100</v>
      </c>
      <c r="G10" s="23" t="n">
        <v>3</v>
      </c>
      <c r="H10" s="23" t="n">
        <v>7</v>
      </c>
      <c r="I10" s="23" t="n">
        <v>12</v>
      </c>
      <c r="J10" s="23" t="n">
        <v>20</v>
      </c>
      <c r="K10" s="24" t="n">
        <v>2</v>
      </c>
      <c r="L10" s="24" t="n">
        <v>1</v>
      </c>
      <c r="M10" s="24" t="n">
        <v>0</v>
      </c>
      <c r="N10" s="24" t="n">
        <v>0</v>
      </c>
      <c r="O10" s="24" t="n">
        <v>0</v>
      </c>
      <c r="P10" s="24" t="n">
        <v>1</v>
      </c>
      <c r="Q10" s="24" t="n">
        <v>1</v>
      </c>
      <c r="R10" s="7" t="str">
        <f aca="false">IF(F10="Higher = riskier",IF(AND(G10&lt;H10,H10&lt;I10,I10&lt;J10),"OK","Check order"),IF(AND(G10&gt;H10,H10&gt;I10,I10&gt;J10),"OK","Check order"))</f>
        <v>OK</v>
      </c>
    </row>
    <row r="11" customFormat="false" ht="15" hidden="false" customHeight="false" outlineLevel="0" collapsed="false">
      <c r="A11" s="12" t="s">
        <v>339</v>
      </c>
      <c r="B11" s="8" t="s">
        <v>87</v>
      </c>
      <c r="C11" s="22" t="s">
        <v>340</v>
      </c>
      <c r="D11" s="8" t="s">
        <v>325</v>
      </c>
      <c r="E11" s="8" t="s">
        <v>334</v>
      </c>
      <c r="F11" s="8" t="s">
        <v>100</v>
      </c>
      <c r="G11" s="23" t="n">
        <v>1</v>
      </c>
      <c r="H11" s="23" t="n">
        <v>3</v>
      </c>
      <c r="I11" s="23" t="n">
        <v>6</v>
      </c>
      <c r="J11" s="23" t="n">
        <v>10</v>
      </c>
      <c r="K11" s="24" t="n">
        <v>0</v>
      </c>
      <c r="L11" s="24" t="n">
        <v>0</v>
      </c>
      <c r="M11" s="24" t="n">
        <v>0</v>
      </c>
      <c r="N11" s="24" t="n">
        <v>1</v>
      </c>
      <c r="O11" s="24" t="n">
        <v>3</v>
      </c>
      <c r="P11" s="24" t="n">
        <v>0</v>
      </c>
      <c r="Q11" s="24" t="n">
        <v>0</v>
      </c>
      <c r="R11" s="7" t="str">
        <f aca="false">IF(F11="Higher = riskier",IF(AND(G11&lt;H11,H11&lt;I11,I11&lt;J11),"OK","Check order"),IF(AND(G11&gt;H11,H11&gt;I11,I11&gt;J11),"OK","Check order"))</f>
        <v>OK</v>
      </c>
    </row>
    <row r="12" customFormat="false" ht="23.85" hidden="false" customHeight="false" outlineLevel="0" collapsed="false">
      <c r="A12" s="12" t="s">
        <v>341</v>
      </c>
      <c r="B12" s="8" t="s">
        <v>90</v>
      </c>
      <c r="C12" s="22" t="s">
        <v>342</v>
      </c>
      <c r="D12" s="8" t="s">
        <v>325</v>
      </c>
      <c r="E12" s="8" t="s">
        <v>343</v>
      </c>
      <c r="F12" s="8" t="s">
        <v>100</v>
      </c>
      <c r="G12" s="25" t="n">
        <v>0.5</v>
      </c>
      <c r="H12" s="23" t="n">
        <v>2</v>
      </c>
      <c r="I12" s="23" t="n">
        <v>5</v>
      </c>
      <c r="J12" s="23" t="n">
        <v>10</v>
      </c>
      <c r="K12" s="24" t="n">
        <v>3</v>
      </c>
      <c r="L12" s="24" t="n">
        <v>3</v>
      </c>
      <c r="M12" s="24" t="n">
        <v>3</v>
      </c>
      <c r="N12" s="24" t="n">
        <v>2</v>
      </c>
      <c r="O12" s="24" t="n">
        <v>1</v>
      </c>
      <c r="P12" s="24" t="n">
        <v>1</v>
      </c>
      <c r="Q12" s="24" t="n">
        <v>1</v>
      </c>
      <c r="R12" s="7" t="str">
        <f aca="false">IF(F12="Higher = riskier",IF(AND(G12&lt;H12,H12&lt;I12,I12&lt;J12),"OK","Check order"),IF(AND(G12&gt;H12,H12&gt;I12,I12&gt;J12),"OK","Check order"))</f>
        <v>OK</v>
      </c>
    </row>
    <row r="13" customFormat="false" ht="23.85" hidden="false" customHeight="false" outlineLevel="0" collapsed="false">
      <c r="A13" s="12" t="s">
        <v>344</v>
      </c>
      <c r="B13" s="8" t="s">
        <v>90</v>
      </c>
      <c r="C13" s="22" t="s">
        <v>345</v>
      </c>
      <c r="D13" s="8" t="s">
        <v>325</v>
      </c>
      <c r="E13" s="8" t="s">
        <v>346</v>
      </c>
      <c r="F13" s="8" t="s">
        <v>100</v>
      </c>
      <c r="G13" s="25" t="n">
        <v>0.01</v>
      </c>
      <c r="H13" s="25" t="n">
        <v>0.1</v>
      </c>
      <c r="I13" s="25" t="n">
        <v>0.5</v>
      </c>
      <c r="J13" s="23" t="n">
        <v>1</v>
      </c>
      <c r="K13" s="24" t="n">
        <v>1</v>
      </c>
      <c r="L13" s="24" t="n">
        <v>1</v>
      </c>
      <c r="M13" s="24" t="n">
        <v>3</v>
      </c>
      <c r="N13" s="24" t="n">
        <v>3</v>
      </c>
      <c r="O13" s="24" t="n">
        <v>0</v>
      </c>
      <c r="P13" s="24" t="n">
        <v>0</v>
      </c>
      <c r="Q13" s="24" t="n">
        <v>0</v>
      </c>
      <c r="R13" s="7" t="str">
        <f aca="false">IF(F13="Higher = riskier",IF(AND(G13&lt;H13,H13&lt;I13,I13&lt;J13),"OK","Check order"),IF(AND(G13&gt;H13,H13&gt;I13,I13&gt;J13),"OK","Check order"))</f>
        <v>OK</v>
      </c>
    </row>
    <row r="14" customFormat="false" ht="15" hidden="false" customHeight="false" outlineLevel="0" collapsed="false">
      <c r="A14" s="12" t="s">
        <v>347</v>
      </c>
      <c r="B14" s="8" t="s">
        <v>90</v>
      </c>
      <c r="C14" s="22" t="s">
        <v>348</v>
      </c>
      <c r="D14" s="8" t="s">
        <v>349</v>
      </c>
      <c r="E14" s="8" t="s">
        <v>350</v>
      </c>
      <c r="F14" s="8" t="s">
        <v>100</v>
      </c>
      <c r="G14" s="23" t="n">
        <v>2</v>
      </c>
      <c r="H14" s="23" t="n">
        <v>3</v>
      </c>
      <c r="I14" s="23" t="n">
        <v>4</v>
      </c>
      <c r="J14" s="23" t="n">
        <v>5</v>
      </c>
      <c r="K14" s="24" t="n">
        <v>2</v>
      </c>
      <c r="L14" s="24" t="n">
        <v>2</v>
      </c>
      <c r="M14" s="24" t="n">
        <v>1</v>
      </c>
      <c r="N14" s="24" t="n">
        <v>1</v>
      </c>
      <c r="O14" s="24" t="n">
        <v>1</v>
      </c>
      <c r="P14" s="24" t="n">
        <v>1</v>
      </c>
      <c r="Q14" s="24" t="n">
        <v>1</v>
      </c>
      <c r="R14" s="7" t="str">
        <f aca="false">IF(F14="Higher = riskier",IF(AND(G14&lt;H14,H14&lt;I14,I14&lt;J14),"OK","Check order"),IF(AND(G14&gt;H14,H14&gt;I14,I14&gt;J14),"OK","Check order"))</f>
        <v>OK</v>
      </c>
    </row>
    <row r="15" customFormat="false" ht="15" hidden="false" customHeight="false" outlineLevel="0" collapsed="false">
      <c r="A15" s="12" t="s">
        <v>351</v>
      </c>
      <c r="B15" s="8" t="s">
        <v>90</v>
      </c>
      <c r="C15" s="22" t="s">
        <v>352</v>
      </c>
      <c r="D15" s="8" t="s">
        <v>349</v>
      </c>
      <c r="E15" s="8" t="s">
        <v>350</v>
      </c>
      <c r="F15" s="8" t="s">
        <v>100</v>
      </c>
      <c r="G15" s="23" t="n">
        <v>2</v>
      </c>
      <c r="H15" s="23" t="n">
        <v>3</v>
      </c>
      <c r="I15" s="23" t="n">
        <v>4</v>
      </c>
      <c r="J15" s="23" t="n">
        <v>5</v>
      </c>
      <c r="K15" s="24" t="n">
        <v>1</v>
      </c>
      <c r="L15" s="24" t="n">
        <v>0</v>
      </c>
      <c r="M15" s="24" t="n">
        <v>0</v>
      </c>
      <c r="N15" s="24" t="n">
        <v>0</v>
      </c>
      <c r="O15" s="24" t="n">
        <v>3</v>
      </c>
      <c r="P15" s="24" t="n">
        <v>1</v>
      </c>
      <c r="Q15" s="24" t="n">
        <v>1</v>
      </c>
      <c r="R15" s="7" t="str">
        <f aca="false">IF(F15="Higher = riskier",IF(AND(G15&lt;H15,H15&lt;I15,I15&lt;J15),"OK","Check order"),IF(AND(G15&gt;H15,H15&gt;I15,I15&gt;J15),"OK","Check order"))</f>
        <v>OK</v>
      </c>
    </row>
    <row r="16" customFormat="false" ht="15" hidden="false" customHeight="false" outlineLevel="0" collapsed="false">
      <c r="A16" s="12" t="s">
        <v>353</v>
      </c>
      <c r="B16" s="8" t="s">
        <v>90</v>
      </c>
      <c r="C16" s="22" t="s">
        <v>354</v>
      </c>
      <c r="D16" s="8" t="s">
        <v>325</v>
      </c>
      <c r="E16" s="8" t="s">
        <v>355</v>
      </c>
      <c r="F16" s="8" t="s">
        <v>100</v>
      </c>
      <c r="G16" s="23" t="n">
        <v>2</v>
      </c>
      <c r="H16" s="23" t="n">
        <v>5</v>
      </c>
      <c r="I16" s="23" t="n">
        <v>10</v>
      </c>
      <c r="J16" s="23" t="n">
        <v>20</v>
      </c>
      <c r="K16" s="24" t="n">
        <v>1</v>
      </c>
      <c r="L16" s="24" t="n">
        <v>3</v>
      </c>
      <c r="M16" s="24" t="n">
        <v>1</v>
      </c>
      <c r="N16" s="24" t="n">
        <v>1</v>
      </c>
      <c r="O16" s="24" t="n">
        <v>0</v>
      </c>
      <c r="P16" s="24" t="n">
        <v>1</v>
      </c>
      <c r="Q16" s="24" t="n">
        <v>0</v>
      </c>
      <c r="R16" s="7" t="str">
        <f aca="false">IF(F16="Higher = riskier",IF(AND(G16&lt;H16,H16&lt;I16,I16&lt;J16),"OK","Check order"),IF(AND(G16&gt;H16,H16&gt;I16,I16&gt;J16),"OK","Check order"))</f>
        <v>OK</v>
      </c>
    </row>
    <row r="17" customFormat="false" ht="15" hidden="false" customHeight="false" outlineLevel="0" collapsed="false">
      <c r="A17" s="12" t="s">
        <v>356</v>
      </c>
      <c r="B17" s="8" t="s">
        <v>90</v>
      </c>
      <c r="C17" s="22" t="s">
        <v>357</v>
      </c>
      <c r="D17" s="8" t="s">
        <v>325</v>
      </c>
      <c r="E17" s="8" t="s">
        <v>358</v>
      </c>
      <c r="F17" s="8" t="s">
        <v>100</v>
      </c>
      <c r="G17" s="23" t="n">
        <v>5</v>
      </c>
      <c r="H17" s="23" t="n">
        <v>10</v>
      </c>
      <c r="I17" s="23" t="n">
        <v>20</v>
      </c>
      <c r="J17" s="23" t="n">
        <v>35</v>
      </c>
      <c r="K17" s="24" t="n">
        <v>1</v>
      </c>
      <c r="L17" s="24" t="n">
        <v>0</v>
      </c>
      <c r="M17" s="24" t="n">
        <v>0</v>
      </c>
      <c r="N17" s="24" t="n">
        <v>0</v>
      </c>
      <c r="O17" s="24" t="n">
        <v>0</v>
      </c>
      <c r="P17" s="24" t="n">
        <v>0</v>
      </c>
      <c r="Q17" s="24" t="n">
        <v>3</v>
      </c>
      <c r="R17" s="7" t="str">
        <f aca="false">IF(F17="Higher = riskier",IF(AND(G17&lt;H17,H17&lt;I17,I17&lt;J17),"OK","Check order"),IF(AND(G17&gt;H17,H17&gt;I17,I17&gt;J17),"OK","Check order"))</f>
        <v>OK</v>
      </c>
    </row>
    <row r="18" customFormat="false" ht="15" hidden="false" customHeight="false" outlineLevel="0" collapsed="false">
      <c r="A18" s="12" t="s">
        <v>359</v>
      </c>
      <c r="B18" s="8" t="s">
        <v>92</v>
      </c>
      <c r="C18" s="22" t="s">
        <v>360</v>
      </c>
      <c r="D18" s="8" t="s">
        <v>325</v>
      </c>
      <c r="E18" s="8" t="s">
        <v>361</v>
      </c>
      <c r="F18" s="8" t="s">
        <v>100</v>
      </c>
      <c r="G18" s="23" t="n">
        <v>2</v>
      </c>
      <c r="H18" s="23" t="n">
        <v>5</v>
      </c>
      <c r="I18" s="23" t="n">
        <v>10</v>
      </c>
      <c r="J18" s="23" t="n">
        <v>20</v>
      </c>
      <c r="K18" s="24" t="n">
        <v>2</v>
      </c>
      <c r="L18" s="24" t="n">
        <v>1</v>
      </c>
      <c r="M18" s="24" t="n">
        <v>3</v>
      </c>
      <c r="N18" s="24" t="n">
        <v>2</v>
      </c>
      <c r="O18" s="24" t="n">
        <v>1</v>
      </c>
      <c r="P18" s="24" t="n">
        <v>1</v>
      </c>
      <c r="Q18" s="24" t="n">
        <v>0</v>
      </c>
      <c r="R18" s="7" t="str">
        <f aca="false">IF(F18="Higher = riskier",IF(AND(G18&lt;H18,H18&lt;I18,I18&lt;J18),"OK","Check order"),IF(AND(G18&gt;H18,H18&gt;I18,I18&gt;J18),"OK","Check order"))</f>
        <v>OK</v>
      </c>
    </row>
    <row r="19" customFormat="false" ht="15" hidden="false" customHeight="false" outlineLevel="0" collapsed="false">
      <c r="A19" s="12" t="s">
        <v>362</v>
      </c>
      <c r="B19" s="8" t="s">
        <v>92</v>
      </c>
      <c r="C19" s="22" t="s">
        <v>363</v>
      </c>
      <c r="D19" s="8" t="s">
        <v>329</v>
      </c>
      <c r="E19" s="8" t="s">
        <v>364</v>
      </c>
      <c r="F19" s="8" t="s">
        <v>100</v>
      </c>
      <c r="G19" s="23" t="n">
        <v>5</v>
      </c>
      <c r="H19" s="23" t="n">
        <v>15</v>
      </c>
      <c r="I19" s="23" t="n">
        <v>30</v>
      </c>
      <c r="J19" s="23" t="n">
        <v>60</v>
      </c>
      <c r="K19" s="24" t="n">
        <v>2</v>
      </c>
      <c r="L19" s="24" t="n">
        <v>2</v>
      </c>
      <c r="M19" s="24" t="n">
        <v>2</v>
      </c>
      <c r="N19" s="24" t="n">
        <v>2</v>
      </c>
      <c r="O19" s="24" t="n">
        <v>0</v>
      </c>
      <c r="P19" s="24" t="n">
        <v>0</v>
      </c>
      <c r="Q19" s="24" t="n">
        <v>1</v>
      </c>
      <c r="R19" s="7" t="str">
        <f aca="false">IF(F19="Higher = riskier",IF(AND(G19&lt;H19,H19&lt;I19,I19&lt;J19),"OK","Check order"),IF(AND(G19&gt;H19,H19&gt;I19,I19&gt;J19),"OK","Check order"))</f>
        <v>OK</v>
      </c>
    </row>
    <row r="20" customFormat="false" ht="15" hidden="false" customHeight="false" outlineLevel="0" collapsed="false">
      <c r="A20" s="12" t="s">
        <v>365</v>
      </c>
      <c r="B20" s="8" t="s">
        <v>92</v>
      </c>
      <c r="C20" s="22" t="s">
        <v>366</v>
      </c>
      <c r="D20" s="8" t="s">
        <v>325</v>
      </c>
      <c r="E20" s="8" t="s">
        <v>367</v>
      </c>
      <c r="F20" s="8" t="s">
        <v>100</v>
      </c>
      <c r="G20" s="23" t="n">
        <v>1</v>
      </c>
      <c r="H20" s="23" t="n">
        <v>5</v>
      </c>
      <c r="I20" s="23" t="n">
        <v>10</v>
      </c>
      <c r="J20" s="23" t="n">
        <v>20</v>
      </c>
      <c r="K20" s="24" t="n">
        <v>2</v>
      </c>
      <c r="L20" s="24" t="n">
        <v>0</v>
      </c>
      <c r="M20" s="24" t="n">
        <v>0</v>
      </c>
      <c r="N20" s="24" t="n">
        <v>1</v>
      </c>
      <c r="O20" s="24" t="n">
        <v>1</v>
      </c>
      <c r="P20" s="24" t="n">
        <v>0</v>
      </c>
      <c r="Q20" s="24" t="n">
        <v>3</v>
      </c>
      <c r="R20" s="7" t="str">
        <f aca="false">IF(F20="Higher = riskier",IF(AND(G20&lt;H20,H20&lt;I20,I20&lt;J20),"OK","Check order"),IF(AND(G20&gt;H20,H20&gt;I20,I20&gt;J20),"OK","Check order"))</f>
        <v>OK</v>
      </c>
    </row>
    <row r="21" customFormat="false" ht="15" hidden="false" customHeight="false" outlineLevel="0" collapsed="false">
      <c r="A21" s="12" t="s">
        <v>368</v>
      </c>
      <c r="B21" s="8" t="s">
        <v>92</v>
      </c>
      <c r="C21" s="22" t="s">
        <v>369</v>
      </c>
      <c r="D21" s="8" t="s">
        <v>325</v>
      </c>
      <c r="E21" s="8" t="s">
        <v>370</v>
      </c>
      <c r="F21" s="8" t="s">
        <v>100</v>
      </c>
      <c r="G21" s="23" t="n">
        <v>2</v>
      </c>
      <c r="H21" s="23" t="n">
        <v>5</v>
      </c>
      <c r="I21" s="23" t="n">
        <v>10</v>
      </c>
      <c r="J21" s="23" t="n">
        <v>20</v>
      </c>
      <c r="K21" s="24" t="n">
        <v>1</v>
      </c>
      <c r="L21" s="24" t="n">
        <v>2</v>
      </c>
      <c r="M21" s="24" t="n">
        <v>0</v>
      </c>
      <c r="N21" s="24" t="n">
        <v>0</v>
      </c>
      <c r="O21" s="24" t="n">
        <v>0</v>
      </c>
      <c r="P21" s="24" t="n">
        <v>2</v>
      </c>
      <c r="Q21" s="24" t="n">
        <v>0</v>
      </c>
      <c r="R21" s="7" t="str">
        <f aca="false">IF(F21="Higher = riskier",IF(AND(G21&lt;H21,H21&lt;I21,I21&lt;J21),"OK","Check order"),IF(AND(G21&gt;H21,H21&gt;I21,I21&gt;J21),"OK","Check order"))</f>
        <v>OK</v>
      </c>
    </row>
    <row r="22" customFormat="false" ht="15" hidden="false" customHeight="false" outlineLevel="0" collapsed="false">
      <c r="A22" s="12" t="s">
        <v>371</v>
      </c>
      <c r="B22" s="8" t="s">
        <v>92</v>
      </c>
      <c r="C22" s="22" t="s">
        <v>372</v>
      </c>
      <c r="D22" s="8" t="s">
        <v>325</v>
      </c>
      <c r="E22" s="8" t="s">
        <v>361</v>
      </c>
      <c r="F22" s="8" t="s">
        <v>100</v>
      </c>
      <c r="G22" s="25" t="n">
        <v>0.5</v>
      </c>
      <c r="H22" s="23" t="n">
        <v>1</v>
      </c>
      <c r="I22" s="23" t="n">
        <v>5</v>
      </c>
      <c r="J22" s="23" t="n">
        <v>10</v>
      </c>
      <c r="K22" s="24" t="n">
        <v>1</v>
      </c>
      <c r="L22" s="24" t="n">
        <v>0</v>
      </c>
      <c r="M22" s="24" t="n">
        <v>3</v>
      </c>
      <c r="N22" s="24" t="n">
        <v>2</v>
      </c>
      <c r="O22" s="24" t="n">
        <v>0</v>
      </c>
      <c r="P22" s="24" t="n">
        <v>0</v>
      </c>
      <c r="Q22" s="24" t="n">
        <v>0</v>
      </c>
      <c r="R22" s="7" t="str">
        <f aca="false">IF(F22="Higher = riskier",IF(AND(G22&lt;H22,H22&lt;I22,I22&lt;J22),"OK","Check order"),IF(AND(G22&gt;H22,H22&gt;I22,I22&gt;J22),"OK","Check order"))</f>
        <v>OK</v>
      </c>
    </row>
    <row r="23" customFormat="false" ht="23.85" hidden="false" customHeight="false" outlineLevel="0" collapsed="false">
      <c r="A23" s="12" t="s">
        <v>373</v>
      </c>
      <c r="B23" s="8" t="s">
        <v>92</v>
      </c>
      <c r="C23" s="22" t="s">
        <v>374</v>
      </c>
      <c r="D23" s="8" t="s">
        <v>349</v>
      </c>
      <c r="E23" s="8" t="s">
        <v>375</v>
      </c>
      <c r="F23" s="8" t="s">
        <v>100</v>
      </c>
      <c r="G23" s="23" t="n">
        <v>2</v>
      </c>
      <c r="H23" s="23" t="n">
        <v>3</v>
      </c>
      <c r="I23" s="23" t="n">
        <v>4</v>
      </c>
      <c r="J23" s="23" t="n">
        <v>5</v>
      </c>
      <c r="K23" s="24" t="n">
        <v>2</v>
      </c>
      <c r="L23" s="24" t="n">
        <v>1</v>
      </c>
      <c r="M23" s="24" t="n">
        <v>1</v>
      </c>
      <c r="N23" s="24" t="n">
        <v>1</v>
      </c>
      <c r="O23" s="24" t="n">
        <v>0</v>
      </c>
      <c r="P23" s="24" t="n">
        <v>2</v>
      </c>
      <c r="Q23" s="24" t="n">
        <v>2</v>
      </c>
      <c r="R23" s="7" t="str">
        <f aca="false">IF(F23="Higher = riskier",IF(AND(G23&lt;H23,H23&lt;I23,I23&lt;J23),"OK","Check order"),IF(AND(G23&gt;H23,H23&gt;I23,I23&gt;J23),"OK","Check order"))</f>
        <v>OK</v>
      </c>
    </row>
    <row r="24" customFormat="false" ht="15" hidden="false" customHeight="false" outlineLevel="0" collapsed="false">
      <c r="A24" s="12" t="s">
        <v>376</v>
      </c>
      <c r="B24" s="8" t="s">
        <v>94</v>
      </c>
      <c r="C24" s="22" t="s">
        <v>377</v>
      </c>
      <c r="D24" s="8" t="s">
        <v>325</v>
      </c>
      <c r="E24" s="8" t="s">
        <v>378</v>
      </c>
      <c r="F24" s="8" t="s">
        <v>100</v>
      </c>
      <c r="G24" s="23" t="n">
        <v>10</v>
      </c>
      <c r="H24" s="23" t="n">
        <v>25</v>
      </c>
      <c r="I24" s="23" t="n">
        <v>40</v>
      </c>
      <c r="J24" s="23" t="n">
        <v>60</v>
      </c>
      <c r="K24" s="24" t="n">
        <v>2</v>
      </c>
      <c r="L24" s="24" t="n">
        <v>1</v>
      </c>
      <c r="M24" s="24" t="n">
        <v>0</v>
      </c>
      <c r="N24" s="24" t="n">
        <v>0</v>
      </c>
      <c r="O24" s="24" t="n">
        <v>0</v>
      </c>
      <c r="P24" s="24" t="n">
        <v>3</v>
      </c>
      <c r="Q24" s="24" t="n">
        <v>2</v>
      </c>
      <c r="R24" s="7" t="str">
        <f aca="false">IF(F24="Higher = riskier",IF(AND(G24&lt;H24,H24&lt;I24,I24&lt;J24),"OK","Check order"),IF(AND(G24&gt;H24,H24&gt;I24,I24&gt;J24),"OK","Check order"))</f>
        <v>OK</v>
      </c>
    </row>
    <row r="25" customFormat="false" ht="15" hidden="false" customHeight="false" outlineLevel="0" collapsed="false">
      <c r="A25" s="12" t="s">
        <v>379</v>
      </c>
      <c r="B25" s="8" t="s">
        <v>94</v>
      </c>
      <c r="C25" s="22" t="s">
        <v>380</v>
      </c>
      <c r="D25" s="8" t="s">
        <v>325</v>
      </c>
      <c r="E25" s="8" t="s">
        <v>381</v>
      </c>
      <c r="F25" s="8" t="s">
        <v>100</v>
      </c>
      <c r="G25" s="23" t="n">
        <v>2</v>
      </c>
      <c r="H25" s="23" t="n">
        <v>5</v>
      </c>
      <c r="I25" s="23" t="n">
        <v>10</v>
      </c>
      <c r="J25" s="23" t="n">
        <v>20</v>
      </c>
      <c r="K25" s="24" t="n">
        <v>2</v>
      </c>
      <c r="L25" s="24" t="n">
        <v>2</v>
      </c>
      <c r="M25" s="24" t="n">
        <v>2</v>
      </c>
      <c r="N25" s="24" t="n">
        <v>1</v>
      </c>
      <c r="O25" s="24" t="n">
        <v>2</v>
      </c>
      <c r="P25" s="24" t="n">
        <v>1</v>
      </c>
      <c r="Q25" s="24" t="n">
        <v>2</v>
      </c>
      <c r="R25" s="7" t="str">
        <f aca="false">IF(F25="Higher = riskier",IF(AND(G25&lt;H25,H25&lt;I25,I25&lt;J25),"OK","Check order"),IF(AND(G25&gt;H25,H25&gt;I25,I25&gt;J25),"OK","Check order"))</f>
        <v>OK</v>
      </c>
    </row>
    <row r="26" customFormat="false" ht="15" hidden="false" customHeight="false" outlineLevel="0" collapsed="false">
      <c r="A26" s="12" t="s">
        <v>382</v>
      </c>
      <c r="B26" s="8" t="s">
        <v>94</v>
      </c>
      <c r="C26" s="22" t="s">
        <v>383</v>
      </c>
      <c r="D26" s="8" t="s">
        <v>325</v>
      </c>
      <c r="E26" s="8" t="s">
        <v>384</v>
      </c>
      <c r="F26" s="8" t="s">
        <v>100</v>
      </c>
      <c r="G26" s="23" t="n">
        <v>10</v>
      </c>
      <c r="H26" s="23" t="n">
        <v>25</v>
      </c>
      <c r="I26" s="23" t="n">
        <v>40</v>
      </c>
      <c r="J26" s="23" t="n">
        <v>60</v>
      </c>
      <c r="K26" s="24" t="n">
        <v>2</v>
      </c>
      <c r="L26" s="24" t="n">
        <v>2</v>
      </c>
      <c r="M26" s="24" t="n">
        <v>1</v>
      </c>
      <c r="N26" s="24" t="n">
        <v>2</v>
      </c>
      <c r="O26" s="24" t="n">
        <v>0</v>
      </c>
      <c r="P26" s="24" t="n">
        <v>3</v>
      </c>
      <c r="Q26" s="24" t="n">
        <v>0</v>
      </c>
      <c r="R26" s="7" t="str">
        <f aca="false">IF(F26="Higher = riskier",IF(AND(G26&lt;H26,H26&lt;I26,I26&lt;J26),"OK","Check order"),IF(AND(G26&gt;H26,H26&gt;I26,I26&gt;J26),"OK","Check order"))</f>
        <v>OK</v>
      </c>
    </row>
    <row r="27" customFormat="false" ht="15" hidden="false" customHeight="false" outlineLevel="0" collapsed="false">
      <c r="A27" s="12" t="s">
        <v>385</v>
      </c>
      <c r="B27" s="8" t="s">
        <v>94</v>
      </c>
      <c r="C27" s="22" t="s">
        <v>386</v>
      </c>
      <c r="D27" s="8" t="s">
        <v>329</v>
      </c>
      <c r="E27" s="8" t="s">
        <v>387</v>
      </c>
      <c r="F27" s="8" t="s">
        <v>100</v>
      </c>
      <c r="G27" s="23" t="n">
        <v>1</v>
      </c>
      <c r="H27" s="23" t="n">
        <v>2</v>
      </c>
      <c r="I27" s="23" t="n">
        <v>3</v>
      </c>
      <c r="J27" s="23" t="n">
        <v>5</v>
      </c>
      <c r="K27" s="24" t="n">
        <v>1</v>
      </c>
      <c r="L27" s="24" t="n">
        <v>1</v>
      </c>
      <c r="M27" s="24" t="n">
        <v>0</v>
      </c>
      <c r="N27" s="24" t="n">
        <v>0</v>
      </c>
      <c r="O27" s="24" t="n">
        <v>0</v>
      </c>
      <c r="P27" s="24" t="n">
        <v>2</v>
      </c>
      <c r="Q27" s="24" t="n">
        <v>0</v>
      </c>
      <c r="R27" s="7" t="str">
        <f aca="false">IF(F27="Higher = riskier",IF(AND(G27&lt;H27,H27&lt;I27,I27&lt;J27),"OK","Check order"),IF(AND(G27&gt;H27,H27&gt;I27,I27&gt;J27),"OK","Check order"))</f>
        <v>OK</v>
      </c>
    </row>
    <row r="28" customFormat="false" ht="15" hidden="false" customHeight="false" outlineLevel="0" collapsed="false">
      <c r="A28" s="12" t="s">
        <v>388</v>
      </c>
      <c r="B28" s="8" t="s">
        <v>94</v>
      </c>
      <c r="C28" s="22" t="s">
        <v>389</v>
      </c>
      <c r="D28" s="8" t="s">
        <v>329</v>
      </c>
      <c r="E28" s="8" t="s">
        <v>390</v>
      </c>
      <c r="F28" s="8" t="s">
        <v>100</v>
      </c>
      <c r="G28" s="23" t="n">
        <v>1</v>
      </c>
      <c r="H28" s="23" t="n">
        <v>5</v>
      </c>
      <c r="I28" s="23" t="n">
        <v>10</v>
      </c>
      <c r="J28" s="23" t="n">
        <v>20</v>
      </c>
      <c r="K28" s="24" t="n">
        <v>0</v>
      </c>
      <c r="L28" s="24" t="n">
        <v>0</v>
      </c>
      <c r="M28" s="24" t="n">
        <v>0</v>
      </c>
      <c r="N28" s="24" t="n">
        <v>0</v>
      </c>
      <c r="O28" s="24" t="n">
        <v>3</v>
      </c>
      <c r="P28" s="24" t="n">
        <v>0</v>
      </c>
      <c r="Q28" s="24" t="n">
        <v>0</v>
      </c>
      <c r="R28" s="7" t="str">
        <f aca="false">IF(F28="Higher = riskier",IF(AND(G28&lt;H28,H28&lt;I28,I28&lt;J28),"OK","Check order"),IF(AND(G28&gt;H28,H28&gt;I28,I28&gt;J28),"OK","Check order"))</f>
        <v>OK</v>
      </c>
    </row>
    <row r="29" customFormat="false" ht="15" hidden="false" customHeight="false" outlineLevel="0" collapsed="false">
      <c r="A29" s="12" t="s">
        <v>391</v>
      </c>
      <c r="B29" s="8" t="s">
        <v>96</v>
      </c>
      <c r="C29" s="22" t="s">
        <v>392</v>
      </c>
      <c r="D29" s="8" t="s">
        <v>325</v>
      </c>
      <c r="E29" s="8" t="s">
        <v>334</v>
      </c>
      <c r="F29" s="8" t="s">
        <v>100</v>
      </c>
      <c r="G29" s="23" t="n">
        <v>5</v>
      </c>
      <c r="H29" s="23" t="n">
        <v>10</v>
      </c>
      <c r="I29" s="23" t="n">
        <v>20</v>
      </c>
      <c r="J29" s="23" t="n">
        <v>35</v>
      </c>
      <c r="K29" s="24" t="n">
        <v>3</v>
      </c>
      <c r="L29" s="24" t="n">
        <v>2</v>
      </c>
      <c r="M29" s="24" t="n">
        <v>0</v>
      </c>
      <c r="N29" s="24" t="n">
        <v>0</v>
      </c>
      <c r="O29" s="24" t="n">
        <v>0</v>
      </c>
      <c r="P29" s="24" t="n">
        <v>1</v>
      </c>
      <c r="Q29" s="24" t="n">
        <v>1</v>
      </c>
      <c r="R29" s="7" t="str">
        <f aca="false">IF(F29="Higher = riskier",IF(AND(G29&lt;H29,H29&lt;I29,I29&lt;J29),"OK","Check order"),IF(AND(G29&gt;H29,H29&gt;I29,I29&gt;J29),"OK","Check order"))</f>
        <v>OK</v>
      </c>
    </row>
    <row r="30" customFormat="false" ht="15" hidden="false" customHeight="false" outlineLevel="0" collapsed="false">
      <c r="A30" s="12" t="s">
        <v>393</v>
      </c>
      <c r="B30" s="8" t="s">
        <v>96</v>
      </c>
      <c r="C30" s="22" t="s">
        <v>394</v>
      </c>
      <c r="D30" s="8" t="s">
        <v>395</v>
      </c>
      <c r="E30" s="8" t="s">
        <v>396</v>
      </c>
      <c r="F30" s="8" t="s">
        <v>100</v>
      </c>
      <c r="G30" s="23" t="n">
        <v>5</v>
      </c>
      <c r="H30" s="23" t="n">
        <v>20</v>
      </c>
      <c r="I30" s="23" t="n">
        <v>50</v>
      </c>
      <c r="J30" s="23" t="n">
        <v>100</v>
      </c>
      <c r="K30" s="24" t="n">
        <v>2</v>
      </c>
      <c r="L30" s="24" t="n">
        <v>2</v>
      </c>
      <c r="M30" s="24" t="n">
        <v>2</v>
      </c>
      <c r="N30" s="24" t="n">
        <v>3</v>
      </c>
      <c r="O30" s="24" t="n">
        <v>0</v>
      </c>
      <c r="P30" s="24" t="n">
        <v>1</v>
      </c>
      <c r="Q30" s="24" t="n">
        <v>1</v>
      </c>
      <c r="R30" s="7" t="str">
        <f aca="false">IF(F30="Higher = riskier",IF(AND(G30&lt;H30,H30&lt;I30,I30&lt;J30),"OK","Check order"),IF(AND(G30&gt;H30,H30&gt;I30,I30&gt;J30),"OK","Check order"))</f>
        <v>OK</v>
      </c>
    </row>
    <row r="31" customFormat="false" ht="15" hidden="false" customHeight="false" outlineLevel="0" collapsed="false">
      <c r="A31" s="12" t="s">
        <v>397</v>
      </c>
      <c r="B31" s="8" t="s">
        <v>96</v>
      </c>
      <c r="C31" s="22" t="s">
        <v>398</v>
      </c>
      <c r="D31" s="8" t="s">
        <v>329</v>
      </c>
      <c r="E31" s="8" t="s">
        <v>334</v>
      </c>
      <c r="F31" s="8" t="s">
        <v>100</v>
      </c>
      <c r="G31" s="23" t="n">
        <v>20</v>
      </c>
      <c r="H31" s="23" t="n">
        <v>100</v>
      </c>
      <c r="I31" s="23" t="n">
        <v>300</v>
      </c>
      <c r="J31" s="23" t="n">
        <v>600</v>
      </c>
      <c r="K31" s="24" t="n">
        <v>1</v>
      </c>
      <c r="L31" s="24" t="n">
        <v>0</v>
      </c>
      <c r="M31" s="24" t="n">
        <v>2</v>
      </c>
      <c r="N31" s="24" t="n">
        <v>2</v>
      </c>
      <c r="O31" s="24" t="n">
        <v>2</v>
      </c>
      <c r="P31" s="24" t="n">
        <v>0</v>
      </c>
      <c r="Q31" s="24" t="n">
        <v>0</v>
      </c>
      <c r="R31" s="7" t="str">
        <f aca="false">IF(F31="Higher = riskier",IF(AND(G31&lt;H31,H31&lt;I31,I31&lt;J31),"OK","Check order"),IF(AND(G31&gt;H31,H31&gt;I31,I31&gt;J31),"OK","Check order"))</f>
        <v>OK</v>
      </c>
    </row>
    <row r="32" customFormat="false" ht="15" hidden="false" customHeight="false" outlineLevel="0" collapsed="false">
      <c r="A32" s="12" t="s">
        <v>399</v>
      </c>
      <c r="B32" s="8" t="s">
        <v>96</v>
      </c>
      <c r="C32" s="22" t="s">
        <v>400</v>
      </c>
      <c r="D32" s="8" t="s">
        <v>329</v>
      </c>
      <c r="E32" s="8" t="s">
        <v>401</v>
      </c>
      <c r="F32" s="8" t="s">
        <v>100</v>
      </c>
      <c r="G32" s="23" t="n">
        <v>2</v>
      </c>
      <c r="H32" s="23" t="n">
        <v>5</v>
      </c>
      <c r="I32" s="23" t="n">
        <v>10</v>
      </c>
      <c r="J32" s="23" t="n">
        <v>20</v>
      </c>
      <c r="K32" s="24" t="n">
        <v>2</v>
      </c>
      <c r="L32" s="24" t="n">
        <v>1</v>
      </c>
      <c r="M32" s="24" t="n">
        <v>0</v>
      </c>
      <c r="N32" s="24" t="n">
        <v>0</v>
      </c>
      <c r="O32" s="24" t="n">
        <v>0</v>
      </c>
      <c r="P32" s="24" t="n">
        <v>0</v>
      </c>
      <c r="Q32" s="24" t="n">
        <v>0</v>
      </c>
      <c r="R32" s="7" t="str">
        <f aca="false">IF(F32="Higher = riskier",IF(AND(G32&lt;H32,H32&lt;I32,I32&lt;J32),"OK","Check order"),IF(AND(G32&gt;H32,H32&gt;I32,I32&gt;J32),"OK","Check order"))</f>
        <v>OK</v>
      </c>
    </row>
    <row r="33" customFormat="false" ht="15" hidden="false" customHeight="false" outlineLevel="0" collapsed="false">
      <c r="A33" s="12" t="s">
        <v>402</v>
      </c>
      <c r="B33" s="8" t="s">
        <v>96</v>
      </c>
      <c r="C33" s="22" t="s">
        <v>403</v>
      </c>
      <c r="D33" s="8" t="s">
        <v>329</v>
      </c>
      <c r="E33" s="8" t="s">
        <v>404</v>
      </c>
      <c r="F33" s="8" t="s">
        <v>100</v>
      </c>
      <c r="G33" s="23" t="n">
        <v>1</v>
      </c>
      <c r="H33" s="23" t="n">
        <v>3</v>
      </c>
      <c r="I33" s="23" t="n">
        <v>6</v>
      </c>
      <c r="J33" s="23" t="n">
        <v>10</v>
      </c>
      <c r="K33" s="24" t="n">
        <v>2</v>
      </c>
      <c r="L33" s="24" t="n">
        <v>2</v>
      </c>
      <c r="M33" s="24" t="n">
        <v>0</v>
      </c>
      <c r="N33" s="24" t="n">
        <v>0</v>
      </c>
      <c r="O33" s="24" t="n">
        <v>0</v>
      </c>
      <c r="P33" s="24" t="n">
        <v>0</v>
      </c>
      <c r="Q33" s="24" t="n">
        <v>0</v>
      </c>
      <c r="R33" s="7" t="str">
        <f aca="false">IF(F33="Higher = riskier",IF(AND(G33&lt;H33,H33&lt;I33,I33&lt;J33),"OK","Check order"),IF(AND(G33&gt;H33,H33&gt;I33,I33&gt;J33),"OK","Check order"))</f>
        <v>OK</v>
      </c>
    </row>
    <row r="34" customFormat="false" ht="15" hidden="false" customHeight="false" outlineLevel="0" collapsed="false">
      <c r="A34" s="12" t="s">
        <v>405</v>
      </c>
      <c r="B34" s="8" t="s">
        <v>96</v>
      </c>
      <c r="C34" s="22" t="s">
        <v>406</v>
      </c>
      <c r="D34" s="8" t="s">
        <v>329</v>
      </c>
      <c r="E34" s="8" t="s">
        <v>407</v>
      </c>
      <c r="F34" s="8" t="s">
        <v>100</v>
      </c>
      <c r="G34" s="23" t="n">
        <v>1</v>
      </c>
      <c r="H34" s="23" t="n">
        <v>3</v>
      </c>
      <c r="I34" s="23" t="n">
        <v>6</v>
      </c>
      <c r="J34" s="23" t="n">
        <v>10</v>
      </c>
      <c r="K34" s="24" t="n">
        <v>0</v>
      </c>
      <c r="L34" s="24" t="n">
        <v>0</v>
      </c>
      <c r="M34" s="24" t="n">
        <v>0</v>
      </c>
      <c r="N34" s="24" t="n">
        <v>0</v>
      </c>
      <c r="O34" s="24" t="n">
        <v>0</v>
      </c>
      <c r="P34" s="24" t="n">
        <v>3</v>
      </c>
      <c r="Q34" s="24" t="n">
        <v>0</v>
      </c>
      <c r="R34" s="7" t="str">
        <f aca="false">IF(F34="Higher = riskier",IF(AND(G34&lt;H34,H34&lt;I34,I34&lt;J34),"OK","Check order"),IF(AND(G34&gt;H34,H34&gt;I34,I34&gt;J34),"OK","Check order"))</f>
        <v>OK</v>
      </c>
    </row>
    <row r="35" customFormat="false" ht="15" hidden="false" customHeight="false" outlineLevel="0" collapsed="false">
      <c r="A35" s="12" t="s">
        <v>408</v>
      </c>
      <c r="B35" s="8" t="s">
        <v>96</v>
      </c>
      <c r="C35" s="22" t="s">
        <v>409</v>
      </c>
      <c r="D35" s="8" t="s">
        <v>325</v>
      </c>
      <c r="E35" s="8" t="s">
        <v>410</v>
      </c>
      <c r="F35" s="8" t="s">
        <v>100</v>
      </c>
      <c r="G35" s="23" t="n">
        <v>1</v>
      </c>
      <c r="H35" s="23" t="n">
        <v>3</v>
      </c>
      <c r="I35" s="23" t="n">
        <v>6</v>
      </c>
      <c r="J35" s="23" t="n">
        <v>10</v>
      </c>
      <c r="K35" s="24" t="n">
        <v>0</v>
      </c>
      <c r="L35" s="24" t="n">
        <v>0</v>
      </c>
      <c r="M35" s="24" t="n">
        <v>0</v>
      </c>
      <c r="N35" s="24" t="n">
        <v>0</v>
      </c>
      <c r="O35" s="24" t="n">
        <v>0</v>
      </c>
      <c r="P35" s="24" t="n">
        <v>0</v>
      </c>
      <c r="Q35" s="24" t="n">
        <v>3</v>
      </c>
      <c r="R35" s="7" t="str">
        <f aca="false">IF(F35="Higher = riskier",IF(AND(G35&lt;H35,H35&lt;I35,I35&lt;J35),"OK","Check order"),IF(AND(G35&gt;H35,H35&gt;I35,I35&gt;J35),"OK","Check order"))</f>
        <v>OK</v>
      </c>
    </row>
  </sheetData>
  <dataValidations count="2">
    <dataValidation allowBlank="false" errorStyle="stop" operator="between" showDropDown="false" showErrorMessage="false" showInputMessage="false" sqref="B5:B35" type="list">
      <formula1>Config!$H$18:$H$22</formula1>
      <formula2>0</formula2>
    </dataValidation>
    <dataValidation allowBlank="false" errorStyle="stop" operator="between" showDropDown="false" showErrorMessage="false" showInputMessage="false" sqref="F5:F35" type="list">
      <formula1>Config!$H$24:$H$25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33" min="4" style="0" width="9"/>
  </cols>
  <sheetData>
    <row r="1" customFormat="false" ht="17.35" hidden="false" customHeight="false" outlineLevel="0" collapsed="false">
      <c r="A1" s="1" t="s">
        <v>411</v>
      </c>
    </row>
    <row r="2" customFormat="false" ht="15" hidden="false" customHeight="false" outlineLevel="0" collapsed="false">
      <c r="A2" s="2" t="s">
        <v>412</v>
      </c>
    </row>
    <row r="4" customFormat="false" ht="27.75" hidden="false" customHeight="true" outlineLevel="0" collapsed="false">
      <c r="A4" s="5" t="s">
        <v>305</v>
      </c>
      <c r="B4" s="5" t="s">
        <v>307</v>
      </c>
      <c r="C4" s="5" t="s">
        <v>308</v>
      </c>
      <c r="D4" s="5" t="str">
        <f aca="false">Entities!A5</f>
        <v>JO-HO</v>
      </c>
      <c r="E4" s="5" t="str">
        <f aca="false">Entities!A6</f>
        <v>JO-IIAB</v>
      </c>
      <c r="F4" s="5" t="str">
        <f aca="false">Entities!A7</f>
        <v>JO-INV</v>
      </c>
      <c r="G4" s="5" t="str">
        <f aca="false">Entities!A8</f>
        <v>JO-INS</v>
      </c>
      <c r="H4" s="5" t="str">
        <f aca="false">Entities!A9</f>
        <v>JO-LSG</v>
      </c>
      <c r="I4" s="5" t="str">
        <f aca="false">Entities!A10</f>
        <v>PS</v>
      </c>
      <c r="J4" s="5" t="str">
        <f aca="false">Entities!A11</f>
        <v>PS-INV</v>
      </c>
      <c r="K4" s="5" t="str">
        <f aca="false">Entities!A12</f>
        <v>LB</v>
      </c>
      <c r="L4" s="5" t="str">
        <f aca="false">Entities!A13</f>
        <v>SY</v>
      </c>
      <c r="M4" s="5" t="str">
        <f aca="false">Entities!A14</f>
        <v>AE</v>
      </c>
      <c r="N4" s="5" t="str">
        <f aca="false">Entities!A15</f>
        <v>BH</v>
      </c>
      <c r="O4" s="5" t="str">
        <f aca="false">Entities!A16</f>
        <v>QA</v>
      </c>
      <c r="P4" s="5" t="str">
        <f aca="false">Entities!A17</f>
        <v>SA</v>
      </c>
      <c r="Q4" s="5" t="str">
        <f aca="false">Entities!A18</f>
        <v>OM</v>
      </c>
      <c r="R4" s="5" t="str">
        <f aca="false">Entities!A19</f>
        <v>IQ</v>
      </c>
      <c r="S4" s="5" t="str">
        <f aca="false">Entities!A20</f>
        <v>YE</v>
      </c>
      <c r="T4" s="5" t="str">
        <f aca="false">Entities!A21</f>
        <v>EG</v>
      </c>
      <c r="U4" s="5" t="str">
        <f aca="false">Entities!A22</f>
        <v>DZ</v>
      </c>
      <c r="V4" s="5" t="str">
        <f aca="false">Entities!A23</f>
        <v>MA</v>
      </c>
      <c r="W4" s="5" t="str">
        <f aca="false">Entities!A24</f>
        <v>TN</v>
      </c>
      <c r="X4" s="5" t="str">
        <f aca="false">Entities!A25</f>
        <v>SD</v>
      </c>
      <c r="Y4" s="5" t="str">
        <f aca="false">Entities!A26</f>
        <v>GB</v>
      </c>
      <c r="Z4" s="5" t="str">
        <f aca="false">Entities!A27</f>
        <v>FR</v>
      </c>
      <c r="AA4" s="5" t="str">
        <f aca="false">Entities!A28</f>
        <v>DE</v>
      </c>
      <c r="AB4" s="5" t="str">
        <f aca="false">Entities!A29</f>
        <v>IT</v>
      </c>
      <c r="AC4" s="5" t="str">
        <f aca="false">Entities!A30</f>
        <v>CH</v>
      </c>
      <c r="AD4" s="5" t="str">
        <f aca="false">Entities!A31</f>
        <v>SG</v>
      </c>
      <c r="AE4" s="5" t="str">
        <f aca="false">Entities!A32</f>
        <v>CN</v>
      </c>
      <c r="AF4" s="5" t="str">
        <f aca="false">Entities!A33</f>
        <v>AU</v>
      </c>
      <c r="AG4" s="5" t="str">
        <f aca="false">Entities!A34</f>
        <v>US</v>
      </c>
    </row>
    <row r="5" customFormat="false" ht="15" hidden="false" customHeight="false" outlineLevel="0" collapsed="false">
      <c r="A5" s="26" t="str">
        <f aca="false">Indicators!A5</f>
        <v>C01</v>
      </c>
      <c r="B5" s="26" t="str">
        <f aca="false">Indicators!C5</f>
        <v>% of customers rated high risk (CRR)</v>
      </c>
      <c r="C5" s="26" t="str">
        <f aca="false">Indicators!D5</f>
        <v>%</v>
      </c>
      <c r="D5" s="23" t="n">
        <v>14.91</v>
      </c>
      <c r="E5" s="23" t="n">
        <v>9.26</v>
      </c>
      <c r="F5" s="23" t="n">
        <v>0.16</v>
      </c>
      <c r="G5" s="23" t="n">
        <v>15.49</v>
      </c>
      <c r="H5" s="23" t="n">
        <v>12.22</v>
      </c>
      <c r="I5" s="23" t="n">
        <v>11.18</v>
      </c>
      <c r="J5" s="23" t="n">
        <v>5.71</v>
      </c>
      <c r="K5" s="23" t="n">
        <v>9.01</v>
      </c>
      <c r="L5" s="23" t="n">
        <v>19.46</v>
      </c>
      <c r="M5" s="23" t="n">
        <v>8.24</v>
      </c>
      <c r="N5" s="23" t="n">
        <v>3.76</v>
      </c>
      <c r="O5" s="23" t="n">
        <v>11.46</v>
      </c>
      <c r="P5" s="23" t="n">
        <v>4.75</v>
      </c>
      <c r="Q5" s="23" t="n">
        <v>5.64</v>
      </c>
      <c r="R5" s="23" t="n">
        <v>2.25</v>
      </c>
      <c r="S5" s="23" t="n">
        <v>18.28</v>
      </c>
      <c r="T5" s="23" t="n">
        <v>8.99</v>
      </c>
      <c r="U5" s="23" t="n">
        <v>6.87</v>
      </c>
      <c r="V5" s="23" t="n">
        <v>7.28</v>
      </c>
      <c r="W5" s="23" t="n">
        <v>6.81</v>
      </c>
      <c r="X5" s="23" t="n">
        <v>31.17</v>
      </c>
      <c r="Y5" s="23" t="n">
        <v>3.81</v>
      </c>
      <c r="Z5" s="23" t="n">
        <v>4.57</v>
      </c>
      <c r="AA5" s="23" t="n">
        <v>0.8</v>
      </c>
      <c r="AB5" s="23" t="n">
        <v>14.26</v>
      </c>
      <c r="AC5" s="23" t="n">
        <v>0.13</v>
      </c>
      <c r="AD5" s="23" t="n">
        <v>2.45</v>
      </c>
      <c r="AE5" s="23" t="n">
        <v>2.86</v>
      </c>
      <c r="AF5" s="23" t="n">
        <v>2.66</v>
      </c>
      <c r="AG5" s="23" t="n">
        <v>2.48</v>
      </c>
    </row>
    <row r="6" customFormat="false" ht="15" hidden="false" customHeight="false" outlineLevel="0" collapsed="false">
      <c r="A6" s="26" t="str">
        <f aca="false">Indicators!A6</f>
        <v>C02</v>
      </c>
      <c r="B6" s="26" t="str">
        <f aca="false">Indicators!C6</f>
        <v>PEP relationships per 10,000 customers</v>
      </c>
      <c r="C6" s="26" t="str">
        <f aca="false">Indicators!D6</f>
        <v>count</v>
      </c>
      <c r="D6" s="23" t="n">
        <v>9</v>
      </c>
      <c r="E6" s="23" t="n">
        <v>8</v>
      </c>
      <c r="F6" s="23" t="n">
        <v>2.54</v>
      </c>
      <c r="G6" s="23" t="n">
        <v>9</v>
      </c>
      <c r="H6" s="23" t="n">
        <v>0.93</v>
      </c>
      <c r="I6" s="23" t="n">
        <v>9</v>
      </c>
      <c r="J6" s="23" t="n">
        <v>13</v>
      </c>
      <c r="K6" s="23" t="n">
        <v>8</v>
      </c>
      <c r="L6" s="23" t="n">
        <v>8</v>
      </c>
      <c r="M6" s="23" t="n">
        <v>2.79</v>
      </c>
      <c r="N6" s="23" t="n">
        <v>3.74</v>
      </c>
      <c r="O6" s="23" t="n">
        <v>0.71</v>
      </c>
      <c r="P6" s="23" t="n">
        <v>2.18</v>
      </c>
      <c r="Q6" s="23" t="n">
        <v>4.54</v>
      </c>
      <c r="R6" s="23" t="n">
        <v>7</v>
      </c>
      <c r="S6" s="23" t="n">
        <v>13</v>
      </c>
      <c r="T6" s="23" t="n">
        <v>0.25</v>
      </c>
      <c r="U6" s="23" t="n">
        <v>4.24</v>
      </c>
      <c r="V6" s="23" t="n">
        <v>5</v>
      </c>
      <c r="W6" s="23" t="n">
        <v>5</v>
      </c>
      <c r="X6" s="23" t="n">
        <v>4.19</v>
      </c>
      <c r="Y6" s="23" t="n">
        <v>0.52</v>
      </c>
      <c r="Z6" s="23" t="n">
        <v>0.77</v>
      </c>
      <c r="AA6" s="23" t="n">
        <v>1.53</v>
      </c>
      <c r="AB6" s="23" t="n">
        <v>1.1</v>
      </c>
      <c r="AC6" s="23" t="n">
        <v>1.95</v>
      </c>
      <c r="AD6" s="23" t="n">
        <v>0.73</v>
      </c>
      <c r="AE6" s="23" t="n">
        <v>0.31</v>
      </c>
      <c r="AF6" s="23" t="n">
        <v>0.78</v>
      </c>
      <c r="AG6" s="23" t="n">
        <v>0.11</v>
      </c>
    </row>
    <row r="7" customFormat="false" ht="15" hidden="false" customHeight="false" outlineLevel="0" collapsed="false">
      <c r="A7" s="26" t="str">
        <f aca="false">Indicators!A7</f>
        <v>C03</v>
      </c>
      <c r="B7" s="26" t="str">
        <f aca="false">Indicators!C7</f>
        <v>% of customers that are NPOs / charities</v>
      </c>
      <c r="C7" s="26" t="str">
        <f aca="false">Indicators!D7</f>
        <v>%</v>
      </c>
      <c r="D7" s="23" t="n">
        <v>0.79</v>
      </c>
      <c r="E7" s="23" t="n">
        <v>1.46</v>
      </c>
      <c r="F7" s="23" t="n">
        <v>0</v>
      </c>
      <c r="G7" s="23" t="n">
        <v>0</v>
      </c>
      <c r="H7" s="23" t="n">
        <v>0</v>
      </c>
      <c r="I7" s="23" t="n">
        <v>0.3</v>
      </c>
      <c r="J7" s="23" t="n">
        <v>0</v>
      </c>
      <c r="K7" s="23" t="n">
        <v>0.54</v>
      </c>
      <c r="L7" s="23" t="n">
        <v>2.46</v>
      </c>
      <c r="M7" s="23" t="n">
        <v>1.87</v>
      </c>
      <c r="N7" s="23" t="n">
        <v>1.04</v>
      </c>
      <c r="O7" s="23" t="n">
        <v>0.24</v>
      </c>
      <c r="P7" s="23" t="n">
        <v>1.71</v>
      </c>
      <c r="Q7" s="23" t="n">
        <v>0.62</v>
      </c>
      <c r="R7" s="23" t="n">
        <v>3.01</v>
      </c>
      <c r="S7" s="23" t="n">
        <v>0.83</v>
      </c>
      <c r="T7" s="23" t="n">
        <v>0.64</v>
      </c>
      <c r="U7" s="23" t="n">
        <v>1.6</v>
      </c>
      <c r="V7" s="23" t="n">
        <v>1.41</v>
      </c>
      <c r="W7" s="23" t="n">
        <v>0.71</v>
      </c>
      <c r="X7" s="23" t="n">
        <v>3.18</v>
      </c>
      <c r="Y7" s="23" t="n">
        <v>1.95</v>
      </c>
      <c r="Z7" s="23" t="n">
        <v>0.01</v>
      </c>
      <c r="AA7" s="23" t="n">
        <v>0.19</v>
      </c>
      <c r="AB7" s="23" t="n">
        <v>0.34</v>
      </c>
      <c r="AC7" s="23" t="n">
        <v>0.16</v>
      </c>
      <c r="AD7" s="23" t="n">
        <v>0.26</v>
      </c>
      <c r="AE7" s="23" t="n">
        <v>0.22</v>
      </c>
      <c r="AF7" s="23" t="n">
        <v>0.03</v>
      </c>
      <c r="AG7" s="23" t="n">
        <v>0.12</v>
      </c>
    </row>
    <row r="8" customFormat="false" ht="15" hidden="false" customHeight="false" outlineLevel="0" collapsed="false">
      <c r="A8" s="26" t="str">
        <f aca="false">Indicators!A8</f>
        <v>C04</v>
      </c>
      <c r="B8" s="26" t="str">
        <f aca="false">Indicators!C8</f>
        <v>% non-resident customers</v>
      </c>
      <c r="C8" s="26" t="str">
        <f aca="false">Indicators!D8</f>
        <v>%</v>
      </c>
      <c r="D8" s="23" t="n">
        <v>15.34</v>
      </c>
      <c r="E8" s="23" t="n">
        <v>16.02</v>
      </c>
      <c r="F8" s="23" t="n">
        <v>17.22</v>
      </c>
      <c r="G8" s="23" t="n">
        <v>14.16</v>
      </c>
      <c r="H8" s="23" t="n">
        <v>25.83</v>
      </c>
      <c r="I8" s="23" t="n">
        <v>17.49</v>
      </c>
      <c r="J8" s="23" t="n">
        <v>23.77</v>
      </c>
      <c r="K8" s="23" t="n">
        <v>11.32</v>
      </c>
      <c r="L8" s="23" t="n">
        <v>15.92</v>
      </c>
      <c r="M8" s="23" t="n">
        <v>29.55</v>
      </c>
      <c r="N8" s="23" t="n">
        <v>7.35</v>
      </c>
      <c r="O8" s="23" t="n">
        <v>10.59</v>
      </c>
      <c r="P8" s="23" t="n">
        <v>21.66</v>
      </c>
      <c r="Q8" s="23" t="n">
        <v>21.02</v>
      </c>
      <c r="R8" s="23" t="n">
        <v>31.48</v>
      </c>
      <c r="S8" s="23" t="n">
        <v>27.08</v>
      </c>
      <c r="T8" s="23" t="n">
        <v>6.5</v>
      </c>
      <c r="U8" s="23" t="n">
        <v>31.44</v>
      </c>
      <c r="V8" s="23" t="n">
        <v>10.66</v>
      </c>
      <c r="W8" s="23" t="n">
        <v>7.73</v>
      </c>
      <c r="X8" s="23" t="n">
        <v>38.46</v>
      </c>
      <c r="Y8" s="23" t="n">
        <v>3.52</v>
      </c>
      <c r="Z8" s="23" t="n">
        <v>7.87</v>
      </c>
      <c r="AA8" s="23" t="n">
        <v>5.44</v>
      </c>
      <c r="AB8" s="23" t="n">
        <v>4.76</v>
      </c>
      <c r="AC8" s="23" t="n">
        <v>10.97</v>
      </c>
      <c r="AD8" s="23" t="n">
        <v>7.24</v>
      </c>
      <c r="AE8" s="23" t="n">
        <v>11.14</v>
      </c>
      <c r="AF8" s="23" t="n">
        <v>0.86</v>
      </c>
      <c r="AG8" s="23" t="n">
        <v>6.22</v>
      </c>
    </row>
    <row r="9" customFormat="false" ht="15" hidden="false" customHeight="false" outlineLevel="0" collapsed="false">
      <c r="A9" s="26" t="str">
        <f aca="false">Indicators!A9</f>
        <v>C05</v>
      </c>
      <c r="B9" s="26" t="str">
        <f aca="false">Indicators!C9</f>
        <v>% corporate customers with complex or opaque ownership</v>
      </c>
      <c r="C9" s="26" t="str">
        <f aca="false">Indicators!D9</f>
        <v>%</v>
      </c>
      <c r="D9" s="23" t="n">
        <v>8.51</v>
      </c>
      <c r="E9" s="23" t="n">
        <v>25.48</v>
      </c>
      <c r="F9" s="23" t="n">
        <v>19.18</v>
      </c>
      <c r="G9" s="23" t="n">
        <v>13.23</v>
      </c>
      <c r="H9" s="23" t="n">
        <v>4.27</v>
      </c>
      <c r="I9" s="23" t="n">
        <v>7.95</v>
      </c>
      <c r="J9" s="23" t="n">
        <v>7.85</v>
      </c>
      <c r="K9" s="23" t="n">
        <v>28.87</v>
      </c>
      <c r="L9" s="23" t="n">
        <v>18.73</v>
      </c>
      <c r="M9" s="23" t="n">
        <v>1.07</v>
      </c>
      <c r="N9" s="23" t="n">
        <v>12.44</v>
      </c>
      <c r="O9" s="23" t="n">
        <v>3.93</v>
      </c>
      <c r="P9" s="23" t="n">
        <v>15.97</v>
      </c>
      <c r="Q9" s="23" t="n">
        <v>7.89</v>
      </c>
      <c r="R9" s="23" t="n">
        <v>3.59</v>
      </c>
      <c r="S9" s="23" t="n">
        <v>5.55</v>
      </c>
      <c r="T9" s="23" t="n">
        <v>5.15</v>
      </c>
      <c r="U9" s="23" t="n">
        <v>3.62</v>
      </c>
      <c r="V9" s="23" t="n">
        <v>7.04</v>
      </c>
      <c r="W9" s="23" t="n">
        <v>3.04</v>
      </c>
      <c r="X9" s="23" t="n">
        <v>14.35</v>
      </c>
      <c r="Y9" s="23" t="n">
        <v>7.27</v>
      </c>
      <c r="Z9" s="23" t="n">
        <v>0.93</v>
      </c>
      <c r="AA9" s="23" t="n">
        <v>0.09</v>
      </c>
      <c r="AB9" s="23" t="n">
        <v>5.96</v>
      </c>
      <c r="AC9" s="23" t="n">
        <v>3.22</v>
      </c>
      <c r="AD9" s="23" t="n">
        <v>8.28</v>
      </c>
      <c r="AE9" s="23" t="n">
        <v>1.43</v>
      </c>
      <c r="AF9" s="23" t="n">
        <v>3.51</v>
      </c>
      <c r="AG9" s="23" t="n">
        <v>0.78</v>
      </c>
    </row>
    <row r="10" customFormat="false" ht="15" hidden="false" customHeight="false" outlineLevel="0" collapsed="false">
      <c r="A10" s="26" t="str">
        <f aca="false">Indicators!A10</f>
        <v>C06</v>
      </c>
      <c r="B10" s="26" t="str">
        <f aca="false">Indicators!C10</f>
        <v>% customers in cash-intensive businesses</v>
      </c>
      <c r="C10" s="26" t="str">
        <f aca="false">Indicators!D10</f>
        <v>%</v>
      </c>
      <c r="D10" s="23" t="n">
        <v>5.96</v>
      </c>
      <c r="E10" s="23" t="n">
        <v>2.9</v>
      </c>
      <c r="F10" s="23" t="n">
        <v>3.6</v>
      </c>
      <c r="G10" s="23" t="n">
        <v>3.27</v>
      </c>
      <c r="H10" s="23" t="n">
        <v>19.31</v>
      </c>
      <c r="I10" s="23" t="n">
        <v>11.4</v>
      </c>
      <c r="J10" s="23" t="n">
        <v>30.07</v>
      </c>
      <c r="K10" s="23" t="n">
        <v>13.65</v>
      </c>
      <c r="L10" s="23" t="n">
        <v>12.92</v>
      </c>
      <c r="M10" s="23" t="n">
        <v>8.57</v>
      </c>
      <c r="N10" s="23" t="n">
        <v>10.59</v>
      </c>
      <c r="O10" s="23" t="n">
        <v>19.15</v>
      </c>
      <c r="P10" s="23" t="n">
        <v>7.75</v>
      </c>
      <c r="Q10" s="23" t="n">
        <v>18.88</v>
      </c>
      <c r="R10" s="23" t="n">
        <v>7.17</v>
      </c>
      <c r="S10" s="23" t="n">
        <v>31.59</v>
      </c>
      <c r="T10" s="23" t="n">
        <v>13.62</v>
      </c>
      <c r="U10" s="23" t="n">
        <v>6.34</v>
      </c>
      <c r="V10" s="23" t="n">
        <v>4.35</v>
      </c>
      <c r="W10" s="23" t="n">
        <v>8.67</v>
      </c>
      <c r="X10" s="23" t="n">
        <v>16.36</v>
      </c>
      <c r="Y10" s="23" t="n">
        <v>7.72</v>
      </c>
      <c r="Z10" s="23" t="n">
        <v>3.46</v>
      </c>
      <c r="AA10" s="23" t="n">
        <v>4.3</v>
      </c>
      <c r="AB10" s="23" t="n">
        <v>4.2</v>
      </c>
      <c r="AC10" s="23" t="n">
        <v>0.4</v>
      </c>
      <c r="AD10" s="23" t="n">
        <v>1.75</v>
      </c>
      <c r="AE10" s="23" t="n">
        <v>3.75</v>
      </c>
      <c r="AF10" s="23" t="n">
        <v>10.16</v>
      </c>
      <c r="AG10" s="23" t="n">
        <v>0.13</v>
      </c>
    </row>
    <row r="11" customFormat="false" ht="15" hidden="false" customHeight="false" outlineLevel="0" collapsed="false">
      <c r="A11" s="26" t="str">
        <f aca="false">Indicators!A11</f>
        <v>C07</v>
      </c>
      <c r="B11" s="26" t="str">
        <f aca="false">Indicators!C11</f>
        <v>% customers that are government bodies or SOEs</v>
      </c>
      <c r="C11" s="26" t="str">
        <f aca="false">Indicators!D11</f>
        <v>%</v>
      </c>
      <c r="D11" s="23" t="n">
        <v>3.69</v>
      </c>
      <c r="E11" s="23" t="n">
        <v>4.57</v>
      </c>
      <c r="F11" s="23" t="n">
        <v>1.61</v>
      </c>
      <c r="G11" s="23" t="n">
        <v>1.77</v>
      </c>
      <c r="H11" s="23" t="n">
        <v>1.68</v>
      </c>
      <c r="I11" s="23" t="n">
        <v>7.76</v>
      </c>
      <c r="J11" s="23" t="n">
        <v>5.77</v>
      </c>
      <c r="K11" s="23" t="n">
        <v>9.23</v>
      </c>
      <c r="L11" s="23" t="n">
        <v>4.97</v>
      </c>
      <c r="M11" s="23" t="n">
        <v>9.51</v>
      </c>
      <c r="N11" s="23" t="n">
        <v>5.43</v>
      </c>
      <c r="O11" s="23" t="n">
        <v>3.52</v>
      </c>
      <c r="P11" s="23" t="n">
        <v>3.55</v>
      </c>
      <c r="Q11" s="23" t="n">
        <v>8.73</v>
      </c>
      <c r="R11" s="23" t="n">
        <v>14.16</v>
      </c>
      <c r="S11" s="23" t="n">
        <v>7.89</v>
      </c>
      <c r="T11" s="23" t="n">
        <v>2.47</v>
      </c>
      <c r="U11" s="23" t="n">
        <v>6.11</v>
      </c>
      <c r="V11" s="23" t="n">
        <v>8.29</v>
      </c>
      <c r="W11" s="23" t="n">
        <v>1.49</v>
      </c>
      <c r="X11" s="23" t="n">
        <v>13.82</v>
      </c>
      <c r="Y11" s="23" t="n">
        <v>0.45</v>
      </c>
      <c r="Z11" s="23" t="n">
        <v>5.76</v>
      </c>
      <c r="AA11" s="23" t="n">
        <v>0.79</v>
      </c>
      <c r="AB11" s="23" t="n">
        <v>5</v>
      </c>
      <c r="AC11" s="23" t="n">
        <v>4.68</v>
      </c>
      <c r="AD11" s="23" t="n">
        <v>1.12</v>
      </c>
      <c r="AE11" s="23" t="n">
        <v>2.71</v>
      </c>
      <c r="AF11" s="23" t="n">
        <v>0.88</v>
      </c>
      <c r="AG11" s="23" t="n">
        <v>0.24</v>
      </c>
    </row>
    <row r="12" customFormat="false" ht="15" hidden="false" customHeight="false" outlineLevel="0" collapsed="false">
      <c r="A12" s="26" t="str">
        <f aca="false">Indicators!A12</f>
        <v>G01</v>
      </c>
      <c r="B12" s="26" t="str">
        <f aca="false">Indicators!C12</f>
        <v>% cross-border value with FATF high-risk / increased-monitoring jurisdictions</v>
      </c>
      <c r="C12" s="26" t="str">
        <f aca="false">Indicators!D12</f>
        <v>%</v>
      </c>
      <c r="D12" s="23" t="n">
        <v>1.4</v>
      </c>
      <c r="E12" s="23" t="n">
        <v>0.95</v>
      </c>
      <c r="F12" s="23" t="n">
        <v>0.47</v>
      </c>
      <c r="G12" s="23" t="n">
        <v>2.13</v>
      </c>
      <c r="H12" s="23" t="n">
        <v>3.66</v>
      </c>
      <c r="I12" s="23" t="n">
        <v>15.87</v>
      </c>
      <c r="J12" s="23" t="n">
        <v>7.47</v>
      </c>
      <c r="K12" s="23" t="n">
        <v>4.77</v>
      </c>
      <c r="L12" s="23" t="n">
        <v>7.19</v>
      </c>
      <c r="M12" s="23" t="n">
        <v>3.62</v>
      </c>
      <c r="N12" s="23" t="n">
        <v>3.16</v>
      </c>
      <c r="O12" s="23" t="n">
        <v>3.03</v>
      </c>
      <c r="P12" s="23" t="n">
        <v>9.55</v>
      </c>
      <c r="Q12" s="23" t="n">
        <v>0.97</v>
      </c>
      <c r="R12" s="23" t="n">
        <v>9.04</v>
      </c>
      <c r="S12" s="23" t="n">
        <v>3.49</v>
      </c>
      <c r="T12" s="23" t="n">
        <v>0.2</v>
      </c>
      <c r="U12" s="23" t="n">
        <v>3.79</v>
      </c>
      <c r="V12" s="23" t="n">
        <v>8.8</v>
      </c>
      <c r="W12" s="23" t="n">
        <v>1.18</v>
      </c>
      <c r="X12" s="23" t="n">
        <v>4.27</v>
      </c>
      <c r="Y12" s="23" t="n">
        <v>4.07</v>
      </c>
      <c r="Z12" s="23" t="n">
        <v>0.13</v>
      </c>
      <c r="AA12" s="23" t="n">
        <v>1.25</v>
      </c>
      <c r="AB12" s="23" t="n">
        <v>1.51</v>
      </c>
      <c r="AC12" s="23" t="n">
        <v>1.84</v>
      </c>
      <c r="AD12" s="23" t="n">
        <v>0.49</v>
      </c>
      <c r="AE12" s="23" t="n">
        <v>0.35</v>
      </c>
      <c r="AF12" s="23" t="n">
        <v>1.65</v>
      </c>
      <c r="AG12" s="23" t="n">
        <v>1.29</v>
      </c>
    </row>
    <row r="13" customFormat="false" ht="15" hidden="false" customHeight="false" outlineLevel="0" collapsed="false">
      <c r="A13" s="26" t="str">
        <f aca="false">Indicators!A13</f>
        <v>G02</v>
      </c>
      <c r="B13" s="26" t="str">
        <f aca="false">Indicators!C13</f>
        <v>% payment value involving sanctioned or high sanctions-risk jurisdictions</v>
      </c>
      <c r="C13" s="26" t="str">
        <f aca="false">Indicators!D13</f>
        <v>%</v>
      </c>
      <c r="D13" s="23" t="n">
        <v>0.72</v>
      </c>
      <c r="E13" s="23" t="n">
        <v>0.08</v>
      </c>
      <c r="F13" s="23" t="n">
        <v>0.05</v>
      </c>
      <c r="G13" s="23" t="n">
        <v>1.33</v>
      </c>
      <c r="H13" s="23" t="n">
        <v>0.76</v>
      </c>
      <c r="I13" s="23" t="n">
        <v>1.52</v>
      </c>
      <c r="J13" s="23" t="n">
        <v>0.86</v>
      </c>
      <c r="K13" s="23" t="n">
        <v>0.68</v>
      </c>
      <c r="L13" s="23" t="n">
        <v>0.87</v>
      </c>
      <c r="M13" s="23" t="n">
        <v>0.2</v>
      </c>
      <c r="N13" s="23" t="n">
        <v>0.26</v>
      </c>
      <c r="O13" s="23" t="n">
        <v>0.72</v>
      </c>
      <c r="P13" s="23" t="n">
        <v>0.48</v>
      </c>
      <c r="Q13" s="23" t="n">
        <v>0.93</v>
      </c>
      <c r="R13" s="23" t="n">
        <v>0.09</v>
      </c>
      <c r="S13" s="23" t="n">
        <v>1.21</v>
      </c>
      <c r="T13" s="23" t="n">
        <v>0.58</v>
      </c>
      <c r="U13" s="23" t="n">
        <v>0.28</v>
      </c>
      <c r="V13" s="23" t="n">
        <v>0.41</v>
      </c>
      <c r="W13" s="23" t="n">
        <v>0.34</v>
      </c>
      <c r="X13" s="23" t="n">
        <v>0.88</v>
      </c>
      <c r="Y13" s="23" t="n">
        <v>0</v>
      </c>
      <c r="Z13" s="23" t="n">
        <v>0.03</v>
      </c>
      <c r="AA13" s="23" t="n">
        <v>0.01</v>
      </c>
      <c r="AB13" s="23" t="n">
        <v>0.07</v>
      </c>
      <c r="AC13" s="23" t="n">
        <v>0.01</v>
      </c>
      <c r="AD13" s="23" t="n">
        <v>0.78</v>
      </c>
      <c r="AE13" s="23" t="n">
        <v>0.09</v>
      </c>
      <c r="AF13" s="23" t="n">
        <v>0</v>
      </c>
      <c r="AG13" s="23" t="n">
        <v>0.08</v>
      </c>
    </row>
    <row r="14" customFormat="false" ht="15" hidden="false" customHeight="false" outlineLevel="0" collapsed="false">
      <c r="A14" s="26" t="str">
        <f aca="false">Indicators!A14</f>
        <v>G03</v>
      </c>
      <c r="B14" s="26" t="str">
        <f aca="false">Indicators!C14</f>
        <v>Host-country national ML/TF risk (NRA-based, 1–5)</v>
      </c>
      <c r="C14" s="26" t="str">
        <f aca="false">Indicators!D14</f>
        <v>score 1–5</v>
      </c>
      <c r="D14" s="23" t="n">
        <v>4</v>
      </c>
      <c r="E14" s="23" t="n">
        <v>2</v>
      </c>
      <c r="F14" s="23" t="n">
        <v>3</v>
      </c>
      <c r="G14" s="23" t="n">
        <v>3</v>
      </c>
      <c r="H14" s="23" t="n">
        <v>4</v>
      </c>
      <c r="I14" s="23" t="n">
        <v>4</v>
      </c>
      <c r="J14" s="23" t="n">
        <v>5</v>
      </c>
      <c r="K14" s="23" t="n">
        <v>5</v>
      </c>
      <c r="L14" s="23" t="n">
        <v>4</v>
      </c>
      <c r="M14" s="23" t="n">
        <v>3</v>
      </c>
      <c r="N14" s="23" t="n">
        <v>3</v>
      </c>
      <c r="O14" s="23" t="n">
        <v>3</v>
      </c>
      <c r="P14" s="23" t="n">
        <v>3</v>
      </c>
      <c r="Q14" s="23" t="n">
        <v>3</v>
      </c>
      <c r="R14" s="23" t="n">
        <v>4</v>
      </c>
      <c r="S14" s="23" t="n">
        <v>5</v>
      </c>
      <c r="T14" s="23" t="n">
        <v>2</v>
      </c>
      <c r="U14" s="23" t="n">
        <v>3</v>
      </c>
      <c r="V14" s="23" t="n">
        <v>4</v>
      </c>
      <c r="W14" s="23" t="n">
        <v>3</v>
      </c>
      <c r="X14" s="23" t="n">
        <v>5</v>
      </c>
      <c r="Y14" s="23" t="n">
        <v>3</v>
      </c>
      <c r="Z14" s="23" t="n">
        <v>2</v>
      </c>
      <c r="AA14" s="23" t="n">
        <v>2</v>
      </c>
      <c r="AB14" s="23" t="n">
        <v>2</v>
      </c>
      <c r="AC14" s="23" t="n">
        <v>3</v>
      </c>
      <c r="AD14" s="23" t="n">
        <v>3</v>
      </c>
      <c r="AE14" s="23" t="n">
        <v>1</v>
      </c>
      <c r="AF14" s="23" t="n">
        <v>2</v>
      </c>
      <c r="AG14" s="23" t="n">
        <v>3</v>
      </c>
    </row>
    <row r="15" customFormat="false" ht="15" hidden="false" customHeight="false" outlineLevel="0" collapsed="false">
      <c r="A15" s="26" t="str">
        <f aca="false">Indicators!A15</f>
        <v>G04</v>
      </c>
      <c r="B15" s="26" t="str">
        <f aca="false">Indicators!C15</f>
        <v>Host-country corruption risk (CPI-based, 1–5)</v>
      </c>
      <c r="C15" s="26" t="str">
        <f aca="false">Indicators!D15</f>
        <v>score 1–5</v>
      </c>
      <c r="D15" s="23" t="n">
        <v>3</v>
      </c>
      <c r="E15" s="23" t="n">
        <v>3</v>
      </c>
      <c r="F15" s="23" t="n">
        <v>3</v>
      </c>
      <c r="G15" s="23" t="n">
        <v>3</v>
      </c>
      <c r="H15" s="23" t="n">
        <v>4</v>
      </c>
      <c r="I15" s="23" t="n">
        <v>4</v>
      </c>
      <c r="J15" s="23" t="n">
        <v>4</v>
      </c>
      <c r="K15" s="23" t="n">
        <v>4</v>
      </c>
      <c r="L15" s="23" t="n">
        <v>5</v>
      </c>
      <c r="M15" s="23" t="n">
        <v>4</v>
      </c>
      <c r="N15" s="23" t="n">
        <v>4</v>
      </c>
      <c r="O15" s="23" t="n">
        <v>3</v>
      </c>
      <c r="P15" s="23" t="n">
        <v>2</v>
      </c>
      <c r="Q15" s="23" t="n">
        <v>3</v>
      </c>
      <c r="R15" s="23" t="n">
        <v>5</v>
      </c>
      <c r="S15" s="23" t="n">
        <v>4</v>
      </c>
      <c r="T15" s="23" t="n">
        <v>3</v>
      </c>
      <c r="U15" s="23" t="n">
        <v>3</v>
      </c>
      <c r="V15" s="23" t="n">
        <v>3</v>
      </c>
      <c r="W15" s="23" t="n">
        <v>3</v>
      </c>
      <c r="X15" s="23" t="n">
        <v>4</v>
      </c>
      <c r="Y15" s="23" t="n">
        <v>3</v>
      </c>
      <c r="Z15" s="23" t="n">
        <v>3</v>
      </c>
      <c r="AA15" s="23" t="n">
        <v>2</v>
      </c>
      <c r="AB15" s="23" t="n">
        <v>3</v>
      </c>
      <c r="AC15" s="23" t="n">
        <v>2</v>
      </c>
      <c r="AD15" s="23" t="n">
        <v>2</v>
      </c>
      <c r="AE15" s="23" t="n">
        <v>2</v>
      </c>
      <c r="AF15" s="23" t="n">
        <v>2</v>
      </c>
      <c r="AG15" s="23" t="n">
        <v>2</v>
      </c>
    </row>
    <row r="16" customFormat="false" ht="15" hidden="false" customHeight="false" outlineLevel="0" collapsed="false">
      <c r="A16" s="26" t="str">
        <f aca="false">Indicators!A16</f>
        <v>G05</v>
      </c>
      <c r="B16" s="26" t="str">
        <f aca="false">Indicators!C16</f>
        <v>% branches in border, free-zone or conflict-affected areas</v>
      </c>
      <c r="C16" s="26" t="str">
        <f aca="false">Indicators!D16</f>
        <v>%</v>
      </c>
      <c r="D16" s="23" t="n">
        <v>3.97</v>
      </c>
      <c r="E16" s="23" t="n">
        <v>12.83</v>
      </c>
      <c r="F16" s="23" t="n">
        <v>9.6</v>
      </c>
      <c r="G16" s="23" t="n">
        <v>8.41</v>
      </c>
      <c r="H16" s="23" t="n">
        <v>2.62</v>
      </c>
      <c r="I16" s="23" t="n">
        <v>3.13</v>
      </c>
      <c r="J16" s="23" t="n">
        <v>20.14</v>
      </c>
      <c r="K16" s="23" t="n">
        <v>14.88</v>
      </c>
      <c r="L16" s="23" t="n">
        <v>23.74</v>
      </c>
      <c r="M16" s="23" t="n">
        <v>0.93</v>
      </c>
      <c r="N16" s="23" t="n">
        <v>8.17</v>
      </c>
      <c r="O16" s="23" t="n">
        <v>8.08</v>
      </c>
      <c r="P16" s="23" t="n">
        <v>1.55</v>
      </c>
      <c r="Q16" s="23" t="n">
        <v>0.82</v>
      </c>
      <c r="R16" s="23" t="n">
        <v>8.12</v>
      </c>
      <c r="S16" s="23" t="n">
        <v>13.62</v>
      </c>
      <c r="T16" s="23" t="n">
        <v>7.89</v>
      </c>
      <c r="U16" s="23" t="n">
        <v>5.41</v>
      </c>
      <c r="V16" s="23" t="n">
        <v>4.18</v>
      </c>
      <c r="W16" s="23" t="n">
        <v>11.12</v>
      </c>
      <c r="X16" s="23" t="n">
        <v>28.88</v>
      </c>
      <c r="Y16" s="23" t="n">
        <v>2.92</v>
      </c>
      <c r="Z16" s="23" t="n">
        <v>3.99</v>
      </c>
      <c r="AA16" s="23" t="n">
        <v>0.11</v>
      </c>
      <c r="AB16" s="23" t="n">
        <v>0.6</v>
      </c>
      <c r="AC16" s="23" t="n">
        <v>0.51</v>
      </c>
      <c r="AD16" s="23" t="n">
        <v>2.35</v>
      </c>
      <c r="AE16" s="23" t="n">
        <v>9.13</v>
      </c>
      <c r="AF16" s="23" t="n">
        <v>2.5</v>
      </c>
      <c r="AG16" s="23" t="n">
        <v>0.01</v>
      </c>
    </row>
    <row r="17" customFormat="false" ht="15" hidden="false" customHeight="false" outlineLevel="0" collapsed="false">
      <c r="A17" s="26" t="str">
        <f aca="false">Indicators!A17</f>
        <v>G06</v>
      </c>
      <c r="B17" s="26" t="str">
        <f aca="false">Indicators!C17</f>
        <v>% non-resident customers from non-CRS jurisdictions</v>
      </c>
      <c r="C17" s="26" t="str">
        <f aca="false">Indicators!D17</f>
        <v>%</v>
      </c>
      <c r="D17" s="23" t="n">
        <v>19.41</v>
      </c>
      <c r="E17" s="23" t="n">
        <v>6.29</v>
      </c>
      <c r="F17" s="23" t="n">
        <v>32.53</v>
      </c>
      <c r="G17" s="23" t="n">
        <v>9.21</v>
      </c>
      <c r="H17" s="23" t="n">
        <v>6.41</v>
      </c>
      <c r="I17" s="23" t="n">
        <v>50.44</v>
      </c>
      <c r="J17" s="23" t="n">
        <v>55.37</v>
      </c>
      <c r="K17" s="23" t="n">
        <v>21.22</v>
      </c>
      <c r="L17" s="23" t="n">
        <v>24.65</v>
      </c>
      <c r="M17" s="23" t="n">
        <v>32.72</v>
      </c>
      <c r="N17" s="23" t="n">
        <v>6.43</v>
      </c>
      <c r="O17" s="23" t="n">
        <v>14.7</v>
      </c>
      <c r="P17" s="23" t="n">
        <v>10.09</v>
      </c>
      <c r="Q17" s="23" t="n">
        <v>14.69</v>
      </c>
      <c r="R17" s="23" t="n">
        <v>21.3</v>
      </c>
      <c r="S17" s="23" t="n">
        <v>23.5</v>
      </c>
      <c r="T17" s="23" t="n">
        <v>7.96</v>
      </c>
      <c r="U17" s="23" t="n">
        <v>10.97</v>
      </c>
      <c r="V17" s="23" t="n">
        <v>7.77</v>
      </c>
      <c r="W17" s="23" t="n">
        <v>13.18</v>
      </c>
      <c r="X17" s="23" t="n">
        <v>24.6</v>
      </c>
      <c r="Y17" s="23" t="n">
        <v>1.46</v>
      </c>
      <c r="Z17" s="23" t="n">
        <v>15.06</v>
      </c>
      <c r="AA17" s="23" t="n">
        <v>4.24</v>
      </c>
      <c r="AB17" s="23" t="n">
        <v>5.02</v>
      </c>
      <c r="AC17" s="23" t="n">
        <v>9.34</v>
      </c>
      <c r="AD17" s="23" t="n">
        <v>10.52</v>
      </c>
      <c r="AE17" s="23" t="n">
        <v>12.17</v>
      </c>
      <c r="AF17" s="23" t="n">
        <v>6.56</v>
      </c>
      <c r="AG17" s="23" t="n">
        <v>6.63</v>
      </c>
    </row>
    <row r="18" customFormat="false" ht="15" hidden="false" customHeight="false" outlineLevel="0" collapsed="false">
      <c r="A18" s="26" t="str">
        <f aca="false">Indicators!A18</f>
        <v>P01</v>
      </c>
      <c r="B18" s="26" t="str">
        <f aca="false">Indicators!C18</f>
        <v>Trade finance volume (% of total assets)</v>
      </c>
      <c r="C18" s="26" t="str">
        <f aca="false">Indicators!D18</f>
        <v>%</v>
      </c>
      <c r="D18" s="23" t="n">
        <v>9.46</v>
      </c>
      <c r="E18" s="23" t="n">
        <v>15.73</v>
      </c>
      <c r="F18" s="23" t="n">
        <v>0</v>
      </c>
      <c r="G18" s="23" t="n">
        <v>0</v>
      </c>
      <c r="H18" s="23" t="n">
        <v>0</v>
      </c>
      <c r="I18" s="23" t="n">
        <v>14.19</v>
      </c>
      <c r="J18" s="23" t="n">
        <v>0</v>
      </c>
      <c r="K18" s="23" t="n">
        <v>12.51</v>
      </c>
      <c r="L18" s="23" t="n">
        <v>14.86</v>
      </c>
      <c r="M18" s="23" t="n">
        <v>6.06</v>
      </c>
      <c r="N18" s="23" t="n">
        <v>0.95</v>
      </c>
      <c r="O18" s="23" t="n">
        <v>6.06</v>
      </c>
      <c r="P18" s="23" t="n">
        <v>15</v>
      </c>
      <c r="Q18" s="23" t="n">
        <v>4.23</v>
      </c>
      <c r="R18" s="23" t="n">
        <v>16.26</v>
      </c>
      <c r="S18" s="23" t="n">
        <v>16.53</v>
      </c>
      <c r="T18" s="23" t="n">
        <v>2.88</v>
      </c>
      <c r="U18" s="23" t="n">
        <v>7.89</v>
      </c>
      <c r="V18" s="23" t="n">
        <v>7.97</v>
      </c>
      <c r="W18" s="23" t="n">
        <v>9.15</v>
      </c>
      <c r="X18" s="23" t="n">
        <v>17.32</v>
      </c>
      <c r="Y18" s="23" t="n">
        <v>9</v>
      </c>
      <c r="Z18" s="23" t="n">
        <v>6.69</v>
      </c>
      <c r="AA18" s="23" t="n">
        <v>3.67</v>
      </c>
      <c r="AB18" s="23" t="n">
        <v>2.08</v>
      </c>
      <c r="AC18" s="23" t="n">
        <v>4.8</v>
      </c>
      <c r="AD18" s="23" t="n">
        <v>5.51</v>
      </c>
      <c r="AE18" s="23" t="n">
        <v>0.66</v>
      </c>
      <c r="AF18" s="23" t="n">
        <v>1.33</v>
      </c>
      <c r="AG18" s="23" t="n">
        <v>0.69</v>
      </c>
    </row>
    <row r="19" customFormat="false" ht="15" hidden="false" customHeight="false" outlineLevel="0" collapsed="false">
      <c r="A19" s="26" t="str">
        <f aca="false">Indicators!A19</f>
        <v>P02</v>
      </c>
      <c r="B19" s="26" t="str">
        <f aca="false">Indicators!C19</f>
        <v>Number of respondent (correspondent) bank relationships</v>
      </c>
      <c r="C19" s="26" t="str">
        <f aca="false">Indicators!D19</f>
        <v>count</v>
      </c>
      <c r="D19" s="23" t="n">
        <v>45</v>
      </c>
      <c r="E19" s="23" t="n">
        <v>22</v>
      </c>
      <c r="F19" s="23" t="n">
        <v>0</v>
      </c>
      <c r="G19" s="23" t="n">
        <v>0</v>
      </c>
      <c r="H19" s="23" t="n">
        <v>0</v>
      </c>
      <c r="I19" s="23" t="n">
        <v>70</v>
      </c>
      <c r="J19" s="23" t="n">
        <v>0</v>
      </c>
      <c r="K19" s="23" t="n">
        <v>16</v>
      </c>
      <c r="L19" s="23" t="n">
        <v>25</v>
      </c>
      <c r="M19" s="23" t="n">
        <v>17</v>
      </c>
      <c r="N19" s="23" t="n">
        <v>45</v>
      </c>
      <c r="O19" s="23" t="n">
        <v>20</v>
      </c>
      <c r="P19" s="23" t="n">
        <v>44</v>
      </c>
      <c r="Q19" s="23" t="n">
        <v>11</v>
      </c>
      <c r="R19" s="23" t="n">
        <v>48</v>
      </c>
      <c r="S19" s="23" t="n">
        <v>80</v>
      </c>
      <c r="T19" s="23" t="n">
        <v>3.4</v>
      </c>
      <c r="U19" s="23" t="n">
        <v>24</v>
      </c>
      <c r="V19" s="23" t="n">
        <v>13</v>
      </c>
      <c r="W19" s="23" t="n">
        <v>50</v>
      </c>
      <c r="X19" s="23" t="n">
        <v>33</v>
      </c>
      <c r="Y19" s="23" t="n">
        <v>4.54</v>
      </c>
      <c r="Z19" s="23" t="n">
        <v>3.15</v>
      </c>
      <c r="AA19" s="23" t="n">
        <v>8</v>
      </c>
      <c r="AB19" s="23" t="n">
        <v>0.24</v>
      </c>
      <c r="AC19" s="23" t="n">
        <v>13</v>
      </c>
      <c r="AD19" s="23" t="n">
        <v>8</v>
      </c>
      <c r="AE19" s="23" t="n">
        <v>1.8</v>
      </c>
      <c r="AF19" s="23" t="n">
        <v>9</v>
      </c>
      <c r="AG19" s="23" t="n">
        <v>9</v>
      </c>
    </row>
    <row r="20" customFormat="false" ht="15" hidden="false" customHeight="false" outlineLevel="0" collapsed="false">
      <c r="A20" s="26" t="str">
        <f aca="false">Indicators!A20</f>
        <v>P03</v>
      </c>
      <c r="B20" s="26" t="str">
        <f aca="false">Indicators!C20</f>
        <v>Private banking / wealth AUM (% of deposits)</v>
      </c>
      <c r="C20" s="26" t="str">
        <f aca="false">Indicators!D20</f>
        <v>%</v>
      </c>
      <c r="D20" s="23" t="n">
        <v>0.07</v>
      </c>
      <c r="E20" s="23" t="n">
        <v>4.59</v>
      </c>
      <c r="F20" s="23" t="n">
        <v>3.61</v>
      </c>
      <c r="G20" s="23" t="n">
        <v>17.54</v>
      </c>
      <c r="H20" s="23" t="n">
        <v>5.49</v>
      </c>
      <c r="I20" s="23" t="n">
        <v>19.2</v>
      </c>
      <c r="J20" s="23" t="n">
        <v>16.52</v>
      </c>
      <c r="K20" s="23" t="n">
        <v>5.78</v>
      </c>
      <c r="L20" s="23" t="n">
        <v>30.29</v>
      </c>
      <c r="M20" s="23" t="n">
        <v>5.09</v>
      </c>
      <c r="N20" s="23" t="n">
        <v>6.56</v>
      </c>
      <c r="O20" s="23" t="n">
        <v>3.91</v>
      </c>
      <c r="P20" s="23" t="n">
        <v>1.54</v>
      </c>
      <c r="Q20" s="23" t="n">
        <v>1.06</v>
      </c>
      <c r="R20" s="23" t="n">
        <v>10.42</v>
      </c>
      <c r="S20" s="23" t="n">
        <v>19.34</v>
      </c>
      <c r="T20" s="23" t="n">
        <v>2.36</v>
      </c>
      <c r="U20" s="23" t="n">
        <v>14</v>
      </c>
      <c r="V20" s="23" t="n">
        <v>12.98</v>
      </c>
      <c r="W20" s="23" t="n">
        <v>5.37</v>
      </c>
      <c r="X20" s="23" t="n">
        <v>14.48</v>
      </c>
      <c r="Y20" s="23" t="n">
        <v>0.86</v>
      </c>
      <c r="Z20" s="23" t="n">
        <v>8.91</v>
      </c>
      <c r="AA20" s="23" t="n">
        <v>2.05</v>
      </c>
      <c r="AB20" s="23" t="n">
        <v>0.3</v>
      </c>
      <c r="AC20" s="23" t="n">
        <v>4.07</v>
      </c>
      <c r="AD20" s="23" t="n">
        <v>5.85</v>
      </c>
      <c r="AE20" s="23" t="n">
        <v>0.4</v>
      </c>
      <c r="AF20" s="23" t="n">
        <v>9.01</v>
      </c>
      <c r="AG20" s="23" t="n">
        <v>0.55</v>
      </c>
    </row>
    <row r="21" customFormat="false" ht="15" hidden="false" customHeight="false" outlineLevel="0" collapsed="false">
      <c r="A21" s="26" t="str">
        <f aca="false">Indicators!A21</f>
        <v>P04</v>
      </c>
      <c r="B21" s="26" t="str">
        <f aca="false">Indicators!C21</f>
        <v>Prepaid / stored-value cards (% of cards issued)</v>
      </c>
      <c r="C21" s="26" t="str">
        <f aca="false">Indicators!D21</f>
        <v>%</v>
      </c>
      <c r="D21" s="23" t="n">
        <v>2.85</v>
      </c>
      <c r="E21" s="23" t="n">
        <v>6.25</v>
      </c>
      <c r="F21" s="23" t="n">
        <v>0</v>
      </c>
      <c r="G21" s="23" t="n">
        <v>0</v>
      </c>
      <c r="H21" s="23" t="n">
        <v>0</v>
      </c>
      <c r="I21" s="23" t="n">
        <v>17.37</v>
      </c>
      <c r="J21" s="23" t="n">
        <v>0</v>
      </c>
      <c r="K21" s="23" t="n">
        <v>6.41</v>
      </c>
      <c r="L21" s="23" t="n">
        <v>17.74</v>
      </c>
      <c r="M21" s="23" t="n">
        <v>2.61</v>
      </c>
      <c r="N21" s="23" t="n">
        <v>2.53</v>
      </c>
      <c r="O21" s="23" t="n">
        <v>5.74</v>
      </c>
      <c r="P21" s="23" t="n">
        <v>9.65</v>
      </c>
      <c r="Q21" s="23" t="n">
        <v>4.74</v>
      </c>
      <c r="R21" s="23" t="n">
        <v>28.41</v>
      </c>
      <c r="S21" s="23" t="n">
        <v>24.11</v>
      </c>
      <c r="T21" s="23" t="n">
        <v>7.44</v>
      </c>
      <c r="U21" s="23" t="n">
        <v>6.54</v>
      </c>
      <c r="V21" s="23" t="n">
        <v>5.87</v>
      </c>
      <c r="W21" s="23" t="n">
        <v>5.85</v>
      </c>
      <c r="X21" s="23" t="n">
        <v>20.9</v>
      </c>
      <c r="Y21" s="23" t="n">
        <v>8.14</v>
      </c>
      <c r="Z21" s="23" t="n">
        <v>0.6</v>
      </c>
      <c r="AA21" s="23" t="n">
        <v>8.26</v>
      </c>
      <c r="AB21" s="23" t="n">
        <v>2.02</v>
      </c>
      <c r="AC21" s="23" t="n">
        <v>3.5</v>
      </c>
      <c r="AD21" s="23" t="n">
        <v>0.86</v>
      </c>
      <c r="AE21" s="23" t="n">
        <v>1.07</v>
      </c>
      <c r="AF21" s="23" t="n">
        <v>7.95</v>
      </c>
      <c r="AG21" s="23" t="n">
        <v>2.51</v>
      </c>
    </row>
    <row r="22" customFormat="false" ht="15" hidden="false" customHeight="false" outlineLevel="0" collapsed="false">
      <c r="A22" s="26" t="str">
        <f aca="false">Indicators!A22</f>
        <v>P05</v>
      </c>
      <c r="B22" s="26" t="str">
        <f aca="false">Indicators!C22</f>
        <v>Dual-use or strategic goods (% of trade transactions)</v>
      </c>
      <c r="C22" s="26" t="str">
        <f aca="false">Indicators!D22</f>
        <v>%</v>
      </c>
      <c r="D22" s="23" t="n">
        <v>7.2</v>
      </c>
      <c r="E22" s="23" t="n">
        <v>0.9</v>
      </c>
      <c r="F22" s="23" t="n">
        <v>0</v>
      </c>
      <c r="G22" s="23" t="n">
        <v>0</v>
      </c>
      <c r="H22" s="23" t="n">
        <v>0</v>
      </c>
      <c r="I22" s="23" t="n">
        <v>6.53</v>
      </c>
      <c r="J22" s="23" t="n">
        <v>0</v>
      </c>
      <c r="K22" s="23" t="n">
        <v>4.79</v>
      </c>
      <c r="L22" s="23" t="n">
        <v>11.32</v>
      </c>
      <c r="M22" s="23" t="n">
        <v>0.8</v>
      </c>
      <c r="N22" s="23" t="n">
        <v>9.75</v>
      </c>
      <c r="O22" s="23" t="n">
        <v>0.52</v>
      </c>
      <c r="P22" s="23" t="n">
        <v>0.72</v>
      </c>
      <c r="Q22" s="23" t="n">
        <v>2.82</v>
      </c>
      <c r="R22" s="23" t="n">
        <v>7.62</v>
      </c>
      <c r="S22" s="23" t="n">
        <v>7.83</v>
      </c>
      <c r="T22" s="23" t="n">
        <v>0.52</v>
      </c>
      <c r="U22" s="23" t="n">
        <v>1.26</v>
      </c>
      <c r="V22" s="23" t="n">
        <v>0.7</v>
      </c>
      <c r="W22" s="23" t="n">
        <v>0.96</v>
      </c>
      <c r="X22" s="23" t="n">
        <v>15.97</v>
      </c>
      <c r="Y22" s="23" t="n">
        <v>0.97</v>
      </c>
      <c r="Z22" s="23" t="n">
        <v>0.21</v>
      </c>
      <c r="AA22" s="23" t="n">
        <v>2.07</v>
      </c>
      <c r="AB22" s="23" t="n">
        <v>0.58</v>
      </c>
      <c r="AC22" s="23" t="n">
        <v>3.27</v>
      </c>
      <c r="AD22" s="23" t="n">
        <v>0.46</v>
      </c>
      <c r="AE22" s="23" t="n">
        <v>0.6</v>
      </c>
      <c r="AF22" s="23" t="n">
        <v>0.93</v>
      </c>
      <c r="AG22" s="23" t="n">
        <v>0.28</v>
      </c>
    </row>
    <row r="23" customFormat="false" ht="15" hidden="false" customHeight="false" outlineLevel="0" collapsed="false">
      <c r="A23" s="26" t="str">
        <f aca="false">Indicators!A23</f>
        <v>P06</v>
      </c>
      <c r="B23" s="26" t="str">
        <f aca="false">Indicators!C23</f>
        <v>Higher-risk product exposure: bearer, safe deposit, virtual assets (1–5)</v>
      </c>
      <c r="C23" s="26" t="str">
        <f aca="false">Indicators!D23</f>
        <v>score 1–5</v>
      </c>
      <c r="D23" s="23" t="n">
        <v>4</v>
      </c>
      <c r="E23" s="23" t="n">
        <v>3</v>
      </c>
      <c r="F23" s="23" t="n">
        <v>3</v>
      </c>
      <c r="G23" s="23" t="n">
        <v>3</v>
      </c>
      <c r="H23" s="23" t="n">
        <v>4</v>
      </c>
      <c r="I23" s="23" t="n">
        <v>5</v>
      </c>
      <c r="J23" s="23" t="n">
        <v>5</v>
      </c>
      <c r="K23" s="23" t="n">
        <v>4</v>
      </c>
      <c r="L23" s="23" t="n">
        <v>4</v>
      </c>
      <c r="M23" s="23" t="n">
        <v>3</v>
      </c>
      <c r="N23" s="23" t="n">
        <v>3</v>
      </c>
      <c r="O23" s="23" t="n">
        <v>4</v>
      </c>
      <c r="P23" s="23" t="n">
        <v>2</v>
      </c>
      <c r="Q23" s="23" t="n">
        <v>3</v>
      </c>
      <c r="R23" s="23" t="n">
        <v>4</v>
      </c>
      <c r="S23" s="23" t="n">
        <v>4</v>
      </c>
      <c r="T23" s="23" t="n">
        <v>3</v>
      </c>
      <c r="U23" s="23" t="n">
        <v>3</v>
      </c>
      <c r="V23" s="23" t="n">
        <v>4</v>
      </c>
      <c r="W23" s="23" t="n">
        <v>2</v>
      </c>
      <c r="X23" s="23" t="n">
        <v>4</v>
      </c>
      <c r="Y23" s="23" t="n">
        <v>2</v>
      </c>
      <c r="Z23" s="23" t="n">
        <v>2</v>
      </c>
      <c r="AA23" s="23" t="n">
        <v>2</v>
      </c>
      <c r="AB23" s="23" t="n">
        <v>2</v>
      </c>
      <c r="AC23" s="23" t="n">
        <v>2</v>
      </c>
      <c r="AD23" s="23" t="n">
        <v>3</v>
      </c>
      <c r="AE23" s="23" t="n">
        <v>2</v>
      </c>
      <c r="AF23" s="23" t="n">
        <v>2</v>
      </c>
      <c r="AG23" s="23" t="n">
        <v>1</v>
      </c>
    </row>
    <row r="24" customFormat="false" ht="15" hidden="false" customHeight="false" outlineLevel="0" collapsed="false">
      <c r="A24" s="26" t="str">
        <f aca="false">Indicators!A24</f>
        <v>D01</v>
      </c>
      <c r="B24" s="26" t="str">
        <f aca="false">Indicators!C24</f>
        <v>% accounts opened non-face-to-face</v>
      </c>
      <c r="C24" s="26" t="str">
        <f aca="false">Indicators!D24</f>
        <v>%</v>
      </c>
      <c r="D24" s="23" t="n">
        <v>18.37</v>
      </c>
      <c r="E24" s="23" t="n">
        <v>37.88</v>
      </c>
      <c r="F24" s="23" t="n">
        <v>57.2</v>
      </c>
      <c r="G24" s="23" t="n">
        <v>1.57</v>
      </c>
      <c r="H24" s="23" t="n">
        <v>27.43</v>
      </c>
      <c r="I24" s="23" t="n">
        <v>46.44</v>
      </c>
      <c r="J24" s="23" t="n">
        <v>37.87</v>
      </c>
      <c r="K24" s="23" t="n">
        <v>60.34</v>
      </c>
      <c r="L24" s="23" t="n">
        <v>36.18</v>
      </c>
      <c r="M24" s="23" t="n">
        <v>50.13</v>
      </c>
      <c r="N24" s="23" t="n">
        <v>13.73</v>
      </c>
      <c r="O24" s="23" t="n">
        <v>33.32</v>
      </c>
      <c r="P24" s="23" t="n">
        <v>23.5</v>
      </c>
      <c r="Q24" s="23" t="n">
        <v>32.4</v>
      </c>
      <c r="R24" s="23" t="n">
        <v>50.16</v>
      </c>
      <c r="S24" s="23" t="n">
        <v>57.71</v>
      </c>
      <c r="T24" s="23" t="n">
        <v>12.46</v>
      </c>
      <c r="U24" s="23" t="n">
        <v>33.91</v>
      </c>
      <c r="V24" s="23" t="n">
        <v>32.49</v>
      </c>
      <c r="W24" s="23" t="n">
        <v>18.88</v>
      </c>
      <c r="X24" s="23" t="n">
        <v>69.95</v>
      </c>
      <c r="Y24" s="23" t="n">
        <v>14.62</v>
      </c>
      <c r="Z24" s="23" t="n">
        <v>16.27</v>
      </c>
      <c r="AA24" s="23" t="n">
        <v>5.07</v>
      </c>
      <c r="AB24" s="23" t="n">
        <v>26.23</v>
      </c>
      <c r="AC24" s="23" t="n">
        <v>11.32</v>
      </c>
      <c r="AD24" s="23" t="n">
        <v>23.64</v>
      </c>
      <c r="AE24" s="23" t="n">
        <v>9</v>
      </c>
      <c r="AF24" s="23" t="n">
        <v>2.5</v>
      </c>
      <c r="AG24" s="23" t="n">
        <v>18.42</v>
      </c>
    </row>
    <row r="25" customFormat="false" ht="15" hidden="false" customHeight="false" outlineLevel="0" collapsed="false">
      <c r="A25" s="26" t="str">
        <f aca="false">Indicators!A25</f>
        <v>D02</v>
      </c>
      <c r="B25" s="26" t="str">
        <f aca="false">Indicators!C25</f>
        <v>% customers introduced via agents or intermediaries</v>
      </c>
      <c r="C25" s="26" t="str">
        <f aca="false">Indicators!D25</f>
        <v>%</v>
      </c>
      <c r="D25" s="23" t="n">
        <v>13.49</v>
      </c>
      <c r="E25" s="23" t="n">
        <v>4.41</v>
      </c>
      <c r="F25" s="23" t="n">
        <v>2.89</v>
      </c>
      <c r="G25" s="23" t="n">
        <v>9.05</v>
      </c>
      <c r="H25" s="23" t="n">
        <v>28.21</v>
      </c>
      <c r="I25" s="23" t="n">
        <v>5.54</v>
      </c>
      <c r="J25" s="23" t="n">
        <v>4.76</v>
      </c>
      <c r="K25" s="23" t="n">
        <v>27.27</v>
      </c>
      <c r="L25" s="23" t="n">
        <v>6.83</v>
      </c>
      <c r="M25" s="23" t="n">
        <v>5.05</v>
      </c>
      <c r="N25" s="23" t="n">
        <v>26.25</v>
      </c>
      <c r="O25" s="23" t="n">
        <v>8.38</v>
      </c>
      <c r="P25" s="23" t="n">
        <v>2.74</v>
      </c>
      <c r="Q25" s="23" t="n">
        <v>6.28</v>
      </c>
      <c r="R25" s="23" t="n">
        <v>13.38</v>
      </c>
      <c r="S25" s="23" t="n">
        <v>27.29</v>
      </c>
      <c r="T25" s="23" t="n">
        <v>3.29</v>
      </c>
      <c r="U25" s="23" t="n">
        <v>5.48</v>
      </c>
      <c r="V25" s="23" t="n">
        <v>4.52</v>
      </c>
      <c r="W25" s="23" t="n">
        <v>7.48</v>
      </c>
      <c r="X25" s="23" t="n">
        <v>10.89</v>
      </c>
      <c r="Y25" s="23" t="n">
        <v>6.21</v>
      </c>
      <c r="Z25" s="23" t="n">
        <v>3.07</v>
      </c>
      <c r="AA25" s="23" t="n">
        <v>4.08</v>
      </c>
      <c r="AB25" s="23" t="n">
        <v>1.78</v>
      </c>
      <c r="AC25" s="23" t="n">
        <v>6.28</v>
      </c>
      <c r="AD25" s="23" t="n">
        <v>3.15</v>
      </c>
      <c r="AE25" s="23" t="n">
        <v>4.71</v>
      </c>
      <c r="AF25" s="23" t="n">
        <v>0.08</v>
      </c>
      <c r="AG25" s="23" t="n">
        <v>3.54</v>
      </c>
    </row>
    <row r="26" customFormat="false" ht="15" hidden="false" customHeight="false" outlineLevel="0" collapsed="false">
      <c r="A26" s="26" t="str">
        <f aca="false">Indicators!A26</f>
        <v>D03</v>
      </c>
      <c r="B26" s="26" t="str">
        <f aca="false">Indicators!C26</f>
        <v>Real-time / digital payments (% of payment value)</v>
      </c>
      <c r="C26" s="26" t="str">
        <f aca="false">Indicators!D26</f>
        <v>%</v>
      </c>
      <c r="D26" s="23" t="n">
        <v>31</v>
      </c>
      <c r="E26" s="23" t="n">
        <v>11.43</v>
      </c>
      <c r="F26" s="23" t="n">
        <v>5.1</v>
      </c>
      <c r="G26" s="23" t="n">
        <v>16</v>
      </c>
      <c r="H26" s="23" t="n">
        <v>27.63</v>
      </c>
      <c r="I26" s="23" t="n">
        <v>51.64</v>
      </c>
      <c r="J26" s="23" t="n">
        <v>68.37</v>
      </c>
      <c r="K26" s="23" t="n">
        <v>36.53</v>
      </c>
      <c r="L26" s="23" t="n">
        <v>65.56</v>
      </c>
      <c r="M26" s="23" t="n">
        <v>28.12</v>
      </c>
      <c r="N26" s="23" t="n">
        <v>15.55</v>
      </c>
      <c r="O26" s="23" t="n">
        <v>35.75</v>
      </c>
      <c r="P26" s="23" t="n">
        <v>19.89</v>
      </c>
      <c r="Q26" s="23" t="n">
        <v>0.26</v>
      </c>
      <c r="R26" s="23" t="n">
        <v>50.09</v>
      </c>
      <c r="S26" s="23" t="n">
        <v>26.61</v>
      </c>
      <c r="T26" s="23" t="n">
        <v>30.33</v>
      </c>
      <c r="U26" s="23" t="n">
        <v>56.43</v>
      </c>
      <c r="V26" s="23" t="n">
        <v>43.91</v>
      </c>
      <c r="W26" s="23" t="n">
        <v>11.57</v>
      </c>
      <c r="X26" s="23" t="n">
        <v>79.41</v>
      </c>
      <c r="Y26" s="23" t="n">
        <v>34.7</v>
      </c>
      <c r="Z26" s="23" t="n">
        <v>13.12</v>
      </c>
      <c r="AA26" s="23" t="n">
        <v>11.87</v>
      </c>
      <c r="AB26" s="23" t="n">
        <v>12.59</v>
      </c>
      <c r="AC26" s="23" t="n">
        <v>6.7</v>
      </c>
      <c r="AD26" s="23" t="n">
        <v>0.32</v>
      </c>
      <c r="AE26" s="23" t="n">
        <v>12.27</v>
      </c>
      <c r="AF26" s="23" t="n">
        <v>8.13</v>
      </c>
      <c r="AG26" s="23"/>
    </row>
    <row r="27" customFormat="false" ht="15" hidden="false" customHeight="false" outlineLevel="0" collapsed="false">
      <c r="A27" s="26" t="str">
        <f aca="false">Indicators!A27</f>
        <v>D04</v>
      </c>
      <c r="B27" s="26" t="str">
        <f aca="false">Indicators!C27</f>
        <v>Cash deposit machines and ATMs per branch</v>
      </c>
      <c r="C27" s="26" t="str">
        <f aca="false">Indicators!D27</f>
        <v>count</v>
      </c>
      <c r="D27" s="23" t="n">
        <v>1.48</v>
      </c>
      <c r="E27" s="23" t="n">
        <v>7</v>
      </c>
      <c r="F27" s="23" t="n">
        <v>0</v>
      </c>
      <c r="G27" s="23" t="n">
        <v>0</v>
      </c>
      <c r="H27" s="23" t="n">
        <v>0</v>
      </c>
      <c r="I27" s="23" t="n">
        <v>6</v>
      </c>
      <c r="J27" s="23" t="n">
        <v>0</v>
      </c>
      <c r="K27" s="23" t="n">
        <v>4.71</v>
      </c>
      <c r="L27" s="23" t="n">
        <v>3.24</v>
      </c>
      <c r="M27" s="23" t="n">
        <v>2.44</v>
      </c>
      <c r="N27" s="23" t="n">
        <v>3.41</v>
      </c>
      <c r="O27" s="23" t="n">
        <v>1.16</v>
      </c>
      <c r="P27" s="23" t="n">
        <v>1.79</v>
      </c>
      <c r="Q27" s="23" t="n">
        <v>2.57</v>
      </c>
      <c r="R27" s="23" t="n">
        <v>3.03</v>
      </c>
      <c r="S27" s="23" t="n">
        <v>3.24</v>
      </c>
      <c r="T27" s="23" t="n">
        <v>1.29</v>
      </c>
      <c r="U27" s="23" t="n">
        <v>4.05</v>
      </c>
      <c r="V27" s="23" t="n">
        <v>3.84</v>
      </c>
      <c r="W27" s="23" t="n">
        <v>1.4</v>
      </c>
      <c r="X27" s="23" t="n">
        <v>7</v>
      </c>
      <c r="Y27" s="23" t="n">
        <v>0.53</v>
      </c>
      <c r="Z27" s="23" t="n">
        <v>0.75</v>
      </c>
      <c r="AA27" s="23" t="n">
        <v>0.79</v>
      </c>
      <c r="AB27" s="23" t="n">
        <v>0.08</v>
      </c>
      <c r="AC27" s="23" t="n">
        <v>1.65</v>
      </c>
      <c r="AD27" s="23" t="n">
        <v>0.84</v>
      </c>
      <c r="AE27" s="23" t="n">
        <v>1.34</v>
      </c>
      <c r="AF27" s="23" t="n">
        <v>1.21</v>
      </c>
      <c r="AG27" s="23" t="n">
        <v>1.88</v>
      </c>
    </row>
    <row r="28" customFormat="false" ht="15" hidden="false" customHeight="false" outlineLevel="0" collapsed="false">
      <c r="A28" s="26" t="str">
        <f aca="false">Indicators!A28</f>
        <v>D05</v>
      </c>
      <c r="B28" s="26" t="str">
        <f aca="false">Indicators!C28</f>
        <v>Third parties with public-official contact acting for the bank</v>
      </c>
      <c r="C28" s="26" t="str">
        <f aca="false">Indicators!D28</f>
        <v>count</v>
      </c>
      <c r="D28" s="23" t="n">
        <v>11</v>
      </c>
      <c r="E28" s="23" t="n">
        <v>7</v>
      </c>
      <c r="F28" s="23" t="n">
        <v>12</v>
      </c>
      <c r="G28" s="23" t="n">
        <v>5</v>
      </c>
      <c r="H28" s="23" t="n">
        <v>0.62</v>
      </c>
      <c r="I28" s="23" t="n">
        <v>28</v>
      </c>
      <c r="J28" s="23" t="n">
        <v>22</v>
      </c>
      <c r="K28" s="23" t="n">
        <v>22</v>
      </c>
      <c r="L28" s="23" t="n">
        <v>6</v>
      </c>
      <c r="M28" s="23" t="n">
        <v>2.21</v>
      </c>
      <c r="N28" s="23" t="n">
        <v>14</v>
      </c>
      <c r="O28" s="23" t="n">
        <v>7</v>
      </c>
      <c r="P28" s="23" t="n">
        <v>8</v>
      </c>
      <c r="Q28" s="23" t="n">
        <v>0.12</v>
      </c>
      <c r="R28" s="23" t="n">
        <v>14</v>
      </c>
      <c r="S28" s="23" t="n">
        <v>14</v>
      </c>
      <c r="T28" s="23" t="n">
        <v>5</v>
      </c>
      <c r="U28" s="23" t="n">
        <v>1.49</v>
      </c>
      <c r="V28" s="23" t="n">
        <v>2.4</v>
      </c>
      <c r="W28" s="23" t="n">
        <v>31</v>
      </c>
      <c r="X28" s="23" t="n">
        <v>26</v>
      </c>
      <c r="Y28" s="23" t="n">
        <v>0.83</v>
      </c>
      <c r="Z28" s="23" t="n">
        <v>0.94</v>
      </c>
      <c r="AA28" s="23" t="n">
        <v>0.94</v>
      </c>
      <c r="AB28" s="23" t="n">
        <v>0.98</v>
      </c>
      <c r="AC28" s="23" t="n">
        <v>4.18</v>
      </c>
      <c r="AD28" s="23" t="n">
        <v>2.57</v>
      </c>
      <c r="AE28" s="23" t="n">
        <v>3.8</v>
      </c>
      <c r="AF28" s="23" t="n">
        <v>0.22</v>
      </c>
      <c r="AG28" s="23" t="n">
        <v>0.11</v>
      </c>
    </row>
    <row r="29" customFormat="false" ht="15" hidden="false" customHeight="false" outlineLevel="0" collapsed="false">
      <c r="A29" s="26" t="str">
        <f aca="false">Indicators!A29</f>
        <v>T01</v>
      </c>
      <c r="B29" s="26" t="str">
        <f aca="false">Indicators!C29</f>
        <v>Cash deposits (% of total deposit inflows)</v>
      </c>
      <c r="C29" s="26" t="str">
        <f aca="false">Indicators!D29</f>
        <v>%</v>
      </c>
      <c r="D29" s="23" t="n">
        <v>2.94</v>
      </c>
      <c r="E29" s="23" t="n">
        <v>9.63</v>
      </c>
      <c r="F29" s="23" t="n">
        <v>18.52</v>
      </c>
      <c r="G29" s="23" t="n">
        <v>12.53</v>
      </c>
      <c r="H29" s="23" t="n">
        <v>9.02</v>
      </c>
      <c r="I29" s="23" t="n">
        <v>28.27</v>
      </c>
      <c r="J29" s="23" t="n">
        <v>13.45</v>
      </c>
      <c r="K29" s="23" t="n">
        <v>27.38</v>
      </c>
      <c r="L29" s="23" t="n">
        <v>52.66</v>
      </c>
      <c r="M29" s="23" t="n">
        <v>7.72</v>
      </c>
      <c r="N29" s="23" t="n">
        <v>15.06</v>
      </c>
      <c r="O29" s="23" t="n">
        <v>26.19</v>
      </c>
      <c r="P29" s="23" t="n">
        <v>6.33</v>
      </c>
      <c r="Q29" s="23" t="n">
        <v>13.54</v>
      </c>
      <c r="R29" s="23" t="n">
        <v>38.75</v>
      </c>
      <c r="S29" s="23" t="n">
        <v>23.6</v>
      </c>
      <c r="T29" s="23" t="n">
        <v>6.43</v>
      </c>
      <c r="U29" s="23" t="n">
        <v>13.33</v>
      </c>
      <c r="V29" s="23" t="n">
        <v>1.53</v>
      </c>
      <c r="W29" s="23" t="n">
        <v>51.68</v>
      </c>
      <c r="X29" s="23" t="n">
        <v>11.32</v>
      </c>
      <c r="Y29" s="23" t="n">
        <v>2.82</v>
      </c>
      <c r="Z29" s="23" t="n">
        <v>8.43</v>
      </c>
      <c r="AA29" s="23" t="n">
        <v>7.97</v>
      </c>
      <c r="AB29" s="23" t="n">
        <v>3.45</v>
      </c>
      <c r="AC29" s="23" t="n">
        <v>8.6</v>
      </c>
      <c r="AD29" s="23" t="n">
        <v>7.54</v>
      </c>
      <c r="AE29" s="23" t="n">
        <v>5.4</v>
      </c>
      <c r="AF29" s="23" t="n">
        <v>1.67</v>
      </c>
      <c r="AG29" s="23" t="n">
        <v>0.13</v>
      </c>
    </row>
    <row r="30" customFormat="false" ht="15" hidden="false" customHeight="false" outlineLevel="0" collapsed="false">
      <c r="A30" s="26" t="str">
        <f aca="false">Indicators!A30</f>
        <v>T02</v>
      </c>
      <c r="B30" s="26" t="str">
        <f aca="false">Indicators!C30</f>
        <v>Cross-border wires per month ('000)</v>
      </c>
      <c r="C30" s="26" t="str">
        <f aca="false">Indicators!D30</f>
        <v>count ('000)</v>
      </c>
      <c r="D30" s="23" t="n">
        <v>34</v>
      </c>
      <c r="E30" s="23" t="n">
        <v>73</v>
      </c>
      <c r="F30" s="23" t="n">
        <v>0</v>
      </c>
      <c r="G30" s="23" t="n">
        <v>0</v>
      </c>
      <c r="H30" s="23" t="n">
        <v>0</v>
      </c>
      <c r="I30" s="23" t="n">
        <v>67</v>
      </c>
      <c r="J30" s="23" t="n">
        <v>0</v>
      </c>
      <c r="K30" s="23" t="n">
        <v>110</v>
      </c>
      <c r="L30" s="23" t="n">
        <v>71</v>
      </c>
      <c r="M30" s="23" t="n">
        <v>13</v>
      </c>
      <c r="N30" s="23" t="n">
        <v>75</v>
      </c>
      <c r="O30" s="23" t="n">
        <v>27</v>
      </c>
      <c r="P30" s="23" t="n">
        <v>21</v>
      </c>
      <c r="Q30" s="23" t="n">
        <v>25</v>
      </c>
      <c r="R30" s="23" t="n">
        <v>114</v>
      </c>
      <c r="S30" s="23" t="n">
        <v>24</v>
      </c>
      <c r="T30" s="23" t="n">
        <v>11</v>
      </c>
      <c r="U30" s="23" t="n">
        <v>45</v>
      </c>
      <c r="V30" s="23" t="n">
        <v>45</v>
      </c>
      <c r="W30" s="23" t="n">
        <v>85</v>
      </c>
      <c r="X30" s="23" t="n">
        <v>109</v>
      </c>
      <c r="Y30" s="23" t="n">
        <v>3.38</v>
      </c>
      <c r="Z30" s="23" t="n">
        <v>16</v>
      </c>
      <c r="AA30" s="23" t="n">
        <v>0.04</v>
      </c>
      <c r="AB30" s="23" t="n">
        <v>16</v>
      </c>
      <c r="AC30" s="23" t="n">
        <v>2.53</v>
      </c>
      <c r="AD30" s="23" t="n">
        <v>10</v>
      </c>
      <c r="AE30" s="23" t="n">
        <v>3.19</v>
      </c>
      <c r="AF30" s="23" t="n">
        <v>1.39</v>
      </c>
      <c r="AG30" s="23" t="n">
        <v>2.45</v>
      </c>
    </row>
    <row r="31" customFormat="false" ht="15" hidden="false" customHeight="false" outlineLevel="0" collapsed="false">
      <c r="A31" s="26" t="str">
        <f aca="false">Indicators!A31</f>
        <v>T03</v>
      </c>
      <c r="B31" s="26" t="str">
        <f aca="false">Indicators!C31</f>
        <v>Transactions above USD 1m per month</v>
      </c>
      <c r="C31" s="26" t="str">
        <f aca="false">Indicators!D31</f>
        <v>count</v>
      </c>
      <c r="D31" s="23" t="n">
        <v>181</v>
      </c>
      <c r="E31" s="23" t="n">
        <v>25</v>
      </c>
      <c r="F31" s="23" t="n">
        <v>110</v>
      </c>
      <c r="G31" s="23" t="n">
        <v>443</v>
      </c>
      <c r="H31" s="23" t="n">
        <v>156</v>
      </c>
      <c r="I31" s="23" t="n">
        <v>421</v>
      </c>
      <c r="J31" s="23" t="n">
        <v>192</v>
      </c>
      <c r="K31" s="23" t="n">
        <v>919</v>
      </c>
      <c r="L31" s="23" t="n">
        <v>684</v>
      </c>
      <c r="M31" s="23" t="n">
        <v>2.12</v>
      </c>
      <c r="N31" s="23" t="n">
        <v>270</v>
      </c>
      <c r="O31" s="23" t="n">
        <v>95</v>
      </c>
      <c r="P31" s="23" t="n">
        <v>279</v>
      </c>
      <c r="Q31" s="23" t="n">
        <v>179</v>
      </c>
      <c r="R31" s="23" t="n">
        <v>165</v>
      </c>
      <c r="S31" s="23" t="n">
        <v>482</v>
      </c>
      <c r="T31" s="23" t="n">
        <v>454</v>
      </c>
      <c r="U31" s="23" t="n">
        <v>329</v>
      </c>
      <c r="V31" s="23" t="n">
        <v>217</v>
      </c>
      <c r="W31" s="23" t="n">
        <v>175</v>
      </c>
      <c r="X31" s="23" t="n">
        <v>176</v>
      </c>
      <c r="Y31" s="23" t="n">
        <v>25</v>
      </c>
      <c r="Z31" s="23" t="n">
        <v>46</v>
      </c>
      <c r="AA31" s="23" t="n">
        <v>64</v>
      </c>
      <c r="AB31" s="23" t="n">
        <v>55</v>
      </c>
      <c r="AC31" s="23" t="n">
        <v>133</v>
      </c>
      <c r="AD31" s="23" t="n">
        <v>33</v>
      </c>
      <c r="AE31" s="23" t="n">
        <v>84</v>
      </c>
      <c r="AF31" s="23" t="n">
        <v>0.21</v>
      </c>
      <c r="AG31" s="23"/>
    </row>
    <row r="32" customFormat="false" ht="15" hidden="false" customHeight="false" outlineLevel="0" collapsed="false">
      <c r="A32" s="26" t="str">
        <f aca="false">Indicators!A32</f>
        <v>T04</v>
      </c>
      <c r="B32" s="26" t="str">
        <f aca="false">Indicators!C32</f>
        <v>TM alerts per 1,000 customers per month</v>
      </c>
      <c r="C32" s="26" t="str">
        <f aca="false">Indicators!D32</f>
        <v>count</v>
      </c>
      <c r="D32" s="23" t="n">
        <v>4.69</v>
      </c>
      <c r="E32" s="23" t="n">
        <v>5</v>
      </c>
      <c r="F32" s="23" t="n">
        <v>4.23</v>
      </c>
      <c r="G32" s="23" t="n">
        <v>7</v>
      </c>
      <c r="H32" s="23" t="n">
        <v>5</v>
      </c>
      <c r="I32" s="23" t="n">
        <v>23</v>
      </c>
      <c r="J32" s="23" t="n">
        <v>9</v>
      </c>
      <c r="K32" s="23" t="n">
        <v>3.87</v>
      </c>
      <c r="L32" s="23" t="n">
        <v>32</v>
      </c>
      <c r="M32" s="23" t="n">
        <v>6</v>
      </c>
      <c r="N32" s="23" t="n">
        <v>3.42</v>
      </c>
      <c r="O32" s="23" t="n">
        <v>10</v>
      </c>
      <c r="P32" s="23" t="n">
        <v>8</v>
      </c>
      <c r="Q32" s="23" t="n">
        <v>10</v>
      </c>
      <c r="R32" s="23" t="n">
        <v>13</v>
      </c>
      <c r="S32" s="23" t="n">
        <v>21</v>
      </c>
      <c r="T32" s="23" t="n">
        <v>9</v>
      </c>
      <c r="U32" s="23" t="n">
        <v>14</v>
      </c>
      <c r="V32" s="23" t="n">
        <v>24</v>
      </c>
      <c r="W32" s="23" t="n">
        <v>15</v>
      </c>
      <c r="X32" s="23" t="n">
        <v>16</v>
      </c>
      <c r="Y32" s="23" t="n">
        <v>0.4</v>
      </c>
      <c r="Z32" s="23" t="n">
        <v>0.17</v>
      </c>
      <c r="AA32" s="23" t="n">
        <v>10</v>
      </c>
      <c r="AB32" s="23" t="n">
        <v>0.04</v>
      </c>
      <c r="AC32" s="23" t="n">
        <v>8</v>
      </c>
      <c r="AD32" s="23" t="n">
        <v>2.62</v>
      </c>
      <c r="AE32" s="23" t="n">
        <v>6</v>
      </c>
      <c r="AF32" s="23" t="n">
        <v>7</v>
      </c>
      <c r="AG32" s="23" t="n">
        <v>9</v>
      </c>
    </row>
    <row r="33" customFormat="false" ht="15" hidden="false" customHeight="false" outlineLevel="0" collapsed="false">
      <c r="A33" s="26" t="str">
        <f aca="false">Indicators!A33</f>
        <v>T05</v>
      </c>
      <c r="B33" s="26" t="str">
        <f aca="false">Indicators!C33</f>
        <v>STRs filed per 10,000 customers per year</v>
      </c>
      <c r="C33" s="26" t="str">
        <f aca="false">Indicators!D33</f>
        <v>count</v>
      </c>
      <c r="D33" s="23" t="n">
        <v>1.05</v>
      </c>
      <c r="E33" s="23" t="n">
        <v>9</v>
      </c>
      <c r="F33" s="23" t="n">
        <v>3.07</v>
      </c>
      <c r="G33" s="23" t="n">
        <v>1.63</v>
      </c>
      <c r="H33" s="23" t="n">
        <v>4.19</v>
      </c>
      <c r="I33" s="23" t="n">
        <v>14</v>
      </c>
      <c r="J33" s="23" t="n">
        <v>8</v>
      </c>
      <c r="K33" s="23" t="n">
        <v>6</v>
      </c>
      <c r="L33" s="23" t="n">
        <v>7</v>
      </c>
      <c r="M33" s="23" t="n">
        <v>9</v>
      </c>
      <c r="N33" s="23" t="n">
        <v>0.32</v>
      </c>
      <c r="O33" s="23" t="n">
        <v>4.22</v>
      </c>
      <c r="P33" s="23" t="n">
        <v>2.12</v>
      </c>
      <c r="Q33" s="23" t="n">
        <v>4.15</v>
      </c>
      <c r="R33" s="23" t="n">
        <v>6</v>
      </c>
      <c r="S33" s="23" t="n">
        <v>9</v>
      </c>
      <c r="T33" s="23" t="n">
        <v>4.91</v>
      </c>
      <c r="U33" s="23" t="n">
        <v>6</v>
      </c>
      <c r="V33" s="23" t="n">
        <v>2.24</v>
      </c>
      <c r="W33" s="23" t="n">
        <v>10</v>
      </c>
      <c r="X33" s="23" t="n">
        <v>9</v>
      </c>
      <c r="Y33" s="23" t="n">
        <v>0.92</v>
      </c>
      <c r="Z33" s="23" t="n">
        <v>1.15</v>
      </c>
      <c r="AA33" s="23" t="n">
        <v>1.08</v>
      </c>
      <c r="AB33" s="23" t="n">
        <v>0.71</v>
      </c>
      <c r="AC33" s="23" t="n">
        <v>2.9</v>
      </c>
      <c r="AD33" s="23" t="n">
        <v>0.57</v>
      </c>
      <c r="AE33" s="23" t="n">
        <v>0.56</v>
      </c>
      <c r="AF33" s="23" t="n">
        <v>0.22</v>
      </c>
      <c r="AG33" s="23" t="n">
        <v>1.32</v>
      </c>
    </row>
    <row r="34" customFormat="false" ht="15" hidden="false" customHeight="false" outlineLevel="0" collapsed="false">
      <c r="A34" s="26" t="str">
        <f aca="false">Indicators!A34</f>
        <v>T06</v>
      </c>
      <c r="B34" s="26" t="str">
        <f aca="false">Indicators!C34</f>
        <v>Fraud cases per 10,000 customers per year</v>
      </c>
      <c r="C34" s="26" t="str">
        <f aca="false">Indicators!D34</f>
        <v>count</v>
      </c>
      <c r="D34" s="23" t="n">
        <v>3.65</v>
      </c>
      <c r="E34" s="23" t="n">
        <v>1.03</v>
      </c>
      <c r="F34" s="23" t="n">
        <v>1.59</v>
      </c>
      <c r="G34" s="23" t="n">
        <v>2.55</v>
      </c>
      <c r="H34" s="23" t="n">
        <v>8</v>
      </c>
      <c r="I34" s="23" t="n">
        <v>16</v>
      </c>
      <c r="J34" s="23" t="n">
        <v>7</v>
      </c>
      <c r="K34" s="23" t="n">
        <v>7</v>
      </c>
      <c r="L34" s="23" t="n">
        <v>8</v>
      </c>
      <c r="M34" s="23" t="n">
        <v>15</v>
      </c>
      <c r="N34" s="23" t="n">
        <v>2.93</v>
      </c>
      <c r="O34" s="23" t="n">
        <v>0.69</v>
      </c>
      <c r="P34" s="23" t="n">
        <v>8</v>
      </c>
      <c r="Q34" s="23" t="n">
        <v>3.76</v>
      </c>
      <c r="R34" s="23" t="n">
        <v>7</v>
      </c>
      <c r="S34" s="23" t="n">
        <v>7</v>
      </c>
      <c r="T34" s="23" t="n">
        <v>6</v>
      </c>
      <c r="U34" s="23" t="n">
        <v>8</v>
      </c>
      <c r="V34" s="23" t="n">
        <v>14</v>
      </c>
      <c r="W34" s="23" t="n">
        <v>6</v>
      </c>
      <c r="X34" s="23" t="n">
        <v>10</v>
      </c>
      <c r="Y34" s="23" t="n">
        <v>0.78</v>
      </c>
      <c r="Z34" s="23" t="n">
        <v>1.34</v>
      </c>
      <c r="AA34" s="23" t="n">
        <v>0.02</v>
      </c>
      <c r="AB34" s="23" t="n">
        <v>2.13</v>
      </c>
      <c r="AC34" s="23" t="n">
        <v>5</v>
      </c>
      <c r="AD34" s="23" t="n">
        <v>2.17</v>
      </c>
      <c r="AE34" s="23" t="n">
        <v>1.42</v>
      </c>
      <c r="AF34" s="23" t="n">
        <v>1.39</v>
      </c>
      <c r="AG34" s="23" t="n">
        <v>6</v>
      </c>
    </row>
    <row r="35" customFormat="false" ht="15" hidden="false" customHeight="false" outlineLevel="0" collapsed="false">
      <c r="A35" s="26" t="str">
        <f aca="false">Indicators!A35</f>
        <v>T07</v>
      </c>
      <c r="B35" s="26" t="str">
        <f aca="false">Indicators!C35</f>
        <v>FATCA/CRS reportable accounts (% of accounts)</v>
      </c>
      <c r="C35" s="26" t="str">
        <f aca="false">Indicators!D35</f>
        <v>%</v>
      </c>
      <c r="D35" s="23" t="n">
        <v>5.03</v>
      </c>
      <c r="E35" s="23" t="n">
        <v>3</v>
      </c>
      <c r="F35" s="23" t="n">
        <v>3.94</v>
      </c>
      <c r="G35" s="23" t="n">
        <v>5.29</v>
      </c>
      <c r="H35" s="23" t="n">
        <v>1.03</v>
      </c>
      <c r="I35" s="23" t="n">
        <v>6.97</v>
      </c>
      <c r="J35" s="23" t="n">
        <v>14.88</v>
      </c>
      <c r="K35" s="23" t="n">
        <v>10.93</v>
      </c>
      <c r="L35" s="23" t="n">
        <v>8.72</v>
      </c>
      <c r="M35" s="23" t="n">
        <v>4.89</v>
      </c>
      <c r="N35" s="23" t="n">
        <v>2.05</v>
      </c>
      <c r="O35" s="23" t="n">
        <v>9.68</v>
      </c>
      <c r="P35" s="23" t="n">
        <v>5.59</v>
      </c>
      <c r="Q35" s="23" t="n">
        <v>5.31</v>
      </c>
      <c r="R35" s="23" t="n">
        <v>9.57</v>
      </c>
      <c r="S35" s="23" t="n">
        <v>7.04</v>
      </c>
      <c r="T35" s="23" t="n">
        <v>0.34</v>
      </c>
      <c r="U35" s="23" t="n">
        <v>9.77</v>
      </c>
      <c r="V35" s="23" t="n">
        <v>1.9</v>
      </c>
      <c r="W35" s="23" t="n">
        <v>2.08</v>
      </c>
      <c r="X35" s="23" t="n">
        <v>2.15</v>
      </c>
      <c r="Y35" s="23" t="n">
        <v>0.53</v>
      </c>
      <c r="Z35" s="23" t="n">
        <v>0.3</v>
      </c>
      <c r="AA35" s="23" t="n">
        <v>1.1</v>
      </c>
      <c r="AB35" s="23" t="n">
        <v>0.83</v>
      </c>
      <c r="AC35" s="23" t="n">
        <v>1.26</v>
      </c>
      <c r="AD35" s="23" t="n">
        <v>0.12</v>
      </c>
      <c r="AE35" s="23" t="n">
        <v>0.5</v>
      </c>
      <c r="AF35" s="23" t="n">
        <v>0.66</v>
      </c>
      <c r="AG35" s="23" t="n">
        <v>2.22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33" min="4" style="0" width="9"/>
  </cols>
  <sheetData>
    <row r="1" customFormat="false" ht="17.35" hidden="false" customHeight="false" outlineLevel="0" collapsed="false">
      <c r="A1" s="1" t="s">
        <v>413</v>
      </c>
    </row>
    <row r="2" customFormat="false" ht="15" hidden="false" customHeight="false" outlineLevel="0" collapsed="false">
      <c r="A2" s="2" t="s">
        <v>414</v>
      </c>
    </row>
    <row r="4" customFormat="false" ht="27.75" hidden="false" customHeight="true" outlineLevel="0" collapsed="false">
      <c r="A4" s="5" t="s">
        <v>305</v>
      </c>
      <c r="B4" s="5" t="s">
        <v>307</v>
      </c>
      <c r="C4" s="5" t="s">
        <v>308</v>
      </c>
      <c r="D4" s="5" t="str">
        <f aca="false">Entities!A5</f>
        <v>JO-HO</v>
      </c>
      <c r="E4" s="5" t="str">
        <f aca="false">Entities!A6</f>
        <v>JO-IIAB</v>
      </c>
      <c r="F4" s="5" t="str">
        <f aca="false">Entities!A7</f>
        <v>JO-INV</v>
      </c>
      <c r="G4" s="5" t="str">
        <f aca="false">Entities!A8</f>
        <v>JO-INS</v>
      </c>
      <c r="H4" s="5" t="str">
        <f aca="false">Entities!A9</f>
        <v>JO-LSG</v>
      </c>
      <c r="I4" s="5" t="str">
        <f aca="false">Entities!A10</f>
        <v>PS</v>
      </c>
      <c r="J4" s="5" t="str">
        <f aca="false">Entities!A11</f>
        <v>PS-INV</v>
      </c>
      <c r="K4" s="5" t="str">
        <f aca="false">Entities!A12</f>
        <v>LB</v>
      </c>
      <c r="L4" s="5" t="str">
        <f aca="false">Entities!A13</f>
        <v>SY</v>
      </c>
      <c r="M4" s="5" t="str">
        <f aca="false">Entities!A14</f>
        <v>AE</v>
      </c>
      <c r="N4" s="5" t="str">
        <f aca="false">Entities!A15</f>
        <v>BH</v>
      </c>
      <c r="O4" s="5" t="str">
        <f aca="false">Entities!A16</f>
        <v>QA</v>
      </c>
      <c r="P4" s="5" t="str">
        <f aca="false">Entities!A17</f>
        <v>SA</v>
      </c>
      <c r="Q4" s="5" t="str">
        <f aca="false">Entities!A18</f>
        <v>OM</v>
      </c>
      <c r="R4" s="5" t="str">
        <f aca="false">Entities!A19</f>
        <v>IQ</v>
      </c>
      <c r="S4" s="5" t="str">
        <f aca="false">Entities!A20</f>
        <v>YE</v>
      </c>
      <c r="T4" s="5" t="str">
        <f aca="false">Entities!A21</f>
        <v>EG</v>
      </c>
      <c r="U4" s="5" t="str">
        <f aca="false">Entities!A22</f>
        <v>DZ</v>
      </c>
      <c r="V4" s="5" t="str">
        <f aca="false">Entities!A23</f>
        <v>MA</v>
      </c>
      <c r="W4" s="5" t="str">
        <f aca="false">Entities!A24</f>
        <v>TN</v>
      </c>
      <c r="X4" s="5" t="str">
        <f aca="false">Entities!A25</f>
        <v>SD</v>
      </c>
      <c r="Y4" s="5" t="str">
        <f aca="false">Entities!A26</f>
        <v>GB</v>
      </c>
      <c r="Z4" s="5" t="str">
        <f aca="false">Entities!A27</f>
        <v>FR</v>
      </c>
      <c r="AA4" s="5" t="str">
        <f aca="false">Entities!A28</f>
        <v>DE</v>
      </c>
      <c r="AB4" s="5" t="str">
        <f aca="false">Entities!A29</f>
        <v>IT</v>
      </c>
      <c r="AC4" s="5" t="str">
        <f aca="false">Entities!A30</f>
        <v>CH</v>
      </c>
      <c r="AD4" s="5" t="str">
        <f aca="false">Entities!A31</f>
        <v>SG</v>
      </c>
      <c r="AE4" s="5" t="str">
        <f aca="false">Entities!A32</f>
        <v>CN</v>
      </c>
      <c r="AF4" s="5" t="str">
        <f aca="false">Entities!A33</f>
        <v>AU</v>
      </c>
      <c r="AG4" s="5" t="str">
        <f aca="false">Entities!A34</f>
        <v>US</v>
      </c>
    </row>
    <row r="5" customFormat="false" ht="15" hidden="false" customHeight="false" outlineLevel="0" collapsed="false">
      <c r="A5" s="26" t="str">
        <f aca="false">Indicators!A5</f>
        <v>C01</v>
      </c>
      <c r="B5" s="26" t="str">
        <f aca="false">Indicators!C5</f>
        <v>% of customers rated high risk (CRR)</v>
      </c>
      <c r="C5" s="26" t="str">
        <f aca="false">Indicators!D5</f>
        <v>%</v>
      </c>
      <c r="D5" s="27" t="n">
        <f aca="false">IF('Indicator Data'!D5="",IF(Config!$C$15="Score as High (5)",5,0),IF(Indicators!$F5="Higher = riskier",1+('Indicator Data'!D5&gt;=Indicators!$G5)+('Indicator Data'!D5&gt;=Indicators!$H5)+('Indicator Data'!D5&gt;=Indicators!$I5)+('Indicator Data'!D5&gt;=Indicators!$J5),1+('Indicator Data'!D5&lt;=Indicators!$G5)+('Indicator Data'!D5&lt;=Indicators!$H5)+('Indicator Data'!D5&lt;=Indicators!$I5)+('Indicator Data'!D5&lt;=Indicators!$J5)))</f>
        <v>4</v>
      </c>
      <c r="E5" s="27" t="n">
        <f aca="false">IF('Indicator Data'!E5="",IF(Config!$C$15="Score as High (5)",5,0),IF(Indicators!$F5="Higher = riskier",1+('Indicator Data'!E5&gt;=Indicators!$G5)+('Indicator Data'!E5&gt;=Indicators!$H5)+('Indicator Data'!E5&gt;=Indicators!$I5)+('Indicator Data'!E5&gt;=Indicators!$J5),1+('Indicator Data'!E5&lt;=Indicators!$G5)+('Indicator Data'!E5&lt;=Indicators!$H5)+('Indicator Data'!E5&lt;=Indicators!$I5)+('Indicator Data'!E5&lt;=Indicators!$J5)))</f>
        <v>3</v>
      </c>
      <c r="F5" s="27" t="n">
        <f aca="false">IF('Indicator Data'!F5="",IF(Config!$C$15="Score as High (5)",5,0),IF(Indicators!$F5="Higher = riskier",1+('Indicator Data'!F5&gt;=Indicators!$G5)+('Indicator Data'!F5&gt;=Indicators!$H5)+('Indicator Data'!F5&gt;=Indicators!$I5)+('Indicator Data'!F5&gt;=Indicators!$J5),1+('Indicator Data'!F5&lt;=Indicators!$G5)+('Indicator Data'!F5&lt;=Indicators!$H5)+('Indicator Data'!F5&lt;=Indicators!$I5)+('Indicator Data'!F5&lt;=Indicators!$J5)))</f>
        <v>1</v>
      </c>
      <c r="G5" s="27" t="n">
        <f aca="false">IF('Indicator Data'!G5="",IF(Config!$C$15="Score as High (5)",5,0),IF(Indicators!$F5="Higher = riskier",1+('Indicator Data'!G5&gt;=Indicators!$G5)+('Indicator Data'!G5&gt;=Indicators!$H5)+('Indicator Data'!G5&gt;=Indicators!$I5)+('Indicator Data'!G5&gt;=Indicators!$J5),1+('Indicator Data'!G5&lt;=Indicators!$G5)+('Indicator Data'!G5&lt;=Indicators!$H5)+('Indicator Data'!G5&lt;=Indicators!$I5)+('Indicator Data'!G5&lt;=Indicators!$J5)))</f>
        <v>4</v>
      </c>
      <c r="H5" s="27" t="n">
        <f aca="false">IF('Indicator Data'!H5="",IF(Config!$C$15="Score as High (5)",5,0),IF(Indicators!$F5="Higher = riskier",1+('Indicator Data'!H5&gt;=Indicators!$G5)+('Indicator Data'!H5&gt;=Indicators!$H5)+('Indicator Data'!H5&gt;=Indicators!$I5)+('Indicator Data'!H5&gt;=Indicators!$J5),1+('Indicator Data'!H5&lt;=Indicators!$G5)+('Indicator Data'!H5&lt;=Indicators!$H5)+('Indicator Data'!H5&lt;=Indicators!$I5)+('Indicator Data'!H5&lt;=Indicators!$J5)))</f>
        <v>4</v>
      </c>
      <c r="I5" s="27" t="n">
        <f aca="false">IF('Indicator Data'!I5="",IF(Config!$C$15="Score as High (5)",5,0),IF(Indicators!$F5="Higher = riskier",1+('Indicator Data'!I5&gt;=Indicators!$G5)+('Indicator Data'!I5&gt;=Indicators!$H5)+('Indicator Data'!I5&gt;=Indicators!$I5)+('Indicator Data'!I5&gt;=Indicators!$J5),1+('Indicator Data'!I5&lt;=Indicators!$G5)+('Indicator Data'!I5&lt;=Indicators!$H5)+('Indicator Data'!I5&lt;=Indicators!$I5)+('Indicator Data'!I5&lt;=Indicators!$J5)))</f>
        <v>4</v>
      </c>
      <c r="J5" s="27" t="n">
        <f aca="false">IF('Indicator Data'!J5="",IF(Config!$C$15="Score as High (5)",5,0),IF(Indicators!$F5="Higher = riskier",1+('Indicator Data'!J5&gt;=Indicators!$G5)+('Indicator Data'!J5&gt;=Indicators!$H5)+('Indicator Data'!J5&gt;=Indicators!$I5)+('Indicator Data'!J5&gt;=Indicators!$J5),1+('Indicator Data'!J5&lt;=Indicators!$G5)+('Indicator Data'!J5&lt;=Indicators!$H5)+('Indicator Data'!J5&lt;=Indicators!$I5)+('Indicator Data'!J5&lt;=Indicators!$J5)))</f>
        <v>3</v>
      </c>
      <c r="K5" s="27" t="n">
        <f aca="false">IF('Indicator Data'!K5="",IF(Config!$C$15="Score as High (5)",5,0),IF(Indicators!$F5="Higher = riskier",1+('Indicator Data'!K5&gt;=Indicators!$G5)+('Indicator Data'!K5&gt;=Indicators!$H5)+('Indicator Data'!K5&gt;=Indicators!$I5)+('Indicator Data'!K5&gt;=Indicators!$J5),1+('Indicator Data'!K5&lt;=Indicators!$G5)+('Indicator Data'!K5&lt;=Indicators!$H5)+('Indicator Data'!K5&lt;=Indicators!$I5)+('Indicator Data'!K5&lt;=Indicators!$J5)))</f>
        <v>3</v>
      </c>
      <c r="L5" s="27" t="n">
        <f aca="false">IF('Indicator Data'!L5="",IF(Config!$C$15="Score as High (5)",5,0),IF(Indicators!$F5="Higher = riskier",1+('Indicator Data'!L5&gt;=Indicators!$G5)+('Indicator Data'!L5&gt;=Indicators!$H5)+('Indicator Data'!L5&gt;=Indicators!$I5)+('Indicator Data'!L5&gt;=Indicators!$J5),1+('Indicator Data'!L5&lt;=Indicators!$G5)+('Indicator Data'!L5&lt;=Indicators!$H5)+('Indicator Data'!L5&lt;=Indicators!$I5)+('Indicator Data'!L5&lt;=Indicators!$J5)))</f>
        <v>4</v>
      </c>
      <c r="M5" s="27" t="n">
        <f aca="false">IF('Indicator Data'!M5="",IF(Config!$C$15="Score as High (5)",5,0),IF(Indicators!$F5="Higher = riskier",1+('Indicator Data'!M5&gt;=Indicators!$G5)+('Indicator Data'!M5&gt;=Indicators!$H5)+('Indicator Data'!M5&gt;=Indicators!$I5)+('Indicator Data'!M5&gt;=Indicators!$J5),1+('Indicator Data'!M5&lt;=Indicators!$G5)+('Indicator Data'!M5&lt;=Indicators!$H5)+('Indicator Data'!M5&lt;=Indicators!$I5)+('Indicator Data'!M5&lt;=Indicators!$J5)))</f>
        <v>3</v>
      </c>
      <c r="N5" s="27" t="n">
        <f aca="false">IF('Indicator Data'!N5="",IF(Config!$C$15="Score as High (5)",5,0),IF(Indicators!$F5="Higher = riskier",1+('Indicator Data'!N5&gt;=Indicators!$G5)+('Indicator Data'!N5&gt;=Indicators!$H5)+('Indicator Data'!N5&gt;=Indicators!$I5)+('Indicator Data'!N5&gt;=Indicators!$J5),1+('Indicator Data'!N5&lt;=Indicators!$G5)+('Indicator Data'!N5&lt;=Indicators!$H5)+('Indicator Data'!N5&lt;=Indicators!$I5)+('Indicator Data'!N5&lt;=Indicators!$J5)))</f>
        <v>2</v>
      </c>
      <c r="O5" s="27" t="n">
        <f aca="false">IF('Indicator Data'!O5="",IF(Config!$C$15="Score as High (5)",5,0),IF(Indicators!$F5="Higher = riskier",1+('Indicator Data'!O5&gt;=Indicators!$G5)+('Indicator Data'!O5&gt;=Indicators!$H5)+('Indicator Data'!O5&gt;=Indicators!$I5)+('Indicator Data'!O5&gt;=Indicators!$J5),1+('Indicator Data'!O5&lt;=Indicators!$G5)+('Indicator Data'!O5&lt;=Indicators!$H5)+('Indicator Data'!O5&lt;=Indicators!$I5)+('Indicator Data'!O5&lt;=Indicators!$J5)))</f>
        <v>4</v>
      </c>
      <c r="P5" s="27" t="n">
        <f aca="false">IF('Indicator Data'!P5="",IF(Config!$C$15="Score as High (5)",5,0),IF(Indicators!$F5="Higher = riskier",1+('Indicator Data'!P5&gt;=Indicators!$G5)+('Indicator Data'!P5&gt;=Indicators!$H5)+('Indicator Data'!P5&gt;=Indicators!$I5)+('Indicator Data'!P5&gt;=Indicators!$J5),1+('Indicator Data'!P5&lt;=Indicators!$G5)+('Indicator Data'!P5&lt;=Indicators!$H5)+('Indicator Data'!P5&lt;=Indicators!$I5)+('Indicator Data'!P5&lt;=Indicators!$J5)))</f>
        <v>2</v>
      </c>
      <c r="Q5" s="27" t="n">
        <f aca="false">IF('Indicator Data'!Q5="",IF(Config!$C$15="Score as High (5)",5,0),IF(Indicators!$F5="Higher = riskier",1+('Indicator Data'!Q5&gt;=Indicators!$G5)+('Indicator Data'!Q5&gt;=Indicators!$H5)+('Indicator Data'!Q5&gt;=Indicators!$I5)+('Indicator Data'!Q5&gt;=Indicators!$J5),1+('Indicator Data'!Q5&lt;=Indicators!$G5)+('Indicator Data'!Q5&lt;=Indicators!$H5)+('Indicator Data'!Q5&lt;=Indicators!$I5)+('Indicator Data'!Q5&lt;=Indicators!$J5)))</f>
        <v>3</v>
      </c>
      <c r="R5" s="27" t="n">
        <f aca="false">IF('Indicator Data'!R5="",IF(Config!$C$15="Score as High (5)",5,0),IF(Indicators!$F5="Higher = riskier",1+('Indicator Data'!R5&gt;=Indicators!$G5)+('Indicator Data'!R5&gt;=Indicators!$H5)+('Indicator Data'!R5&gt;=Indicators!$I5)+('Indicator Data'!R5&gt;=Indicators!$J5),1+('Indicator Data'!R5&lt;=Indicators!$G5)+('Indicator Data'!R5&lt;=Indicators!$H5)+('Indicator Data'!R5&lt;=Indicators!$I5)+('Indicator Data'!R5&lt;=Indicators!$J5)))</f>
        <v>2</v>
      </c>
      <c r="S5" s="27" t="n">
        <f aca="false">IF('Indicator Data'!S5="",IF(Config!$C$15="Score as High (5)",5,0),IF(Indicators!$F5="Higher = riskier",1+('Indicator Data'!S5&gt;=Indicators!$G5)+('Indicator Data'!S5&gt;=Indicators!$H5)+('Indicator Data'!S5&gt;=Indicators!$I5)+('Indicator Data'!S5&gt;=Indicators!$J5),1+('Indicator Data'!S5&lt;=Indicators!$G5)+('Indicator Data'!S5&lt;=Indicators!$H5)+('Indicator Data'!S5&lt;=Indicators!$I5)+('Indicator Data'!S5&lt;=Indicators!$J5)))</f>
        <v>4</v>
      </c>
      <c r="T5" s="27" t="n">
        <f aca="false">IF('Indicator Data'!T5="",IF(Config!$C$15="Score as High (5)",5,0),IF(Indicators!$F5="Higher = riskier",1+('Indicator Data'!T5&gt;=Indicators!$G5)+('Indicator Data'!T5&gt;=Indicators!$H5)+('Indicator Data'!T5&gt;=Indicators!$I5)+('Indicator Data'!T5&gt;=Indicators!$J5),1+('Indicator Data'!T5&lt;=Indicators!$G5)+('Indicator Data'!T5&lt;=Indicators!$H5)+('Indicator Data'!T5&lt;=Indicators!$I5)+('Indicator Data'!T5&lt;=Indicators!$J5)))</f>
        <v>3</v>
      </c>
      <c r="U5" s="27" t="n">
        <f aca="false">IF('Indicator Data'!U5="",IF(Config!$C$15="Score as High (5)",5,0),IF(Indicators!$F5="Higher = riskier",1+('Indicator Data'!U5&gt;=Indicators!$G5)+('Indicator Data'!U5&gt;=Indicators!$H5)+('Indicator Data'!U5&gt;=Indicators!$I5)+('Indicator Data'!U5&gt;=Indicators!$J5),1+('Indicator Data'!U5&lt;=Indicators!$G5)+('Indicator Data'!U5&lt;=Indicators!$H5)+('Indicator Data'!U5&lt;=Indicators!$I5)+('Indicator Data'!U5&lt;=Indicators!$J5)))</f>
        <v>3</v>
      </c>
      <c r="V5" s="27" t="n">
        <f aca="false">IF('Indicator Data'!V5="",IF(Config!$C$15="Score as High (5)",5,0),IF(Indicators!$F5="Higher = riskier",1+('Indicator Data'!V5&gt;=Indicators!$G5)+('Indicator Data'!V5&gt;=Indicators!$H5)+('Indicator Data'!V5&gt;=Indicators!$I5)+('Indicator Data'!V5&gt;=Indicators!$J5),1+('Indicator Data'!V5&lt;=Indicators!$G5)+('Indicator Data'!V5&lt;=Indicators!$H5)+('Indicator Data'!V5&lt;=Indicators!$I5)+('Indicator Data'!V5&lt;=Indicators!$J5)))</f>
        <v>3</v>
      </c>
      <c r="W5" s="27" t="n">
        <f aca="false">IF('Indicator Data'!W5="",IF(Config!$C$15="Score as High (5)",5,0),IF(Indicators!$F5="Higher = riskier",1+('Indicator Data'!W5&gt;=Indicators!$G5)+('Indicator Data'!W5&gt;=Indicators!$H5)+('Indicator Data'!W5&gt;=Indicators!$I5)+('Indicator Data'!W5&gt;=Indicators!$J5),1+('Indicator Data'!W5&lt;=Indicators!$G5)+('Indicator Data'!W5&lt;=Indicators!$H5)+('Indicator Data'!W5&lt;=Indicators!$I5)+('Indicator Data'!W5&lt;=Indicators!$J5)))</f>
        <v>3</v>
      </c>
      <c r="X5" s="27" t="n">
        <f aca="false">IF('Indicator Data'!X5="",IF(Config!$C$15="Score as High (5)",5,0),IF(Indicators!$F5="Higher = riskier",1+('Indicator Data'!X5&gt;=Indicators!$G5)+('Indicator Data'!X5&gt;=Indicators!$H5)+('Indicator Data'!X5&gt;=Indicators!$I5)+('Indicator Data'!X5&gt;=Indicators!$J5),1+('Indicator Data'!X5&lt;=Indicators!$G5)+('Indicator Data'!X5&lt;=Indicators!$H5)+('Indicator Data'!X5&lt;=Indicators!$I5)+('Indicator Data'!X5&lt;=Indicators!$J5)))</f>
        <v>5</v>
      </c>
      <c r="Y5" s="27" t="n">
        <f aca="false">IF('Indicator Data'!Y5="",IF(Config!$C$15="Score as High (5)",5,0),IF(Indicators!$F5="Higher = riskier",1+('Indicator Data'!Y5&gt;=Indicators!$G5)+('Indicator Data'!Y5&gt;=Indicators!$H5)+('Indicator Data'!Y5&gt;=Indicators!$I5)+('Indicator Data'!Y5&gt;=Indicators!$J5),1+('Indicator Data'!Y5&lt;=Indicators!$G5)+('Indicator Data'!Y5&lt;=Indicators!$H5)+('Indicator Data'!Y5&lt;=Indicators!$I5)+('Indicator Data'!Y5&lt;=Indicators!$J5)))</f>
        <v>2</v>
      </c>
      <c r="Z5" s="27" t="n">
        <f aca="false">IF('Indicator Data'!Z5="",IF(Config!$C$15="Score as High (5)",5,0),IF(Indicators!$F5="Higher = riskier",1+('Indicator Data'!Z5&gt;=Indicators!$G5)+('Indicator Data'!Z5&gt;=Indicators!$H5)+('Indicator Data'!Z5&gt;=Indicators!$I5)+('Indicator Data'!Z5&gt;=Indicators!$J5),1+('Indicator Data'!Z5&lt;=Indicators!$G5)+('Indicator Data'!Z5&lt;=Indicators!$H5)+('Indicator Data'!Z5&lt;=Indicators!$I5)+('Indicator Data'!Z5&lt;=Indicators!$J5)))</f>
        <v>2</v>
      </c>
      <c r="AA5" s="27" t="n">
        <f aca="false">IF('Indicator Data'!AA5="",IF(Config!$C$15="Score as High (5)",5,0),IF(Indicators!$F5="Higher = riskier",1+('Indicator Data'!AA5&gt;=Indicators!$G5)+('Indicator Data'!AA5&gt;=Indicators!$H5)+('Indicator Data'!AA5&gt;=Indicators!$I5)+('Indicator Data'!AA5&gt;=Indicators!$J5),1+('Indicator Data'!AA5&lt;=Indicators!$G5)+('Indicator Data'!AA5&lt;=Indicators!$H5)+('Indicator Data'!AA5&lt;=Indicators!$I5)+('Indicator Data'!AA5&lt;=Indicators!$J5)))</f>
        <v>1</v>
      </c>
      <c r="AB5" s="27" t="n">
        <f aca="false">IF('Indicator Data'!AB5="",IF(Config!$C$15="Score as High (5)",5,0),IF(Indicators!$F5="Higher = riskier",1+('Indicator Data'!AB5&gt;=Indicators!$G5)+('Indicator Data'!AB5&gt;=Indicators!$H5)+('Indicator Data'!AB5&gt;=Indicators!$I5)+('Indicator Data'!AB5&gt;=Indicators!$J5),1+('Indicator Data'!AB5&lt;=Indicators!$G5)+('Indicator Data'!AB5&lt;=Indicators!$H5)+('Indicator Data'!AB5&lt;=Indicators!$I5)+('Indicator Data'!AB5&lt;=Indicators!$J5)))</f>
        <v>4</v>
      </c>
      <c r="AC5" s="27" t="n">
        <f aca="false">IF('Indicator Data'!AC5="",IF(Config!$C$15="Score as High (5)",5,0),IF(Indicators!$F5="Higher = riskier",1+('Indicator Data'!AC5&gt;=Indicators!$G5)+('Indicator Data'!AC5&gt;=Indicators!$H5)+('Indicator Data'!AC5&gt;=Indicators!$I5)+('Indicator Data'!AC5&gt;=Indicators!$J5),1+('Indicator Data'!AC5&lt;=Indicators!$G5)+('Indicator Data'!AC5&lt;=Indicators!$H5)+('Indicator Data'!AC5&lt;=Indicators!$I5)+('Indicator Data'!AC5&lt;=Indicators!$J5)))</f>
        <v>1</v>
      </c>
      <c r="AD5" s="27" t="n">
        <f aca="false">IF('Indicator Data'!AD5="",IF(Config!$C$15="Score as High (5)",5,0),IF(Indicators!$F5="Higher = riskier",1+('Indicator Data'!AD5&gt;=Indicators!$G5)+('Indicator Data'!AD5&gt;=Indicators!$H5)+('Indicator Data'!AD5&gt;=Indicators!$I5)+('Indicator Data'!AD5&gt;=Indicators!$J5),1+('Indicator Data'!AD5&lt;=Indicators!$G5)+('Indicator Data'!AD5&lt;=Indicators!$H5)+('Indicator Data'!AD5&lt;=Indicators!$I5)+('Indicator Data'!AD5&lt;=Indicators!$J5)))</f>
        <v>2</v>
      </c>
      <c r="AE5" s="27" t="n">
        <f aca="false">IF('Indicator Data'!AE5="",IF(Config!$C$15="Score as High (5)",5,0),IF(Indicators!$F5="Higher = riskier",1+('Indicator Data'!AE5&gt;=Indicators!$G5)+('Indicator Data'!AE5&gt;=Indicators!$H5)+('Indicator Data'!AE5&gt;=Indicators!$I5)+('Indicator Data'!AE5&gt;=Indicators!$J5),1+('Indicator Data'!AE5&lt;=Indicators!$G5)+('Indicator Data'!AE5&lt;=Indicators!$H5)+('Indicator Data'!AE5&lt;=Indicators!$I5)+('Indicator Data'!AE5&lt;=Indicators!$J5)))</f>
        <v>2</v>
      </c>
      <c r="AF5" s="27" t="n">
        <f aca="false">IF('Indicator Data'!AF5="",IF(Config!$C$15="Score as High (5)",5,0),IF(Indicators!$F5="Higher = riskier",1+('Indicator Data'!AF5&gt;=Indicators!$G5)+('Indicator Data'!AF5&gt;=Indicators!$H5)+('Indicator Data'!AF5&gt;=Indicators!$I5)+('Indicator Data'!AF5&gt;=Indicators!$J5),1+('Indicator Data'!AF5&lt;=Indicators!$G5)+('Indicator Data'!AF5&lt;=Indicators!$H5)+('Indicator Data'!AF5&lt;=Indicators!$I5)+('Indicator Data'!AF5&lt;=Indicators!$J5)))</f>
        <v>2</v>
      </c>
      <c r="AG5" s="27" t="n">
        <f aca="false">IF('Indicator Data'!AG5="",IF(Config!$C$15="Score as High (5)",5,0),IF(Indicators!$F5="Higher = riskier",1+('Indicator Data'!AG5&gt;=Indicators!$G5)+('Indicator Data'!AG5&gt;=Indicators!$H5)+('Indicator Data'!AG5&gt;=Indicators!$I5)+('Indicator Data'!AG5&gt;=Indicators!$J5),1+('Indicator Data'!AG5&lt;=Indicators!$G5)+('Indicator Data'!AG5&lt;=Indicators!$H5)+('Indicator Data'!AG5&lt;=Indicators!$I5)+('Indicator Data'!AG5&lt;=Indicators!$J5)))</f>
        <v>2</v>
      </c>
    </row>
    <row r="6" customFormat="false" ht="15" hidden="false" customHeight="false" outlineLevel="0" collapsed="false">
      <c r="A6" s="26" t="str">
        <f aca="false">Indicators!A6</f>
        <v>C02</v>
      </c>
      <c r="B6" s="26" t="str">
        <f aca="false">Indicators!C6</f>
        <v>PEP relationships per 10,000 customers</v>
      </c>
      <c r="C6" s="26" t="str">
        <f aca="false">Indicators!D6</f>
        <v>count</v>
      </c>
      <c r="D6" s="27" t="n">
        <f aca="false">IF('Indicator Data'!D6="",IF(Config!$C$15="Score as High (5)",5,0),IF(Indicators!$F6="Higher = riskier",1+('Indicator Data'!D6&gt;=Indicators!$G6)+('Indicator Data'!D6&gt;=Indicators!$H6)+('Indicator Data'!D6&gt;=Indicators!$I6)+('Indicator Data'!D6&gt;=Indicators!$J6),1+('Indicator Data'!D6&lt;=Indicators!$G6)+('Indicator Data'!D6&lt;=Indicators!$H6)+('Indicator Data'!D6&lt;=Indicators!$I6)+('Indicator Data'!D6&lt;=Indicators!$J6)))</f>
        <v>4</v>
      </c>
      <c r="E6" s="27" t="n">
        <f aca="false">IF('Indicator Data'!E6="",IF(Config!$C$15="Score as High (5)",5,0),IF(Indicators!$F6="Higher = riskier",1+('Indicator Data'!E6&gt;=Indicators!$G6)+('Indicator Data'!E6&gt;=Indicators!$H6)+('Indicator Data'!E6&gt;=Indicators!$I6)+('Indicator Data'!E6&gt;=Indicators!$J6),1+('Indicator Data'!E6&lt;=Indicators!$G6)+('Indicator Data'!E6&lt;=Indicators!$H6)+('Indicator Data'!E6&lt;=Indicators!$I6)+('Indicator Data'!E6&lt;=Indicators!$J6)))</f>
        <v>4</v>
      </c>
      <c r="F6" s="27" t="n">
        <f aca="false">IF('Indicator Data'!F6="",IF(Config!$C$15="Score as High (5)",5,0),IF(Indicators!$F6="Higher = riskier",1+('Indicator Data'!F6&gt;=Indicators!$G6)+('Indicator Data'!F6&gt;=Indicators!$H6)+('Indicator Data'!F6&gt;=Indicators!$I6)+('Indicator Data'!F6&gt;=Indicators!$J6),1+('Indicator Data'!F6&lt;=Indicators!$G6)+('Indicator Data'!F6&lt;=Indicators!$H6)+('Indicator Data'!F6&lt;=Indicators!$I6)+('Indicator Data'!F6&lt;=Indicators!$J6)))</f>
        <v>2</v>
      </c>
      <c r="G6" s="27" t="n">
        <f aca="false">IF('Indicator Data'!G6="",IF(Config!$C$15="Score as High (5)",5,0),IF(Indicators!$F6="Higher = riskier",1+('Indicator Data'!G6&gt;=Indicators!$G6)+('Indicator Data'!G6&gt;=Indicators!$H6)+('Indicator Data'!G6&gt;=Indicators!$I6)+('Indicator Data'!G6&gt;=Indicators!$J6),1+('Indicator Data'!G6&lt;=Indicators!$G6)+('Indicator Data'!G6&lt;=Indicators!$H6)+('Indicator Data'!G6&lt;=Indicators!$I6)+('Indicator Data'!G6&lt;=Indicators!$J6)))</f>
        <v>4</v>
      </c>
      <c r="H6" s="27" t="n">
        <f aca="false">IF('Indicator Data'!H6="",IF(Config!$C$15="Score as High (5)",5,0),IF(Indicators!$F6="Higher = riskier",1+('Indicator Data'!H6&gt;=Indicators!$G6)+('Indicator Data'!H6&gt;=Indicators!$H6)+('Indicator Data'!H6&gt;=Indicators!$I6)+('Indicator Data'!H6&gt;=Indicators!$J6),1+('Indicator Data'!H6&lt;=Indicators!$G6)+('Indicator Data'!H6&lt;=Indicators!$H6)+('Indicator Data'!H6&lt;=Indicators!$I6)+('Indicator Data'!H6&lt;=Indicators!$J6)))</f>
        <v>1</v>
      </c>
      <c r="I6" s="27" t="n">
        <f aca="false">IF('Indicator Data'!I6="",IF(Config!$C$15="Score as High (5)",5,0),IF(Indicators!$F6="Higher = riskier",1+('Indicator Data'!I6&gt;=Indicators!$G6)+('Indicator Data'!I6&gt;=Indicators!$H6)+('Indicator Data'!I6&gt;=Indicators!$I6)+('Indicator Data'!I6&gt;=Indicators!$J6),1+('Indicator Data'!I6&lt;=Indicators!$G6)+('Indicator Data'!I6&lt;=Indicators!$H6)+('Indicator Data'!I6&lt;=Indicators!$I6)+('Indicator Data'!I6&lt;=Indicators!$J6)))</f>
        <v>4</v>
      </c>
      <c r="J6" s="27" t="n">
        <f aca="false">IF('Indicator Data'!J6="",IF(Config!$C$15="Score as High (5)",5,0),IF(Indicators!$F6="Higher = riskier",1+('Indicator Data'!J6&gt;=Indicators!$G6)+('Indicator Data'!J6&gt;=Indicators!$H6)+('Indicator Data'!J6&gt;=Indicators!$I6)+('Indicator Data'!J6&gt;=Indicators!$J6),1+('Indicator Data'!J6&lt;=Indicators!$G6)+('Indicator Data'!J6&lt;=Indicators!$H6)+('Indicator Data'!J6&lt;=Indicators!$I6)+('Indicator Data'!J6&lt;=Indicators!$J6)))</f>
        <v>5</v>
      </c>
      <c r="K6" s="27" t="n">
        <f aca="false">IF('Indicator Data'!K6="",IF(Config!$C$15="Score as High (5)",5,0),IF(Indicators!$F6="Higher = riskier",1+('Indicator Data'!K6&gt;=Indicators!$G6)+('Indicator Data'!K6&gt;=Indicators!$H6)+('Indicator Data'!K6&gt;=Indicators!$I6)+('Indicator Data'!K6&gt;=Indicators!$J6),1+('Indicator Data'!K6&lt;=Indicators!$G6)+('Indicator Data'!K6&lt;=Indicators!$H6)+('Indicator Data'!K6&lt;=Indicators!$I6)+('Indicator Data'!K6&lt;=Indicators!$J6)))</f>
        <v>4</v>
      </c>
      <c r="L6" s="27" t="n">
        <f aca="false">IF('Indicator Data'!L6="",IF(Config!$C$15="Score as High (5)",5,0),IF(Indicators!$F6="Higher = riskier",1+('Indicator Data'!L6&gt;=Indicators!$G6)+('Indicator Data'!L6&gt;=Indicators!$H6)+('Indicator Data'!L6&gt;=Indicators!$I6)+('Indicator Data'!L6&gt;=Indicators!$J6),1+('Indicator Data'!L6&lt;=Indicators!$G6)+('Indicator Data'!L6&lt;=Indicators!$H6)+('Indicator Data'!L6&lt;=Indicators!$I6)+('Indicator Data'!L6&lt;=Indicators!$J6)))</f>
        <v>4</v>
      </c>
      <c r="M6" s="27" t="n">
        <f aca="false">IF('Indicator Data'!M6="",IF(Config!$C$15="Score as High (5)",5,0),IF(Indicators!$F6="Higher = riskier",1+('Indicator Data'!M6&gt;=Indicators!$G6)+('Indicator Data'!M6&gt;=Indicators!$H6)+('Indicator Data'!M6&gt;=Indicators!$I6)+('Indicator Data'!M6&gt;=Indicators!$J6),1+('Indicator Data'!M6&lt;=Indicators!$G6)+('Indicator Data'!M6&lt;=Indicators!$H6)+('Indicator Data'!M6&lt;=Indicators!$I6)+('Indicator Data'!M6&lt;=Indicators!$J6)))</f>
        <v>2</v>
      </c>
      <c r="N6" s="27" t="n">
        <f aca="false">IF('Indicator Data'!N6="",IF(Config!$C$15="Score as High (5)",5,0),IF(Indicators!$F6="Higher = riskier",1+('Indicator Data'!N6&gt;=Indicators!$G6)+('Indicator Data'!N6&gt;=Indicators!$H6)+('Indicator Data'!N6&gt;=Indicators!$I6)+('Indicator Data'!N6&gt;=Indicators!$J6),1+('Indicator Data'!N6&lt;=Indicators!$G6)+('Indicator Data'!N6&lt;=Indicators!$H6)+('Indicator Data'!N6&lt;=Indicators!$I6)+('Indicator Data'!N6&lt;=Indicators!$J6)))</f>
        <v>3</v>
      </c>
      <c r="O6" s="27" t="n">
        <f aca="false">IF('Indicator Data'!O6="",IF(Config!$C$15="Score as High (5)",5,0),IF(Indicators!$F6="Higher = riskier",1+('Indicator Data'!O6&gt;=Indicators!$G6)+('Indicator Data'!O6&gt;=Indicators!$H6)+('Indicator Data'!O6&gt;=Indicators!$I6)+('Indicator Data'!O6&gt;=Indicators!$J6),1+('Indicator Data'!O6&lt;=Indicators!$G6)+('Indicator Data'!O6&lt;=Indicators!$H6)+('Indicator Data'!O6&lt;=Indicators!$I6)+('Indicator Data'!O6&lt;=Indicators!$J6)))</f>
        <v>1</v>
      </c>
      <c r="P6" s="27" t="n">
        <f aca="false">IF('Indicator Data'!P6="",IF(Config!$C$15="Score as High (5)",5,0),IF(Indicators!$F6="Higher = riskier",1+('Indicator Data'!P6&gt;=Indicators!$G6)+('Indicator Data'!P6&gt;=Indicators!$H6)+('Indicator Data'!P6&gt;=Indicators!$I6)+('Indicator Data'!P6&gt;=Indicators!$J6),1+('Indicator Data'!P6&lt;=Indicators!$G6)+('Indicator Data'!P6&lt;=Indicators!$H6)+('Indicator Data'!P6&lt;=Indicators!$I6)+('Indicator Data'!P6&lt;=Indicators!$J6)))</f>
        <v>2</v>
      </c>
      <c r="Q6" s="27" t="n">
        <f aca="false">IF('Indicator Data'!Q6="",IF(Config!$C$15="Score as High (5)",5,0),IF(Indicators!$F6="Higher = riskier",1+('Indicator Data'!Q6&gt;=Indicators!$G6)+('Indicator Data'!Q6&gt;=Indicators!$H6)+('Indicator Data'!Q6&gt;=Indicators!$I6)+('Indicator Data'!Q6&gt;=Indicators!$J6),1+('Indicator Data'!Q6&lt;=Indicators!$G6)+('Indicator Data'!Q6&lt;=Indicators!$H6)+('Indicator Data'!Q6&lt;=Indicators!$I6)+('Indicator Data'!Q6&lt;=Indicators!$J6)))</f>
        <v>3</v>
      </c>
      <c r="R6" s="27" t="n">
        <f aca="false">IF('Indicator Data'!R6="",IF(Config!$C$15="Score as High (5)",5,0),IF(Indicators!$F6="Higher = riskier",1+('Indicator Data'!R6&gt;=Indicators!$G6)+('Indicator Data'!R6&gt;=Indicators!$H6)+('Indicator Data'!R6&gt;=Indicators!$I6)+('Indicator Data'!R6&gt;=Indicators!$J6),1+('Indicator Data'!R6&lt;=Indicators!$G6)+('Indicator Data'!R6&lt;=Indicators!$H6)+('Indicator Data'!R6&lt;=Indicators!$I6)+('Indicator Data'!R6&lt;=Indicators!$J6)))</f>
        <v>4</v>
      </c>
      <c r="S6" s="27" t="n">
        <f aca="false">IF('Indicator Data'!S6="",IF(Config!$C$15="Score as High (5)",5,0),IF(Indicators!$F6="Higher = riskier",1+('Indicator Data'!S6&gt;=Indicators!$G6)+('Indicator Data'!S6&gt;=Indicators!$H6)+('Indicator Data'!S6&gt;=Indicators!$I6)+('Indicator Data'!S6&gt;=Indicators!$J6),1+('Indicator Data'!S6&lt;=Indicators!$G6)+('Indicator Data'!S6&lt;=Indicators!$H6)+('Indicator Data'!S6&lt;=Indicators!$I6)+('Indicator Data'!S6&lt;=Indicators!$J6)))</f>
        <v>5</v>
      </c>
      <c r="T6" s="27" t="n">
        <f aca="false">IF('Indicator Data'!T6="",IF(Config!$C$15="Score as High (5)",5,0),IF(Indicators!$F6="Higher = riskier",1+('Indicator Data'!T6&gt;=Indicators!$G6)+('Indicator Data'!T6&gt;=Indicators!$H6)+('Indicator Data'!T6&gt;=Indicators!$I6)+('Indicator Data'!T6&gt;=Indicators!$J6),1+('Indicator Data'!T6&lt;=Indicators!$G6)+('Indicator Data'!T6&lt;=Indicators!$H6)+('Indicator Data'!T6&lt;=Indicators!$I6)+('Indicator Data'!T6&lt;=Indicators!$J6)))</f>
        <v>1</v>
      </c>
      <c r="U6" s="27" t="n">
        <f aca="false">IF('Indicator Data'!U6="",IF(Config!$C$15="Score as High (5)",5,0),IF(Indicators!$F6="Higher = riskier",1+('Indicator Data'!U6&gt;=Indicators!$G6)+('Indicator Data'!U6&gt;=Indicators!$H6)+('Indicator Data'!U6&gt;=Indicators!$I6)+('Indicator Data'!U6&gt;=Indicators!$J6),1+('Indicator Data'!U6&lt;=Indicators!$G6)+('Indicator Data'!U6&lt;=Indicators!$H6)+('Indicator Data'!U6&lt;=Indicators!$I6)+('Indicator Data'!U6&lt;=Indicators!$J6)))</f>
        <v>3</v>
      </c>
      <c r="V6" s="27" t="n">
        <f aca="false">IF('Indicator Data'!V6="",IF(Config!$C$15="Score as High (5)",5,0),IF(Indicators!$F6="Higher = riskier",1+('Indicator Data'!V6&gt;=Indicators!$G6)+('Indicator Data'!V6&gt;=Indicators!$H6)+('Indicator Data'!V6&gt;=Indicators!$I6)+('Indicator Data'!V6&gt;=Indicators!$J6),1+('Indicator Data'!V6&lt;=Indicators!$G6)+('Indicator Data'!V6&lt;=Indicators!$H6)+('Indicator Data'!V6&lt;=Indicators!$I6)+('Indicator Data'!V6&lt;=Indicators!$J6)))</f>
        <v>3</v>
      </c>
      <c r="W6" s="27" t="n">
        <f aca="false">IF('Indicator Data'!W6="",IF(Config!$C$15="Score as High (5)",5,0),IF(Indicators!$F6="Higher = riskier",1+('Indicator Data'!W6&gt;=Indicators!$G6)+('Indicator Data'!W6&gt;=Indicators!$H6)+('Indicator Data'!W6&gt;=Indicators!$I6)+('Indicator Data'!W6&gt;=Indicators!$J6),1+('Indicator Data'!W6&lt;=Indicators!$G6)+('Indicator Data'!W6&lt;=Indicators!$H6)+('Indicator Data'!W6&lt;=Indicators!$I6)+('Indicator Data'!W6&lt;=Indicators!$J6)))</f>
        <v>3</v>
      </c>
      <c r="X6" s="27" t="n">
        <f aca="false">IF('Indicator Data'!X6="",IF(Config!$C$15="Score as High (5)",5,0),IF(Indicators!$F6="Higher = riskier",1+('Indicator Data'!X6&gt;=Indicators!$G6)+('Indicator Data'!X6&gt;=Indicators!$H6)+('Indicator Data'!X6&gt;=Indicators!$I6)+('Indicator Data'!X6&gt;=Indicators!$J6),1+('Indicator Data'!X6&lt;=Indicators!$G6)+('Indicator Data'!X6&lt;=Indicators!$H6)+('Indicator Data'!X6&lt;=Indicators!$I6)+('Indicator Data'!X6&lt;=Indicators!$J6)))</f>
        <v>3</v>
      </c>
      <c r="Y6" s="27" t="n">
        <f aca="false">IF('Indicator Data'!Y6="",IF(Config!$C$15="Score as High (5)",5,0),IF(Indicators!$F6="Higher = riskier",1+('Indicator Data'!Y6&gt;=Indicators!$G6)+('Indicator Data'!Y6&gt;=Indicators!$H6)+('Indicator Data'!Y6&gt;=Indicators!$I6)+('Indicator Data'!Y6&gt;=Indicators!$J6),1+('Indicator Data'!Y6&lt;=Indicators!$G6)+('Indicator Data'!Y6&lt;=Indicators!$H6)+('Indicator Data'!Y6&lt;=Indicators!$I6)+('Indicator Data'!Y6&lt;=Indicators!$J6)))</f>
        <v>1</v>
      </c>
      <c r="Z6" s="27" t="n">
        <f aca="false">IF('Indicator Data'!Z6="",IF(Config!$C$15="Score as High (5)",5,0),IF(Indicators!$F6="Higher = riskier",1+('Indicator Data'!Z6&gt;=Indicators!$G6)+('Indicator Data'!Z6&gt;=Indicators!$H6)+('Indicator Data'!Z6&gt;=Indicators!$I6)+('Indicator Data'!Z6&gt;=Indicators!$J6),1+('Indicator Data'!Z6&lt;=Indicators!$G6)+('Indicator Data'!Z6&lt;=Indicators!$H6)+('Indicator Data'!Z6&lt;=Indicators!$I6)+('Indicator Data'!Z6&lt;=Indicators!$J6)))</f>
        <v>1</v>
      </c>
      <c r="AA6" s="27" t="n">
        <f aca="false">IF('Indicator Data'!AA6="",IF(Config!$C$15="Score as High (5)",5,0),IF(Indicators!$F6="Higher = riskier",1+('Indicator Data'!AA6&gt;=Indicators!$G6)+('Indicator Data'!AA6&gt;=Indicators!$H6)+('Indicator Data'!AA6&gt;=Indicators!$I6)+('Indicator Data'!AA6&gt;=Indicators!$J6),1+('Indicator Data'!AA6&lt;=Indicators!$G6)+('Indicator Data'!AA6&lt;=Indicators!$H6)+('Indicator Data'!AA6&lt;=Indicators!$I6)+('Indicator Data'!AA6&lt;=Indicators!$J6)))</f>
        <v>2</v>
      </c>
      <c r="AB6" s="27" t="n">
        <f aca="false">IF('Indicator Data'!AB6="",IF(Config!$C$15="Score as High (5)",5,0),IF(Indicators!$F6="Higher = riskier",1+('Indicator Data'!AB6&gt;=Indicators!$G6)+('Indicator Data'!AB6&gt;=Indicators!$H6)+('Indicator Data'!AB6&gt;=Indicators!$I6)+('Indicator Data'!AB6&gt;=Indicators!$J6),1+('Indicator Data'!AB6&lt;=Indicators!$G6)+('Indicator Data'!AB6&lt;=Indicators!$H6)+('Indicator Data'!AB6&lt;=Indicators!$I6)+('Indicator Data'!AB6&lt;=Indicators!$J6)))</f>
        <v>2</v>
      </c>
      <c r="AC6" s="27" t="n">
        <f aca="false">IF('Indicator Data'!AC6="",IF(Config!$C$15="Score as High (5)",5,0),IF(Indicators!$F6="Higher = riskier",1+('Indicator Data'!AC6&gt;=Indicators!$G6)+('Indicator Data'!AC6&gt;=Indicators!$H6)+('Indicator Data'!AC6&gt;=Indicators!$I6)+('Indicator Data'!AC6&gt;=Indicators!$J6),1+('Indicator Data'!AC6&lt;=Indicators!$G6)+('Indicator Data'!AC6&lt;=Indicators!$H6)+('Indicator Data'!AC6&lt;=Indicators!$I6)+('Indicator Data'!AC6&lt;=Indicators!$J6)))</f>
        <v>2</v>
      </c>
      <c r="AD6" s="27" t="n">
        <f aca="false">IF('Indicator Data'!AD6="",IF(Config!$C$15="Score as High (5)",5,0),IF(Indicators!$F6="Higher = riskier",1+('Indicator Data'!AD6&gt;=Indicators!$G6)+('Indicator Data'!AD6&gt;=Indicators!$H6)+('Indicator Data'!AD6&gt;=Indicators!$I6)+('Indicator Data'!AD6&gt;=Indicators!$J6),1+('Indicator Data'!AD6&lt;=Indicators!$G6)+('Indicator Data'!AD6&lt;=Indicators!$H6)+('Indicator Data'!AD6&lt;=Indicators!$I6)+('Indicator Data'!AD6&lt;=Indicators!$J6)))</f>
        <v>1</v>
      </c>
      <c r="AE6" s="27" t="n">
        <f aca="false">IF('Indicator Data'!AE6="",IF(Config!$C$15="Score as High (5)",5,0),IF(Indicators!$F6="Higher = riskier",1+('Indicator Data'!AE6&gt;=Indicators!$G6)+('Indicator Data'!AE6&gt;=Indicators!$H6)+('Indicator Data'!AE6&gt;=Indicators!$I6)+('Indicator Data'!AE6&gt;=Indicators!$J6),1+('Indicator Data'!AE6&lt;=Indicators!$G6)+('Indicator Data'!AE6&lt;=Indicators!$H6)+('Indicator Data'!AE6&lt;=Indicators!$I6)+('Indicator Data'!AE6&lt;=Indicators!$J6)))</f>
        <v>1</v>
      </c>
      <c r="AF6" s="27" t="n">
        <f aca="false">IF('Indicator Data'!AF6="",IF(Config!$C$15="Score as High (5)",5,0),IF(Indicators!$F6="Higher = riskier",1+('Indicator Data'!AF6&gt;=Indicators!$G6)+('Indicator Data'!AF6&gt;=Indicators!$H6)+('Indicator Data'!AF6&gt;=Indicators!$I6)+('Indicator Data'!AF6&gt;=Indicators!$J6),1+('Indicator Data'!AF6&lt;=Indicators!$G6)+('Indicator Data'!AF6&lt;=Indicators!$H6)+('Indicator Data'!AF6&lt;=Indicators!$I6)+('Indicator Data'!AF6&lt;=Indicators!$J6)))</f>
        <v>1</v>
      </c>
      <c r="AG6" s="27" t="n">
        <f aca="false">IF('Indicator Data'!AG6="",IF(Config!$C$15="Score as High (5)",5,0),IF(Indicators!$F6="Higher = riskier",1+('Indicator Data'!AG6&gt;=Indicators!$G6)+('Indicator Data'!AG6&gt;=Indicators!$H6)+('Indicator Data'!AG6&gt;=Indicators!$I6)+('Indicator Data'!AG6&gt;=Indicators!$J6),1+('Indicator Data'!AG6&lt;=Indicators!$G6)+('Indicator Data'!AG6&lt;=Indicators!$H6)+('Indicator Data'!AG6&lt;=Indicators!$I6)+('Indicator Data'!AG6&lt;=Indicators!$J6)))</f>
        <v>1</v>
      </c>
    </row>
    <row r="7" customFormat="false" ht="15" hidden="false" customHeight="false" outlineLevel="0" collapsed="false">
      <c r="A7" s="26" t="str">
        <f aca="false">Indicators!A7</f>
        <v>C03</v>
      </c>
      <c r="B7" s="26" t="str">
        <f aca="false">Indicators!C7</f>
        <v>% of customers that are NPOs / charities</v>
      </c>
      <c r="C7" s="26" t="str">
        <f aca="false">Indicators!D7</f>
        <v>%</v>
      </c>
      <c r="D7" s="27" t="n">
        <f aca="false">IF('Indicator Data'!D7="",IF(Config!$C$15="Score as High (5)",5,0),IF(Indicators!$F7="Higher = riskier",1+('Indicator Data'!D7&gt;=Indicators!$G7)+('Indicator Data'!D7&gt;=Indicators!$H7)+('Indicator Data'!D7&gt;=Indicators!$I7)+('Indicator Data'!D7&gt;=Indicators!$J7),1+('Indicator Data'!D7&lt;=Indicators!$G7)+('Indicator Data'!D7&lt;=Indicators!$H7)+('Indicator Data'!D7&lt;=Indicators!$I7)+('Indicator Data'!D7&lt;=Indicators!$J7)))</f>
        <v>3</v>
      </c>
      <c r="E7" s="27" t="n">
        <f aca="false">IF('Indicator Data'!E7="",IF(Config!$C$15="Score as High (5)",5,0),IF(Indicators!$F7="Higher = riskier",1+('Indicator Data'!E7&gt;=Indicators!$G7)+('Indicator Data'!E7&gt;=Indicators!$H7)+('Indicator Data'!E7&gt;=Indicators!$I7)+('Indicator Data'!E7&gt;=Indicators!$J7),1+('Indicator Data'!E7&lt;=Indicators!$G7)+('Indicator Data'!E7&lt;=Indicators!$H7)+('Indicator Data'!E7&lt;=Indicators!$I7)+('Indicator Data'!E7&lt;=Indicators!$J7)))</f>
        <v>4</v>
      </c>
      <c r="F7" s="27" t="n">
        <f aca="false">IF('Indicator Data'!F7="",IF(Config!$C$15="Score as High (5)",5,0),IF(Indicators!$F7="Higher = riskier",1+('Indicator Data'!F7&gt;=Indicators!$G7)+('Indicator Data'!F7&gt;=Indicators!$H7)+('Indicator Data'!F7&gt;=Indicators!$I7)+('Indicator Data'!F7&gt;=Indicators!$J7),1+('Indicator Data'!F7&lt;=Indicators!$G7)+('Indicator Data'!F7&lt;=Indicators!$H7)+('Indicator Data'!F7&lt;=Indicators!$I7)+('Indicator Data'!F7&lt;=Indicators!$J7)))</f>
        <v>1</v>
      </c>
      <c r="G7" s="27" t="n">
        <f aca="false">IF('Indicator Data'!G7="",IF(Config!$C$15="Score as High (5)",5,0),IF(Indicators!$F7="Higher = riskier",1+('Indicator Data'!G7&gt;=Indicators!$G7)+('Indicator Data'!G7&gt;=Indicators!$H7)+('Indicator Data'!G7&gt;=Indicators!$I7)+('Indicator Data'!G7&gt;=Indicators!$J7),1+('Indicator Data'!G7&lt;=Indicators!$G7)+('Indicator Data'!G7&lt;=Indicators!$H7)+('Indicator Data'!G7&lt;=Indicators!$I7)+('Indicator Data'!G7&lt;=Indicators!$J7)))</f>
        <v>1</v>
      </c>
      <c r="H7" s="27" t="n">
        <f aca="false">IF('Indicator Data'!H7="",IF(Config!$C$15="Score as High (5)",5,0),IF(Indicators!$F7="Higher = riskier",1+('Indicator Data'!H7&gt;=Indicators!$G7)+('Indicator Data'!H7&gt;=Indicators!$H7)+('Indicator Data'!H7&gt;=Indicators!$I7)+('Indicator Data'!H7&gt;=Indicators!$J7),1+('Indicator Data'!H7&lt;=Indicators!$G7)+('Indicator Data'!H7&lt;=Indicators!$H7)+('Indicator Data'!H7&lt;=Indicators!$I7)+('Indicator Data'!H7&lt;=Indicators!$J7)))</f>
        <v>1</v>
      </c>
      <c r="I7" s="27" t="n">
        <f aca="false">IF('Indicator Data'!I7="",IF(Config!$C$15="Score as High (5)",5,0),IF(Indicators!$F7="Higher = riskier",1+('Indicator Data'!I7&gt;=Indicators!$G7)+('Indicator Data'!I7&gt;=Indicators!$H7)+('Indicator Data'!I7&gt;=Indicators!$I7)+('Indicator Data'!I7&gt;=Indicators!$J7),1+('Indicator Data'!I7&lt;=Indicators!$G7)+('Indicator Data'!I7&lt;=Indicators!$H7)+('Indicator Data'!I7&lt;=Indicators!$I7)+('Indicator Data'!I7&lt;=Indicators!$J7)))</f>
        <v>2</v>
      </c>
      <c r="J7" s="27" t="n">
        <f aca="false">IF('Indicator Data'!J7="",IF(Config!$C$15="Score as High (5)",5,0),IF(Indicators!$F7="Higher = riskier",1+('Indicator Data'!J7&gt;=Indicators!$G7)+('Indicator Data'!J7&gt;=Indicators!$H7)+('Indicator Data'!J7&gt;=Indicators!$I7)+('Indicator Data'!J7&gt;=Indicators!$J7),1+('Indicator Data'!J7&lt;=Indicators!$G7)+('Indicator Data'!J7&lt;=Indicators!$H7)+('Indicator Data'!J7&lt;=Indicators!$I7)+('Indicator Data'!J7&lt;=Indicators!$J7)))</f>
        <v>1</v>
      </c>
      <c r="K7" s="27" t="n">
        <f aca="false">IF('Indicator Data'!K7="",IF(Config!$C$15="Score as High (5)",5,0),IF(Indicators!$F7="Higher = riskier",1+('Indicator Data'!K7&gt;=Indicators!$G7)+('Indicator Data'!K7&gt;=Indicators!$H7)+('Indicator Data'!K7&gt;=Indicators!$I7)+('Indicator Data'!K7&gt;=Indicators!$J7),1+('Indicator Data'!K7&lt;=Indicators!$G7)+('Indicator Data'!K7&lt;=Indicators!$H7)+('Indicator Data'!K7&lt;=Indicators!$I7)+('Indicator Data'!K7&lt;=Indicators!$J7)))</f>
        <v>3</v>
      </c>
      <c r="L7" s="27" t="n">
        <f aca="false">IF('Indicator Data'!L7="",IF(Config!$C$15="Score as High (5)",5,0),IF(Indicators!$F7="Higher = riskier",1+('Indicator Data'!L7&gt;=Indicators!$G7)+('Indicator Data'!L7&gt;=Indicators!$H7)+('Indicator Data'!L7&gt;=Indicators!$I7)+('Indicator Data'!L7&gt;=Indicators!$J7),1+('Indicator Data'!L7&lt;=Indicators!$G7)+('Indicator Data'!L7&lt;=Indicators!$H7)+('Indicator Data'!L7&lt;=Indicators!$I7)+('Indicator Data'!L7&lt;=Indicators!$J7)))</f>
        <v>5</v>
      </c>
      <c r="M7" s="27" t="n">
        <f aca="false">IF('Indicator Data'!M7="",IF(Config!$C$15="Score as High (5)",5,0),IF(Indicators!$F7="Higher = riskier",1+('Indicator Data'!M7&gt;=Indicators!$G7)+('Indicator Data'!M7&gt;=Indicators!$H7)+('Indicator Data'!M7&gt;=Indicators!$I7)+('Indicator Data'!M7&gt;=Indicators!$J7),1+('Indicator Data'!M7&lt;=Indicators!$G7)+('Indicator Data'!M7&lt;=Indicators!$H7)+('Indicator Data'!M7&lt;=Indicators!$I7)+('Indicator Data'!M7&lt;=Indicators!$J7)))</f>
        <v>4</v>
      </c>
      <c r="N7" s="27" t="n">
        <f aca="false">IF('Indicator Data'!N7="",IF(Config!$C$15="Score as High (5)",5,0),IF(Indicators!$F7="Higher = riskier",1+('Indicator Data'!N7&gt;=Indicators!$G7)+('Indicator Data'!N7&gt;=Indicators!$H7)+('Indicator Data'!N7&gt;=Indicators!$I7)+('Indicator Data'!N7&gt;=Indicators!$J7),1+('Indicator Data'!N7&lt;=Indicators!$G7)+('Indicator Data'!N7&lt;=Indicators!$H7)+('Indicator Data'!N7&lt;=Indicators!$I7)+('Indicator Data'!N7&lt;=Indicators!$J7)))</f>
        <v>4</v>
      </c>
      <c r="O7" s="27" t="n">
        <f aca="false">IF('Indicator Data'!O7="",IF(Config!$C$15="Score as High (5)",5,0),IF(Indicators!$F7="Higher = riskier",1+('Indicator Data'!O7&gt;=Indicators!$G7)+('Indicator Data'!O7&gt;=Indicators!$H7)+('Indicator Data'!O7&gt;=Indicators!$I7)+('Indicator Data'!O7&gt;=Indicators!$J7),1+('Indicator Data'!O7&lt;=Indicators!$G7)+('Indicator Data'!O7&lt;=Indicators!$H7)+('Indicator Data'!O7&lt;=Indicators!$I7)+('Indicator Data'!O7&lt;=Indicators!$J7)))</f>
        <v>2</v>
      </c>
      <c r="P7" s="27" t="n">
        <f aca="false">IF('Indicator Data'!P7="",IF(Config!$C$15="Score as High (5)",5,0),IF(Indicators!$F7="Higher = riskier",1+('Indicator Data'!P7&gt;=Indicators!$G7)+('Indicator Data'!P7&gt;=Indicators!$H7)+('Indicator Data'!P7&gt;=Indicators!$I7)+('Indicator Data'!P7&gt;=Indicators!$J7),1+('Indicator Data'!P7&lt;=Indicators!$G7)+('Indicator Data'!P7&lt;=Indicators!$H7)+('Indicator Data'!P7&lt;=Indicators!$I7)+('Indicator Data'!P7&lt;=Indicators!$J7)))</f>
        <v>4</v>
      </c>
      <c r="Q7" s="27" t="n">
        <f aca="false">IF('Indicator Data'!Q7="",IF(Config!$C$15="Score as High (5)",5,0),IF(Indicators!$F7="Higher = riskier",1+('Indicator Data'!Q7&gt;=Indicators!$G7)+('Indicator Data'!Q7&gt;=Indicators!$H7)+('Indicator Data'!Q7&gt;=Indicators!$I7)+('Indicator Data'!Q7&gt;=Indicators!$J7),1+('Indicator Data'!Q7&lt;=Indicators!$G7)+('Indicator Data'!Q7&lt;=Indicators!$H7)+('Indicator Data'!Q7&lt;=Indicators!$I7)+('Indicator Data'!Q7&lt;=Indicators!$J7)))</f>
        <v>3</v>
      </c>
      <c r="R7" s="27" t="n">
        <f aca="false">IF('Indicator Data'!R7="",IF(Config!$C$15="Score as High (5)",5,0),IF(Indicators!$F7="Higher = riskier",1+('Indicator Data'!R7&gt;=Indicators!$G7)+('Indicator Data'!R7&gt;=Indicators!$H7)+('Indicator Data'!R7&gt;=Indicators!$I7)+('Indicator Data'!R7&gt;=Indicators!$J7),1+('Indicator Data'!R7&lt;=Indicators!$G7)+('Indicator Data'!R7&lt;=Indicators!$H7)+('Indicator Data'!R7&lt;=Indicators!$I7)+('Indicator Data'!R7&lt;=Indicators!$J7)))</f>
        <v>5</v>
      </c>
      <c r="S7" s="27" t="n">
        <f aca="false">IF('Indicator Data'!S7="",IF(Config!$C$15="Score as High (5)",5,0),IF(Indicators!$F7="Higher = riskier",1+('Indicator Data'!S7&gt;=Indicators!$G7)+('Indicator Data'!S7&gt;=Indicators!$H7)+('Indicator Data'!S7&gt;=Indicators!$I7)+('Indicator Data'!S7&gt;=Indicators!$J7),1+('Indicator Data'!S7&lt;=Indicators!$G7)+('Indicator Data'!S7&lt;=Indicators!$H7)+('Indicator Data'!S7&lt;=Indicators!$I7)+('Indicator Data'!S7&lt;=Indicators!$J7)))</f>
        <v>3</v>
      </c>
      <c r="T7" s="27" t="n">
        <f aca="false">IF('Indicator Data'!T7="",IF(Config!$C$15="Score as High (5)",5,0),IF(Indicators!$F7="Higher = riskier",1+('Indicator Data'!T7&gt;=Indicators!$G7)+('Indicator Data'!T7&gt;=Indicators!$H7)+('Indicator Data'!T7&gt;=Indicators!$I7)+('Indicator Data'!T7&gt;=Indicators!$J7),1+('Indicator Data'!T7&lt;=Indicators!$G7)+('Indicator Data'!T7&lt;=Indicators!$H7)+('Indicator Data'!T7&lt;=Indicators!$I7)+('Indicator Data'!T7&lt;=Indicators!$J7)))</f>
        <v>3</v>
      </c>
      <c r="U7" s="27" t="n">
        <f aca="false">IF('Indicator Data'!U7="",IF(Config!$C$15="Score as High (5)",5,0),IF(Indicators!$F7="Higher = riskier",1+('Indicator Data'!U7&gt;=Indicators!$G7)+('Indicator Data'!U7&gt;=Indicators!$H7)+('Indicator Data'!U7&gt;=Indicators!$I7)+('Indicator Data'!U7&gt;=Indicators!$J7),1+('Indicator Data'!U7&lt;=Indicators!$G7)+('Indicator Data'!U7&lt;=Indicators!$H7)+('Indicator Data'!U7&lt;=Indicators!$I7)+('Indicator Data'!U7&lt;=Indicators!$J7)))</f>
        <v>4</v>
      </c>
      <c r="V7" s="27" t="n">
        <f aca="false">IF('Indicator Data'!V7="",IF(Config!$C$15="Score as High (5)",5,0),IF(Indicators!$F7="Higher = riskier",1+('Indicator Data'!V7&gt;=Indicators!$G7)+('Indicator Data'!V7&gt;=Indicators!$H7)+('Indicator Data'!V7&gt;=Indicators!$I7)+('Indicator Data'!V7&gt;=Indicators!$J7),1+('Indicator Data'!V7&lt;=Indicators!$G7)+('Indicator Data'!V7&lt;=Indicators!$H7)+('Indicator Data'!V7&lt;=Indicators!$I7)+('Indicator Data'!V7&lt;=Indicators!$J7)))</f>
        <v>4</v>
      </c>
      <c r="W7" s="27" t="n">
        <f aca="false">IF('Indicator Data'!W7="",IF(Config!$C$15="Score as High (5)",5,0),IF(Indicators!$F7="Higher = riskier",1+('Indicator Data'!W7&gt;=Indicators!$G7)+('Indicator Data'!W7&gt;=Indicators!$H7)+('Indicator Data'!W7&gt;=Indicators!$I7)+('Indicator Data'!W7&gt;=Indicators!$J7),1+('Indicator Data'!W7&lt;=Indicators!$G7)+('Indicator Data'!W7&lt;=Indicators!$H7)+('Indicator Data'!W7&lt;=Indicators!$I7)+('Indicator Data'!W7&lt;=Indicators!$J7)))</f>
        <v>3</v>
      </c>
      <c r="X7" s="27" t="n">
        <f aca="false">IF('Indicator Data'!X7="",IF(Config!$C$15="Score as High (5)",5,0),IF(Indicators!$F7="Higher = riskier",1+('Indicator Data'!X7&gt;=Indicators!$G7)+('Indicator Data'!X7&gt;=Indicators!$H7)+('Indicator Data'!X7&gt;=Indicators!$I7)+('Indicator Data'!X7&gt;=Indicators!$J7),1+('Indicator Data'!X7&lt;=Indicators!$G7)+('Indicator Data'!X7&lt;=Indicators!$H7)+('Indicator Data'!X7&lt;=Indicators!$I7)+('Indicator Data'!X7&lt;=Indicators!$J7)))</f>
        <v>5</v>
      </c>
      <c r="Y7" s="27" t="n">
        <f aca="false">IF('Indicator Data'!Y7="",IF(Config!$C$15="Score as High (5)",5,0),IF(Indicators!$F7="Higher = riskier",1+('Indicator Data'!Y7&gt;=Indicators!$G7)+('Indicator Data'!Y7&gt;=Indicators!$H7)+('Indicator Data'!Y7&gt;=Indicators!$I7)+('Indicator Data'!Y7&gt;=Indicators!$J7),1+('Indicator Data'!Y7&lt;=Indicators!$G7)+('Indicator Data'!Y7&lt;=Indicators!$H7)+('Indicator Data'!Y7&lt;=Indicators!$I7)+('Indicator Data'!Y7&lt;=Indicators!$J7)))</f>
        <v>4</v>
      </c>
      <c r="Z7" s="27" t="n">
        <f aca="false">IF('Indicator Data'!Z7="",IF(Config!$C$15="Score as High (5)",5,0),IF(Indicators!$F7="Higher = riskier",1+('Indicator Data'!Z7&gt;=Indicators!$G7)+('Indicator Data'!Z7&gt;=Indicators!$H7)+('Indicator Data'!Z7&gt;=Indicators!$I7)+('Indicator Data'!Z7&gt;=Indicators!$J7),1+('Indicator Data'!Z7&lt;=Indicators!$G7)+('Indicator Data'!Z7&lt;=Indicators!$H7)+('Indicator Data'!Z7&lt;=Indicators!$I7)+('Indicator Data'!Z7&lt;=Indicators!$J7)))</f>
        <v>1</v>
      </c>
      <c r="AA7" s="27" t="n">
        <f aca="false">IF('Indicator Data'!AA7="",IF(Config!$C$15="Score as High (5)",5,0),IF(Indicators!$F7="Higher = riskier",1+('Indicator Data'!AA7&gt;=Indicators!$G7)+('Indicator Data'!AA7&gt;=Indicators!$H7)+('Indicator Data'!AA7&gt;=Indicators!$I7)+('Indicator Data'!AA7&gt;=Indicators!$J7),1+('Indicator Data'!AA7&lt;=Indicators!$G7)+('Indicator Data'!AA7&lt;=Indicators!$H7)+('Indicator Data'!AA7&lt;=Indicators!$I7)+('Indicator Data'!AA7&lt;=Indicators!$J7)))</f>
        <v>1</v>
      </c>
      <c r="AB7" s="27" t="n">
        <f aca="false">IF('Indicator Data'!AB7="",IF(Config!$C$15="Score as High (5)",5,0),IF(Indicators!$F7="Higher = riskier",1+('Indicator Data'!AB7&gt;=Indicators!$G7)+('Indicator Data'!AB7&gt;=Indicators!$H7)+('Indicator Data'!AB7&gt;=Indicators!$I7)+('Indicator Data'!AB7&gt;=Indicators!$J7),1+('Indicator Data'!AB7&lt;=Indicators!$G7)+('Indicator Data'!AB7&lt;=Indicators!$H7)+('Indicator Data'!AB7&lt;=Indicators!$I7)+('Indicator Data'!AB7&lt;=Indicators!$J7)))</f>
        <v>2</v>
      </c>
      <c r="AC7" s="27" t="n">
        <f aca="false">IF('Indicator Data'!AC7="",IF(Config!$C$15="Score as High (5)",5,0),IF(Indicators!$F7="Higher = riskier",1+('Indicator Data'!AC7&gt;=Indicators!$G7)+('Indicator Data'!AC7&gt;=Indicators!$H7)+('Indicator Data'!AC7&gt;=Indicators!$I7)+('Indicator Data'!AC7&gt;=Indicators!$J7),1+('Indicator Data'!AC7&lt;=Indicators!$G7)+('Indicator Data'!AC7&lt;=Indicators!$H7)+('Indicator Data'!AC7&lt;=Indicators!$I7)+('Indicator Data'!AC7&lt;=Indicators!$J7)))</f>
        <v>1</v>
      </c>
      <c r="AD7" s="27" t="n">
        <f aca="false">IF('Indicator Data'!AD7="",IF(Config!$C$15="Score as High (5)",5,0),IF(Indicators!$F7="Higher = riskier",1+('Indicator Data'!AD7&gt;=Indicators!$G7)+('Indicator Data'!AD7&gt;=Indicators!$H7)+('Indicator Data'!AD7&gt;=Indicators!$I7)+('Indicator Data'!AD7&gt;=Indicators!$J7),1+('Indicator Data'!AD7&lt;=Indicators!$G7)+('Indicator Data'!AD7&lt;=Indicators!$H7)+('Indicator Data'!AD7&lt;=Indicators!$I7)+('Indicator Data'!AD7&lt;=Indicators!$J7)))</f>
        <v>2</v>
      </c>
      <c r="AE7" s="27" t="n">
        <f aca="false">IF('Indicator Data'!AE7="",IF(Config!$C$15="Score as High (5)",5,0),IF(Indicators!$F7="Higher = riskier",1+('Indicator Data'!AE7&gt;=Indicators!$G7)+('Indicator Data'!AE7&gt;=Indicators!$H7)+('Indicator Data'!AE7&gt;=Indicators!$I7)+('Indicator Data'!AE7&gt;=Indicators!$J7),1+('Indicator Data'!AE7&lt;=Indicators!$G7)+('Indicator Data'!AE7&lt;=Indicators!$H7)+('Indicator Data'!AE7&lt;=Indicators!$I7)+('Indicator Data'!AE7&lt;=Indicators!$J7)))</f>
        <v>2</v>
      </c>
      <c r="AF7" s="27" t="n">
        <f aca="false">IF('Indicator Data'!AF7="",IF(Config!$C$15="Score as High (5)",5,0),IF(Indicators!$F7="Higher = riskier",1+('Indicator Data'!AF7&gt;=Indicators!$G7)+('Indicator Data'!AF7&gt;=Indicators!$H7)+('Indicator Data'!AF7&gt;=Indicators!$I7)+('Indicator Data'!AF7&gt;=Indicators!$J7),1+('Indicator Data'!AF7&lt;=Indicators!$G7)+('Indicator Data'!AF7&lt;=Indicators!$H7)+('Indicator Data'!AF7&lt;=Indicators!$I7)+('Indicator Data'!AF7&lt;=Indicators!$J7)))</f>
        <v>1</v>
      </c>
      <c r="AG7" s="27" t="n">
        <f aca="false">IF('Indicator Data'!AG7="",IF(Config!$C$15="Score as High (5)",5,0),IF(Indicators!$F7="Higher = riskier",1+('Indicator Data'!AG7&gt;=Indicators!$G7)+('Indicator Data'!AG7&gt;=Indicators!$H7)+('Indicator Data'!AG7&gt;=Indicators!$I7)+('Indicator Data'!AG7&gt;=Indicators!$J7),1+('Indicator Data'!AG7&lt;=Indicators!$G7)+('Indicator Data'!AG7&lt;=Indicators!$H7)+('Indicator Data'!AG7&lt;=Indicators!$I7)+('Indicator Data'!AG7&lt;=Indicators!$J7)))</f>
        <v>1</v>
      </c>
    </row>
    <row r="8" customFormat="false" ht="15" hidden="false" customHeight="false" outlineLevel="0" collapsed="false">
      <c r="A8" s="26" t="str">
        <f aca="false">Indicators!A8</f>
        <v>C04</v>
      </c>
      <c r="B8" s="26" t="str">
        <f aca="false">Indicators!C8</f>
        <v>% non-resident customers</v>
      </c>
      <c r="C8" s="26" t="str">
        <f aca="false">Indicators!D8</f>
        <v>%</v>
      </c>
      <c r="D8" s="27" t="n">
        <f aca="false">IF('Indicator Data'!D8="",IF(Config!$C$15="Score as High (5)",5,0),IF(Indicators!$F8="Higher = riskier",1+('Indicator Data'!D8&gt;=Indicators!$G8)+('Indicator Data'!D8&gt;=Indicators!$H8)+('Indicator Data'!D8&gt;=Indicators!$I8)+('Indicator Data'!D8&gt;=Indicators!$J8),1+('Indicator Data'!D8&lt;=Indicators!$G8)+('Indicator Data'!D8&lt;=Indicators!$H8)+('Indicator Data'!D8&lt;=Indicators!$I8)+('Indicator Data'!D8&lt;=Indicators!$J8)))</f>
        <v>3</v>
      </c>
      <c r="E8" s="27" t="n">
        <f aca="false">IF('Indicator Data'!E8="",IF(Config!$C$15="Score as High (5)",5,0),IF(Indicators!$F8="Higher = riskier",1+('Indicator Data'!E8&gt;=Indicators!$G8)+('Indicator Data'!E8&gt;=Indicators!$H8)+('Indicator Data'!E8&gt;=Indicators!$I8)+('Indicator Data'!E8&gt;=Indicators!$J8),1+('Indicator Data'!E8&lt;=Indicators!$G8)+('Indicator Data'!E8&lt;=Indicators!$H8)+('Indicator Data'!E8&lt;=Indicators!$I8)+('Indicator Data'!E8&lt;=Indicators!$J8)))</f>
        <v>3</v>
      </c>
      <c r="F8" s="27" t="n">
        <f aca="false">IF('Indicator Data'!F8="",IF(Config!$C$15="Score as High (5)",5,0),IF(Indicators!$F8="Higher = riskier",1+('Indicator Data'!F8&gt;=Indicators!$G8)+('Indicator Data'!F8&gt;=Indicators!$H8)+('Indicator Data'!F8&gt;=Indicators!$I8)+('Indicator Data'!F8&gt;=Indicators!$J8),1+('Indicator Data'!F8&lt;=Indicators!$G8)+('Indicator Data'!F8&lt;=Indicators!$H8)+('Indicator Data'!F8&lt;=Indicators!$I8)+('Indicator Data'!F8&lt;=Indicators!$J8)))</f>
        <v>3</v>
      </c>
      <c r="G8" s="27" t="n">
        <f aca="false">IF('Indicator Data'!G8="",IF(Config!$C$15="Score as High (5)",5,0),IF(Indicators!$F8="Higher = riskier",1+('Indicator Data'!G8&gt;=Indicators!$G8)+('Indicator Data'!G8&gt;=Indicators!$H8)+('Indicator Data'!G8&gt;=Indicators!$I8)+('Indicator Data'!G8&gt;=Indicators!$J8),1+('Indicator Data'!G8&lt;=Indicators!$G8)+('Indicator Data'!G8&lt;=Indicators!$H8)+('Indicator Data'!G8&lt;=Indicators!$I8)+('Indicator Data'!G8&lt;=Indicators!$J8)))</f>
        <v>3</v>
      </c>
      <c r="H8" s="27" t="n">
        <f aca="false">IF('Indicator Data'!H8="",IF(Config!$C$15="Score as High (5)",5,0),IF(Indicators!$F8="Higher = riskier",1+('Indicator Data'!H8&gt;=Indicators!$G8)+('Indicator Data'!H8&gt;=Indicators!$H8)+('Indicator Data'!H8&gt;=Indicators!$I8)+('Indicator Data'!H8&gt;=Indicators!$J8),1+('Indicator Data'!H8&lt;=Indicators!$G8)+('Indicator Data'!H8&lt;=Indicators!$H8)+('Indicator Data'!H8&lt;=Indicators!$I8)+('Indicator Data'!H8&lt;=Indicators!$J8)))</f>
        <v>4</v>
      </c>
      <c r="I8" s="27" t="n">
        <f aca="false">IF('Indicator Data'!I8="",IF(Config!$C$15="Score as High (5)",5,0),IF(Indicators!$F8="Higher = riskier",1+('Indicator Data'!I8&gt;=Indicators!$G8)+('Indicator Data'!I8&gt;=Indicators!$H8)+('Indicator Data'!I8&gt;=Indicators!$I8)+('Indicator Data'!I8&gt;=Indicators!$J8),1+('Indicator Data'!I8&lt;=Indicators!$G8)+('Indicator Data'!I8&lt;=Indicators!$H8)+('Indicator Data'!I8&lt;=Indicators!$I8)+('Indicator Data'!I8&lt;=Indicators!$J8)))</f>
        <v>3</v>
      </c>
      <c r="J8" s="27" t="n">
        <f aca="false">IF('Indicator Data'!J8="",IF(Config!$C$15="Score as High (5)",5,0),IF(Indicators!$F8="Higher = riskier",1+('Indicator Data'!J8&gt;=Indicators!$G8)+('Indicator Data'!J8&gt;=Indicators!$H8)+('Indicator Data'!J8&gt;=Indicators!$I8)+('Indicator Data'!J8&gt;=Indicators!$J8),1+('Indicator Data'!J8&lt;=Indicators!$G8)+('Indicator Data'!J8&lt;=Indicators!$H8)+('Indicator Data'!J8&lt;=Indicators!$I8)+('Indicator Data'!J8&lt;=Indicators!$J8)))</f>
        <v>4</v>
      </c>
      <c r="K8" s="27" t="n">
        <f aca="false">IF('Indicator Data'!K8="",IF(Config!$C$15="Score as High (5)",5,0),IF(Indicators!$F8="Higher = riskier",1+('Indicator Data'!K8&gt;=Indicators!$G8)+('Indicator Data'!K8&gt;=Indicators!$H8)+('Indicator Data'!K8&gt;=Indicators!$I8)+('Indicator Data'!K8&gt;=Indicators!$J8),1+('Indicator Data'!K8&lt;=Indicators!$G8)+('Indicator Data'!K8&lt;=Indicators!$H8)+('Indicator Data'!K8&lt;=Indicators!$I8)+('Indicator Data'!K8&lt;=Indicators!$J8)))</f>
        <v>3</v>
      </c>
      <c r="L8" s="27" t="n">
        <f aca="false">IF('Indicator Data'!L8="",IF(Config!$C$15="Score as High (5)",5,0),IF(Indicators!$F8="Higher = riskier",1+('Indicator Data'!L8&gt;=Indicators!$G8)+('Indicator Data'!L8&gt;=Indicators!$H8)+('Indicator Data'!L8&gt;=Indicators!$I8)+('Indicator Data'!L8&gt;=Indicators!$J8),1+('Indicator Data'!L8&lt;=Indicators!$G8)+('Indicator Data'!L8&lt;=Indicators!$H8)+('Indicator Data'!L8&lt;=Indicators!$I8)+('Indicator Data'!L8&lt;=Indicators!$J8)))</f>
        <v>3</v>
      </c>
      <c r="M8" s="27" t="n">
        <f aca="false">IF('Indicator Data'!M8="",IF(Config!$C$15="Score as High (5)",5,0),IF(Indicators!$F8="Higher = riskier",1+('Indicator Data'!M8&gt;=Indicators!$G8)+('Indicator Data'!M8&gt;=Indicators!$H8)+('Indicator Data'!M8&gt;=Indicators!$I8)+('Indicator Data'!M8&gt;=Indicators!$J8),1+('Indicator Data'!M8&lt;=Indicators!$G8)+('Indicator Data'!M8&lt;=Indicators!$H8)+('Indicator Data'!M8&lt;=Indicators!$I8)+('Indicator Data'!M8&lt;=Indicators!$J8)))</f>
        <v>4</v>
      </c>
      <c r="N8" s="27" t="n">
        <f aca="false">IF('Indicator Data'!N8="",IF(Config!$C$15="Score as High (5)",5,0),IF(Indicators!$F8="Higher = riskier",1+('Indicator Data'!N8&gt;=Indicators!$G8)+('Indicator Data'!N8&gt;=Indicators!$H8)+('Indicator Data'!N8&gt;=Indicators!$I8)+('Indicator Data'!N8&gt;=Indicators!$J8),1+('Indicator Data'!N8&lt;=Indicators!$G8)+('Indicator Data'!N8&lt;=Indicators!$H8)+('Indicator Data'!N8&lt;=Indicators!$I8)+('Indicator Data'!N8&lt;=Indicators!$J8)))</f>
        <v>2</v>
      </c>
      <c r="O8" s="27" t="n">
        <f aca="false">IF('Indicator Data'!O8="",IF(Config!$C$15="Score as High (5)",5,0),IF(Indicators!$F8="Higher = riskier",1+('Indicator Data'!O8&gt;=Indicators!$G8)+('Indicator Data'!O8&gt;=Indicators!$H8)+('Indicator Data'!O8&gt;=Indicators!$I8)+('Indicator Data'!O8&gt;=Indicators!$J8),1+('Indicator Data'!O8&lt;=Indicators!$G8)+('Indicator Data'!O8&lt;=Indicators!$H8)+('Indicator Data'!O8&lt;=Indicators!$I8)+('Indicator Data'!O8&lt;=Indicators!$J8)))</f>
        <v>3</v>
      </c>
      <c r="P8" s="27" t="n">
        <f aca="false">IF('Indicator Data'!P8="",IF(Config!$C$15="Score as High (5)",5,0),IF(Indicators!$F8="Higher = riskier",1+('Indicator Data'!P8&gt;=Indicators!$G8)+('Indicator Data'!P8&gt;=Indicators!$H8)+('Indicator Data'!P8&gt;=Indicators!$I8)+('Indicator Data'!P8&gt;=Indicators!$J8),1+('Indicator Data'!P8&lt;=Indicators!$G8)+('Indicator Data'!P8&lt;=Indicators!$H8)+('Indicator Data'!P8&lt;=Indicators!$I8)+('Indicator Data'!P8&lt;=Indicators!$J8)))</f>
        <v>4</v>
      </c>
      <c r="Q8" s="27" t="n">
        <f aca="false">IF('Indicator Data'!Q8="",IF(Config!$C$15="Score as High (5)",5,0),IF(Indicators!$F8="Higher = riskier",1+('Indicator Data'!Q8&gt;=Indicators!$G8)+('Indicator Data'!Q8&gt;=Indicators!$H8)+('Indicator Data'!Q8&gt;=Indicators!$I8)+('Indicator Data'!Q8&gt;=Indicators!$J8),1+('Indicator Data'!Q8&lt;=Indicators!$G8)+('Indicator Data'!Q8&lt;=Indicators!$H8)+('Indicator Data'!Q8&lt;=Indicators!$I8)+('Indicator Data'!Q8&lt;=Indicators!$J8)))</f>
        <v>4</v>
      </c>
      <c r="R8" s="27" t="n">
        <f aca="false">IF('Indicator Data'!R8="",IF(Config!$C$15="Score as High (5)",5,0),IF(Indicators!$F8="Higher = riskier",1+('Indicator Data'!R8&gt;=Indicators!$G8)+('Indicator Data'!R8&gt;=Indicators!$H8)+('Indicator Data'!R8&gt;=Indicators!$I8)+('Indicator Data'!R8&gt;=Indicators!$J8),1+('Indicator Data'!R8&lt;=Indicators!$G8)+('Indicator Data'!R8&lt;=Indicators!$H8)+('Indicator Data'!R8&lt;=Indicators!$I8)+('Indicator Data'!R8&lt;=Indicators!$J8)))</f>
        <v>4</v>
      </c>
      <c r="S8" s="27" t="n">
        <f aca="false">IF('Indicator Data'!S8="",IF(Config!$C$15="Score as High (5)",5,0),IF(Indicators!$F8="Higher = riskier",1+('Indicator Data'!S8&gt;=Indicators!$G8)+('Indicator Data'!S8&gt;=Indicators!$H8)+('Indicator Data'!S8&gt;=Indicators!$I8)+('Indicator Data'!S8&gt;=Indicators!$J8),1+('Indicator Data'!S8&lt;=Indicators!$G8)+('Indicator Data'!S8&lt;=Indicators!$H8)+('Indicator Data'!S8&lt;=Indicators!$I8)+('Indicator Data'!S8&lt;=Indicators!$J8)))</f>
        <v>4</v>
      </c>
      <c r="T8" s="27" t="n">
        <f aca="false">IF('Indicator Data'!T8="",IF(Config!$C$15="Score as High (5)",5,0),IF(Indicators!$F8="Higher = riskier",1+('Indicator Data'!T8&gt;=Indicators!$G8)+('Indicator Data'!T8&gt;=Indicators!$H8)+('Indicator Data'!T8&gt;=Indicators!$I8)+('Indicator Data'!T8&gt;=Indicators!$J8),1+('Indicator Data'!T8&lt;=Indicators!$G8)+('Indicator Data'!T8&lt;=Indicators!$H8)+('Indicator Data'!T8&lt;=Indicators!$I8)+('Indicator Data'!T8&lt;=Indicators!$J8)))</f>
        <v>2</v>
      </c>
      <c r="U8" s="27" t="n">
        <f aca="false">IF('Indicator Data'!U8="",IF(Config!$C$15="Score as High (5)",5,0),IF(Indicators!$F8="Higher = riskier",1+('Indicator Data'!U8&gt;=Indicators!$G8)+('Indicator Data'!U8&gt;=Indicators!$H8)+('Indicator Data'!U8&gt;=Indicators!$I8)+('Indicator Data'!U8&gt;=Indicators!$J8),1+('Indicator Data'!U8&lt;=Indicators!$G8)+('Indicator Data'!U8&lt;=Indicators!$H8)+('Indicator Data'!U8&lt;=Indicators!$I8)+('Indicator Data'!U8&lt;=Indicators!$J8)))</f>
        <v>4</v>
      </c>
      <c r="V8" s="27" t="n">
        <f aca="false">IF('Indicator Data'!V8="",IF(Config!$C$15="Score as High (5)",5,0),IF(Indicators!$F8="Higher = riskier",1+('Indicator Data'!V8&gt;=Indicators!$G8)+('Indicator Data'!V8&gt;=Indicators!$H8)+('Indicator Data'!V8&gt;=Indicators!$I8)+('Indicator Data'!V8&gt;=Indicators!$J8),1+('Indicator Data'!V8&lt;=Indicators!$G8)+('Indicator Data'!V8&lt;=Indicators!$H8)+('Indicator Data'!V8&lt;=Indicators!$I8)+('Indicator Data'!V8&lt;=Indicators!$J8)))</f>
        <v>3</v>
      </c>
      <c r="W8" s="27" t="n">
        <f aca="false">IF('Indicator Data'!W8="",IF(Config!$C$15="Score as High (5)",5,0),IF(Indicators!$F8="Higher = riskier",1+('Indicator Data'!W8&gt;=Indicators!$G8)+('Indicator Data'!W8&gt;=Indicators!$H8)+('Indicator Data'!W8&gt;=Indicators!$I8)+('Indicator Data'!W8&gt;=Indicators!$J8),1+('Indicator Data'!W8&lt;=Indicators!$G8)+('Indicator Data'!W8&lt;=Indicators!$H8)+('Indicator Data'!W8&lt;=Indicators!$I8)+('Indicator Data'!W8&lt;=Indicators!$J8)))</f>
        <v>2</v>
      </c>
      <c r="X8" s="27" t="n">
        <f aca="false">IF('Indicator Data'!X8="",IF(Config!$C$15="Score as High (5)",5,0),IF(Indicators!$F8="Higher = riskier",1+('Indicator Data'!X8&gt;=Indicators!$G8)+('Indicator Data'!X8&gt;=Indicators!$H8)+('Indicator Data'!X8&gt;=Indicators!$I8)+('Indicator Data'!X8&gt;=Indicators!$J8),1+('Indicator Data'!X8&lt;=Indicators!$G8)+('Indicator Data'!X8&lt;=Indicators!$H8)+('Indicator Data'!X8&lt;=Indicators!$I8)+('Indicator Data'!X8&lt;=Indicators!$J8)))</f>
        <v>5</v>
      </c>
      <c r="Y8" s="27" t="n">
        <f aca="false">IF('Indicator Data'!Y8="",IF(Config!$C$15="Score as High (5)",5,0),IF(Indicators!$F8="Higher = riskier",1+('Indicator Data'!Y8&gt;=Indicators!$G8)+('Indicator Data'!Y8&gt;=Indicators!$H8)+('Indicator Data'!Y8&gt;=Indicators!$I8)+('Indicator Data'!Y8&gt;=Indicators!$J8),1+('Indicator Data'!Y8&lt;=Indicators!$G8)+('Indicator Data'!Y8&lt;=Indicators!$H8)+('Indicator Data'!Y8&lt;=Indicators!$I8)+('Indicator Data'!Y8&lt;=Indicators!$J8)))</f>
        <v>1</v>
      </c>
      <c r="Z8" s="27" t="n">
        <f aca="false">IF('Indicator Data'!Z8="",IF(Config!$C$15="Score as High (5)",5,0),IF(Indicators!$F8="Higher = riskier",1+('Indicator Data'!Z8&gt;=Indicators!$G8)+('Indicator Data'!Z8&gt;=Indicators!$H8)+('Indicator Data'!Z8&gt;=Indicators!$I8)+('Indicator Data'!Z8&gt;=Indicators!$J8),1+('Indicator Data'!Z8&lt;=Indicators!$G8)+('Indicator Data'!Z8&lt;=Indicators!$H8)+('Indicator Data'!Z8&lt;=Indicators!$I8)+('Indicator Data'!Z8&lt;=Indicators!$J8)))</f>
        <v>2</v>
      </c>
      <c r="AA8" s="27" t="n">
        <f aca="false">IF('Indicator Data'!AA8="",IF(Config!$C$15="Score as High (5)",5,0),IF(Indicators!$F8="Higher = riskier",1+('Indicator Data'!AA8&gt;=Indicators!$G8)+('Indicator Data'!AA8&gt;=Indicators!$H8)+('Indicator Data'!AA8&gt;=Indicators!$I8)+('Indicator Data'!AA8&gt;=Indicators!$J8),1+('Indicator Data'!AA8&lt;=Indicators!$G8)+('Indicator Data'!AA8&lt;=Indicators!$H8)+('Indicator Data'!AA8&lt;=Indicators!$I8)+('Indicator Data'!AA8&lt;=Indicators!$J8)))</f>
        <v>2</v>
      </c>
      <c r="AB8" s="27" t="n">
        <f aca="false">IF('Indicator Data'!AB8="",IF(Config!$C$15="Score as High (5)",5,0),IF(Indicators!$F8="Higher = riskier",1+('Indicator Data'!AB8&gt;=Indicators!$G8)+('Indicator Data'!AB8&gt;=Indicators!$H8)+('Indicator Data'!AB8&gt;=Indicators!$I8)+('Indicator Data'!AB8&gt;=Indicators!$J8),1+('Indicator Data'!AB8&lt;=Indicators!$G8)+('Indicator Data'!AB8&lt;=Indicators!$H8)+('Indicator Data'!AB8&lt;=Indicators!$I8)+('Indicator Data'!AB8&lt;=Indicators!$J8)))</f>
        <v>1</v>
      </c>
      <c r="AC8" s="27" t="n">
        <f aca="false">IF('Indicator Data'!AC8="",IF(Config!$C$15="Score as High (5)",5,0),IF(Indicators!$F8="Higher = riskier",1+('Indicator Data'!AC8&gt;=Indicators!$G8)+('Indicator Data'!AC8&gt;=Indicators!$H8)+('Indicator Data'!AC8&gt;=Indicators!$I8)+('Indicator Data'!AC8&gt;=Indicators!$J8),1+('Indicator Data'!AC8&lt;=Indicators!$G8)+('Indicator Data'!AC8&lt;=Indicators!$H8)+('Indicator Data'!AC8&lt;=Indicators!$I8)+('Indicator Data'!AC8&lt;=Indicators!$J8)))</f>
        <v>3</v>
      </c>
      <c r="AD8" s="27" t="n">
        <f aca="false">IF('Indicator Data'!AD8="",IF(Config!$C$15="Score as High (5)",5,0),IF(Indicators!$F8="Higher = riskier",1+('Indicator Data'!AD8&gt;=Indicators!$G8)+('Indicator Data'!AD8&gt;=Indicators!$H8)+('Indicator Data'!AD8&gt;=Indicators!$I8)+('Indicator Data'!AD8&gt;=Indicators!$J8),1+('Indicator Data'!AD8&lt;=Indicators!$G8)+('Indicator Data'!AD8&lt;=Indicators!$H8)+('Indicator Data'!AD8&lt;=Indicators!$I8)+('Indicator Data'!AD8&lt;=Indicators!$J8)))</f>
        <v>2</v>
      </c>
      <c r="AE8" s="27" t="n">
        <f aca="false">IF('Indicator Data'!AE8="",IF(Config!$C$15="Score as High (5)",5,0),IF(Indicators!$F8="Higher = riskier",1+('Indicator Data'!AE8&gt;=Indicators!$G8)+('Indicator Data'!AE8&gt;=Indicators!$H8)+('Indicator Data'!AE8&gt;=Indicators!$I8)+('Indicator Data'!AE8&gt;=Indicators!$J8),1+('Indicator Data'!AE8&lt;=Indicators!$G8)+('Indicator Data'!AE8&lt;=Indicators!$H8)+('Indicator Data'!AE8&lt;=Indicators!$I8)+('Indicator Data'!AE8&lt;=Indicators!$J8)))</f>
        <v>3</v>
      </c>
      <c r="AF8" s="27" t="n">
        <f aca="false">IF('Indicator Data'!AF8="",IF(Config!$C$15="Score as High (5)",5,0),IF(Indicators!$F8="Higher = riskier",1+('Indicator Data'!AF8&gt;=Indicators!$G8)+('Indicator Data'!AF8&gt;=Indicators!$H8)+('Indicator Data'!AF8&gt;=Indicators!$I8)+('Indicator Data'!AF8&gt;=Indicators!$J8),1+('Indicator Data'!AF8&lt;=Indicators!$G8)+('Indicator Data'!AF8&lt;=Indicators!$H8)+('Indicator Data'!AF8&lt;=Indicators!$I8)+('Indicator Data'!AF8&lt;=Indicators!$J8)))</f>
        <v>1</v>
      </c>
      <c r="AG8" s="27" t="n">
        <f aca="false">IF('Indicator Data'!AG8="",IF(Config!$C$15="Score as High (5)",5,0),IF(Indicators!$F8="Higher = riskier",1+('Indicator Data'!AG8&gt;=Indicators!$G8)+('Indicator Data'!AG8&gt;=Indicators!$H8)+('Indicator Data'!AG8&gt;=Indicators!$I8)+('Indicator Data'!AG8&gt;=Indicators!$J8),1+('Indicator Data'!AG8&lt;=Indicators!$G8)+('Indicator Data'!AG8&lt;=Indicators!$H8)+('Indicator Data'!AG8&lt;=Indicators!$I8)+('Indicator Data'!AG8&lt;=Indicators!$J8)))</f>
        <v>2</v>
      </c>
    </row>
    <row r="9" customFormat="false" ht="15" hidden="false" customHeight="false" outlineLevel="0" collapsed="false">
      <c r="A9" s="26" t="str">
        <f aca="false">Indicators!A9</f>
        <v>C05</v>
      </c>
      <c r="B9" s="26" t="str">
        <f aca="false">Indicators!C9</f>
        <v>% corporate customers with complex or opaque ownership</v>
      </c>
      <c r="C9" s="26" t="str">
        <f aca="false">Indicators!D9</f>
        <v>%</v>
      </c>
      <c r="D9" s="27" t="n">
        <f aca="false">IF('Indicator Data'!D9="",IF(Config!$C$15="Score as High (5)",5,0),IF(Indicators!$F9="Higher = riskier",1+('Indicator Data'!D9&gt;=Indicators!$G9)+('Indicator Data'!D9&gt;=Indicators!$H9)+('Indicator Data'!D9&gt;=Indicators!$I9)+('Indicator Data'!D9&gt;=Indicators!$J9),1+('Indicator Data'!D9&lt;=Indicators!$G9)+('Indicator Data'!D9&lt;=Indicators!$H9)+('Indicator Data'!D9&lt;=Indicators!$I9)+('Indicator Data'!D9&lt;=Indicators!$J9)))</f>
        <v>3</v>
      </c>
      <c r="E9" s="27" t="n">
        <f aca="false">IF('Indicator Data'!E9="",IF(Config!$C$15="Score as High (5)",5,0),IF(Indicators!$F9="Higher = riskier",1+('Indicator Data'!E9&gt;=Indicators!$G9)+('Indicator Data'!E9&gt;=Indicators!$H9)+('Indicator Data'!E9&gt;=Indicators!$I9)+('Indicator Data'!E9&gt;=Indicators!$J9),1+('Indicator Data'!E9&lt;=Indicators!$G9)+('Indicator Data'!E9&lt;=Indicators!$H9)+('Indicator Data'!E9&lt;=Indicators!$I9)+('Indicator Data'!E9&lt;=Indicators!$J9)))</f>
        <v>5</v>
      </c>
      <c r="F9" s="27" t="n">
        <f aca="false">IF('Indicator Data'!F9="",IF(Config!$C$15="Score as High (5)",5,0),IF(Indicators!$F9="Higher = riskier",1+('Indicator Data'!F9&gt;=Indicators!$G9)+('Indicator Data'!F9&gt;=Indicators!$H9)+('Indicator Data'!F9&gt;=Indicators!$I9)+('Indicator Data'!F9&gt;=Indicators!$J9),1+('Indicator Data'!F9&lt;=Indicators!$G9)+('Indicator Data'!F9&lt;=Indicators!$H9)+('Indicator Data'!F9&lt;=Indicators!$I9)+('Indicator Data'!F9&lt;=Indicators!$J9)))</f>
        <v>4</v>
      </c>
      <c r="G9" s="27" t="n">
        <f aca="false">IF('Indicator Data'!G9="",IF(Config!$C$15="Score as High (5)",5,0),IF(Indicators!$F9="Higher = riskier",1+('Indicator Data'!G9&gt;=Indicators!$G9)+('Indicator Data'!G9&gt;=Indicators!$H9)+('Indicator Data'!G9&gt;=Indicators!$I9)+('Indicator Data'!G9&gt;=Indicators!$J9),1+('Indicator Data'!G9&lt;=Indicators!$G9)+('Indicator Data'!G9&lt;=Indicators!$H9)+('Indicator Data'!G9&lt;=Indicators!$I9)+('Indicator Data'!G9&lt;=Indicators!$J9)))</f>
        <v>4</v>
      </c>
      <c r="H9" s="27" t="n">
        <f aca="false">IF('Indicator Data'!H9="",IF(Config!$C$15="Score as High (5)",5,0),IF(Indicators!$F9="Higher = riskier",1+('Indicator Data'!H9&gt;=Indicators!$G9)+('Indicator Data'!H9&gt;=Indicators!$H9)+('Indicator Data'!H9&gt;=Indicators!$I9)+('Indicator Data'!H9&gt;=Indicators!$J9),1+('Indicator Data'!H9&lt;=Indicators!$G9)+('Indicator Data'!H9&lt;=Indicators!$H9)+('Indicator Data'!H9&lt;=Indicators!$I9)+('Indicator Data'!H9&lt;=Indicators!$J9)))</f>
        <v>2</v>
      </c>
      <c r="I9" s="27" t="n">
        <f aca="false">IF('Indicator Data'!I9="",IF(Config!$C$15="Score as High (5)",5,0),IF(Indicators!$F9="Higher = riskier",1+('Indicator Data'!I9&gt;=Indicators!$G9)+('Indicator Data'!I9&gt;=Indicators!$H9)+('Indicator Data'!I9&gt;=Indicators!$I9)+('Indicator Data'!I9&gt;=Indicators!$J9),1+('Indicator Data'!I9&lt;=Indicators!$G9)+('Indicator Data'!I9&lt;=Indicators!$H9)+('Indicator Data'!I9&lt;=Indicators!$I9)+('Indicator Data'!I9&lt;=Indicators!$J9)))</f>
        <v>3</v>
      </c>
      <c r="J9" s="27" t="n">
        <f aca="false">IF('Indicator Data'!J9="",IF(Config!$C$15="Score as High (5)",5,0),IF(Indicators!$F9="Higher = riskier",1+('Indicator Data'!J9&gt;=Indicators!$G9)+('Indicator Data'!J9&gt;=Indicators!$H9)+('Indicator Data'!J9&gt;=Indicators!$I9)+('Indicator Data'!J9&gt;=Indicators!$J9),1+('Indicator Data'!J9&lt;=Indicators!$G9)+('Indicator Data'!J9&lt;=Indicators!$H9)+('Indicator Data'!J9&lt;=Indicators!$I9)+('Indicator Data'!J9&lt;=Indicators!$J9)))</f>
        <v>3</v>
      </c>
      <c r="K9" s="27" t="n">
        <f aca="false">IF('Indicator Data'!K9="",IF(Config!$C$15="Score as High (5)",5,0),IF(Indicators!$F9="Higher = riskier",1+('Indicator Data'!K9&gt;=Indicators!$G9)+('Indicator Data'!K9&gt;=Indicators!$H9)+('Indicator Data'!K9&gt;=Indicators!$I9)+('Indicator Data'!K9&gt;=Indicators!$J9),1+('Indicator Data'!K9&lt;=Indicators!$G9)+('Indicator Data'!K9&lt;=Indicators!$H9)+('Indicator Data'!K9&lt;=Indicators!$I9)+('Indicator Data'!K9&lt;=Indicators!$J9)))</f>
        <v>5</v>
      </c>
      <c r="L9" s="27" t="n">
        <f aca="false">IF('Indicator Data'!L9="",IF(Config!$C$15="Score as High (5)",5,0),IF(Indicators!$F9="Higher = riskier",1+('Indicator Data'!L9&gt;=Indicators!$G9)+('Indicator Data'!L9&gt;=Indicators!$H9)+('Indicator Data'!L9&gt;=Indicators!$I9)+('Indicator Data'!L9&gt;=Indicators!$J9),1+('Indicator Data'!L9&lt;=Indicators!$G9)+('Indicator Data'!L9&lt;=Indicators!$H9)+('Indicator Data'!L9&lt;=Indicators!$I9)+('Indicator Data'!L9&lt;=Indicators!$J9)))</f>
        <v>4</v>
      </c>
      <c r="M9" s="27" t="n">
        <f aca="false">IF('Indicator Data'!M9="",IF(Config!$C$15="Score as High (5)",5,0),IF(Indicators!$F9="Higher = riskier",1+('Indicator Data'!M9&gt;=Indicators!$G9)+('Indicator Data'!M9&gt;=Indicators!$H9)+('Indicator Data'!M9&gt;=Indicators!$I9)+('Indicator Data'!M9&gt;=Indicators!$J9),1+('Indicator Data'!M9&lt;=Indicators!$G9)+('Indicator Data'!M9&lt;=Indicators!$H9)+('Indicator Data'!M9&lt;=Indicators!$I9)+('Indicator Data'!M9&lt;=Indicators!$J9)))</f>
        <v>1</v>
      </c>
      <c r="N9" s="27" t="n">
        <f aca="false">IF('Indicator Data'!N9="",IF(Config!$C$15="Score as High (5)",5,0),IF(Indicators!$F9="Higher = riskier",1+('Indicator Data'!N9&gt;=Indicators!$G9)+('Indicator Data'!N9&gt;=Indicators!$H9)+('Indicator Data'!N9&gt;=Indicators!$I9)+('Indicator Data'!N9&gt;=Indicators!$J9),1+('Indicator Data'!N9&lt;=Indicators!$G9)+('Indicator Data'!N9&lt;=Indicators!$H9)+('Indicator Data'!N9&lt;=Indicators!$I9)+('Indicator Data'!N9&lt;=Indicators!$J9)))</f>
        <v>4</v>
      </c>
      <c r="O9" s="27" t="n">
        <f aca="false">IF('Indicator Data'!O9="",IF(Config!$C$15="Score as High (5)",5,0),IF(Indicators!$F9="Higher = riskier",1+('Indicator Data'!O9&gt;=Indicators!$G9)+('Indicator Data'!O9&gt;=Indicators!$H9)+('Indicator Data'!O9&gt;=Indicators!$I9)+('Indicator Data'!O9&gt;=Indicators!$J9),1+('Indicator Data'!O9&lt;=Indicators!$G9)+('Indicator Data'!O9&lt;=Indicators!$H9)+('Indicator Data'!O9&lt;=Indicators!$I9)+('Indicator Data'!O9&lt;=Indicators!$J9)))</f>
        <v>2</v>
      </c>
      <c r="P9" s="27" t="n">
        <f aca="false">IF('Indicator Data'!P9="",IF(Config!$C$15="Score as High (5)",5,0),IF(Indicators!$F9="Higher = riskier",1+('Indicator Data'!P9&gt;=Indicators!$G9)+('Indicator Data'!P9&gt;=Indicators!$H9)+('Indicator Data'!P9&gt;=Indicators!$I9)+('Indicator Data'!P9&gt;=Indicators!$J9),1+('Indicator Data'!P9&lt;=Indicators!$G9)+('Indicator Data'!P9&lt;=Indicators!$H9)+('Indicator Data'!P9&lt;=Indicators!$I9)+('Indicator Data'!P9&lt;=Indicators!$J9)))</f>
        <v>4</v>
      </c>
      <c r="Q9" s="27" t="n">
        <f aca="false">IF('Indicator Data'!Q9="",IF(Config!$C$15="Score as High (5)",5,0),IF(Indicators!$F9="Higher = riskier",1+('Indicator Data'!Q9&gt;=Indicators!$G9)+('Indicator Data'!Q9&gt;=Indicators!$H9)+('Indicator Data'!Q9&gt;=Indicators!$I9)+('Indicator Data'!Q9&gt;=Indicators!$J9),1+('Indicator Data'!Q9&lt;=Indicators!$G9)+('Indicator Data'!Q9&lt;=Indicators!$H9)+('Indicator Data'!Q9&lt;=Indicators!$I9)+('Indicator Data'!Q9&lt;=Indicators!$J9)))</f>
        <v>3</v>
      </c>
      <c r="R9" s="27" t="n">
        <f aca="false">IF('Indicator Data'!R9="",IF(Config!$C$15="Score as High (5)",5,0),IF(Indicators!$F9="Higher = riskier",1+('Indicator Data'!R9&gt;=Indicators!$G9)+('Indicator Data'!R9&gt;=Indicators!$H9)+('Indicator Data'!R9&gt;=Indicators!$I9)+('Indicator Data'!R9&gt;=Indicators!$J9),1+('Indicator Data'!R9&lt;=Indicators!$G9)+('Indicator Data'!R9&lt;=Indicators!$H9)+('Indicator Data'!R9&lt;=Indicators!$I9)+('Indicator Data'!R9&lt;=Indicators!$J9)))</f>
        <v>2</v>
      </c>
      <c r="S9" s="27" t="n">
        <f aca="false">IF('Indicator Data'!S9="",IF(Config!$C$15="Score as High (5)",5,0),IF(Indicators!$F9="Higher = riskier",1+('Indicator Data'!S9&gt;=Indicators!$G9)+('Indicator Data'!S9&gt;=Indicators!$H9)+('Indicator Data'!S9&gt;=Indicators!$I9)+('Indicator Data'!S9&gt;=Indicators!$J9),1+('Indicator Data'!S9&lt;=Indicators!$G9)+('Indicator Data'!S9&lt;=Indicators!$H9)+('Indicator Data'!S9&lt;=Indicators!$I9)+('Indicator Data'!S9&lt;=Indicators!$J9)))</f>
        <v>3</v>
      </c>
      <c r="T9" s="27" t="n">
        <f aca="false">IF('Indicator Data'!T9="",IF(Config!$C$15="Score as High (5)",5,0),IF(Indicators!$F9="Higher = riskier",1+('Indicator Data'!T9&gt;=Indicators!$G9)+('Indicator Data'!T9&gt;=Indicators!$H9)+('Indicator Data'!T9&gt;=Indicators!$I9)+('Indicator Data'!T9&gt;=Indicators!$J9),1+('Indicator Data'!T9&lt;=Indicators!$G9)+('Indicator Data'!T9&lt;=Indicators!$H9)+('Indicator Data'!T9&lt;=Indicators!$I9)+('Indicator Data'!T9&lt;=Indicators!$J9)))</f>
        <v>3</v>
      </c>
      <c r="U9" s="27" t="n">
        <f aca="false">IF('Indicator Data'!U9="",IF(Config!$C$15="Score as High (5)",5,0),IF(Indicators!$F9="Higher = riskier",1+('Indicator Data'!U9&gt;=Indicators!$G9)+('Indicator Data'!U9&gt;=Indicators!$H9)+('Indicator Data'!U9&gt;=Indicators!$I9)+('Indicator Data'!U9&gt;=Indicators!$J9),1+('Indicator Data'!U9&lt;=Indicators!$G9)+('Indicator Data'!U9&lt;=Indicators!$H9)+('Indicator Data'!U9&lt;=Indicators!$I9)+('Indicator Data'!U9&lt;=Indicators!$J9)))</f>
        <v>2</v>
      </c>
      <c r="V9" s="27" t="n">
        <f aca="false">IF('Indicator Data'!V9="",IF(Config!$C$15="Score as High (5)",5,0),IF(Indicators!$F9="Higher = riskier",1+('Indicator Data'!V9&gt;=Indicators!$G9)+('Indicator Data'!V9&gt;=Indicators!$H9)+('Indicator Data'!V9&gt;=Indicators!$I9)+('Indicator Data'!V9&gt;=Indicators!$J9),1+('Indicator Data'!V9&lt;=Indicators!$G9)+('Indicator Data'!V9&lt;=Indicators!$H9)+('Indicator Data'!V9&lt;=Indicators!$I9)+('Indicator Data'!V9&lt;=Indicators!$J9)))</f>
        <v>3</v>
      </c>
      <c r="W9" s="27" t="n">
        <f aca="false">IF('Indicator Data'!W9="",IF(Config!$C$15="Score as High (5)",5,0),IF(Indicators!$F9="Higher = riskier",1+('Indicator Data'!W9&gt;=Indicators!$G9)+('Indicator Data'!W9&gt;=Indicators!$H9)+('Indicator Data'!W9&gt;=Indicators!$I9)+('Indicator Data'!W9&gt;=Indicators!$J9),1+('Indicator Data'!W9&lt;=Indicators!$G9)+('Indicator Data'!W9&lt;=Indicators!$H9)+('Indicator Data'!W9&lt;=Indicators!$I9)+('Indicator Data'!W9&lt;=Indicators!$J9)))</f>
        <v>2</v>
      </c>
      <c r="X9" s="27" t="n">
        <f aca="false">IF('Indicator Data'!X9="",IF(Config!$C$15="Score as High (5)",5,0),IF(Indicators!$F9="Higher = riskier",1+('Indicator Data'!X9&gt;=Indicators!$G9)+('Indicator Data'!X9&gt;=Indicators!$H9)+('Indicator Data'!X9&gt;=Indicators!$I9)+('Indicator Data'!X9&gt;=Indicators!$J9),1+('Indicator Data'!X9&lt;=Indicators!$G9)+('Indicator Data'!X9&lt;=Indicators!$H9)+('Indicator Data'!X9&lt;=Indicators!$I9)+('Indicator Data'!X9&lt;=Indicators!$J9)))</f>
        <v>4</v>
      </c>
      <c r="Y9" s="27" t="n">
        <f aca="false">IF('Indicator Data'!Y9="",IF(Config!$C$15="Score as High (5)",5,0),IF(Indicators!$F9="Higher = riskier",1+('Indicator Data'!Y9&gt;=Indicators!$G9)+('Indicator Data'!Y9&gt;=Indicators!$H9)+('Indicator Data'!Y9&gt;=Indicators!$I9)+('Indicator Data'!Y9&gt;=Indicators!$J9),1+('Indicator Data'!Y9&lt;=Indicators!$G9)+('Indicator Data'!Y9&lt;=Indicators!$H9)+('Indicator Data'!Y9&lt;=Indicators!$I9)+('Indicator Data'!Y9&lt;=Indicators!$J9)))</f>
        <v>3</v>
      </c>
      <c r="Z9" s="27" t="n">
        <f aca="false">IF('Indicator Data'!Z9="",IF(Config!$C$15="Score as High (5)",5,0),IF(Indicators!$F9="Higher = riskier",1+('Indicator Data'!Z9&gt;=Indicators!$G9)+('Indicator Data'!Z9&gt;=Indicators!$H9)+('Indicator Data'!Z9&gt;=Indicators!$I9)+('Indicator Data'!Z9&gt;=Indicators!$J9),1+('Indicator Data'!Z9&lt;=Indicators!$G9)+('Indicator Data'!Z9&lt;=Indicators!$H9)+('Indicator Data'!Z9&lt;=Indicators!$I9)+('Indicator Data'!Z9&lt;=Indicators!$J9)))</f>
        <v>1</v>
      </c>
      <c r="AA9" s="27" t="n">
        <f aca="false">IF('Indicator Data'!AA9="",IF(Config!$C$15="Score as High (5)",5,0),IF(Indicators!$F9="Higher = riskier",1+('Indicator Data'!AA9&gt;=Indicators!$G9)+('Indicator Data'!AA9&gt;=Indicators!$H9)+('Indicator Data'!AA9&gt;=Indicators!$I9)+('Indicator Data'!AA9&gt;=Indicators!$J9),1+('Indicator Data'!AA9&lt;=Indicators!$G9)+('Indicator Data'!AA9&lt;=Indicators!$H9)+('Indicator Data'!AA9&lt;=Indicators!$I9)+('Indicator Data'!AA9&lt;=Indicators!$J9)))</f>
        <v>1</v>
      </c>
      <c r="AB9" s="27" t="n">
        <f aca="false">IF('Indicator Data'!AB9="",IF(Config!$C$15="Score as High (5)",5,0),IF(Indicators!$F9="Higher = riskier",1+('Indicator Data'!AB9&gt;=Indicators!$G9)+('Indicator Data'!AB9&gt;=Indicators!$H9)+('Indicator Data'!AB9&gt;=Indicators!$I9)+('Indicator Data'!AB9&gt;=Indicators!$J9),1+('Indicator Data'!AB9&lt;=Indicators!$G9)+('Indicator Data'!AB9&lt;=Indicators!$H9)+('Indicator Data'!AB9&lt;=Indicators!$I9)+('Indicator Data'!AB9&lt;=Indicators!$J9)))</f>
        <v>3</v>
      </c>
      <c r="AC9" s="27" t="n">
        <f aca="false">IF('Indicator Data'!AC9="",IF(Config!$C$15="Score as High (5)",5,0),IF(Indicators!$F9="Higher = riskier",1+('Indicator Data'!AC9&gt;=Indicators!$G9)+('Indicator Data'!AC9&gt;=Indicators!$H9)+('Indicator Data'!AC9&gt;=Indicators!$I9)+('Indicator Data'!AC9&gt;=Indicators!$J9),1+('Indicator Data'!AC9&lt;=Indicators!$G9)+('Indicator Data'!AC9&lt;=Indicators!$H9)+('Indicator Data'!AC9&lt;=Indicators!$I9)+('Indicator Data'!AC9&lt;=Indicators!$J9)))</f>
        <v>2</v>
      </c>
      <c r="AD9" s="27" t="n">
        <f aca="false">IF('Indicator Data'!AD9="",IF(Config!$C$15="Score as High (5)",5,0),IF(Indicators!$F9="Higher = riskier",1+('Indicator Data'!AD9&gt;=Indicators!$G9)+('Indicator Data'!AD9&gt;=Indicators!$H9)+('Indicator Data'!AD9&gt;=Indicators!$I9)+('Indicator Data'!AD9&gt;=Indicators!$J9),1+('Indicator Data'!AD9&lt;=Indicators!$G9)+('Indicator Data'!AD9&lt;=Indicators!$H9)+('Indicator Data'!AD9&lt;=Indicators!$I9)+('Indicator Data'!AD9&lt;=Indicators!$J9)))</f>
        <v>3</v>
      </c>
      <c r="AE9" s="27" t="n">
        <f aca="false">IF('Indicator Data'!AE9="",IF(Config!$C$15="Score as High (5)",5,0),IF(Indicators!$F9="Higher = riskier",1+('Indicator Data'!AE9&gt;=Indicators!$G9)+('Indicator Data'!AE9&gt;=Indicators!$H9)+('Indicator Data'!AE9&gt;=Indicators!$I9)+('Indicator Data'!AE9&gt;=Indicators!$J9),1+('Indicator Data'!AE9&lt;=Indicators!$G9)+('Indicator Data'!AE9&lt;=Indicators!$H9)+('Indicator Data'!AE9&lt;=Indicators!$I9)+('Indicator Data'!AE9&lt;=Indicators!$J9)))</f>
        <v>1</v>
      </c>
      <c r="AF9" s="27" t="n">
        <f aca="false">IF('Indicator Data'!AF9="",IF(Config!$C$15="Score as High (5)",5,0),IF(Indicators!$F9="Higher = riskier",1+('Indicator Data'!AF9&gt;=Indicators!$G9)+('Indicator Data'!AF9&gt;=Indicators!$H9)+('Indicator Data'!AF9&gt;=Indicators!$I9)+('Indicator Data'!AF9&gt;=Indicators!$J9),1+('Indicator Data'!AF9&lt;=Indicators!$G9)+('Indicator Data'!AF9&lt;=Indicators!$H9)+('Indicator Data'!AF9&lt;=Indicators!$I9)+('Indicator Data'!AF9&lt;=Indicators!$J9)))</f>
        <v>2</v>
      </c>
      <c r="AG9" s="27" t="n">
        <f aca="false">IF('Indicator Data'!AG9="",IF(Config!$C$15="Score as High (5)",5,0),IF(Indicators!$F9="Higher = riskier",1+('Indicator Data'!AG9&gt;=Indicators!$G9)+('Indicator Data'!AG9&gt;=Indicators!$H9)+('Indicator Data'!AG9&gt;=Indicators!$I9)+('Indicator Data'!AG9&gt;=Indicators!$J9),1+('Indicator Data'!AG9&lt;=Indicators!$G9)+('Indicator Data'!AG9&lt;=Indicators!$H9)+('Indicator Data'!AG9&lt;=Indicators!$I9)+('Indicator Data'!AG9&lt;=Indicators!$J9)))</f>
        <v>1</v>
      </c>
    </row>
    <row r="10" customFormat="false" ht="15" hidden="false" customHeight="false" outlineLevel="0" collapsed="false">
      <c r="A10" s="26" t="str">
        <f aca="false">Indicators!A10</f>
        <v>C06</v>
      </c>
      <c r="B10" s="26" t="str">
        <f aca="false">Indicators!C10</f>
        <v>% customers in cash-intensive businesses</v>
      </c>
      <c r="C10" s="26" t="str">
        <f aca="false">Indicators!D10</f>
        <v>%</v>
      </c>
      <c r="D10" s="27" t="n">
        <f aca="false">IF('Indicator Data'!D10="",IF(Config!$C$15="Score as High (5)",5,0),IF(Indicators!$F10="Higher = riskier",1+('Indicator Data'!D10&gt;=Indicators!$G10)+('Indicator Data'!D10&gt;=Indicators!$H10)+('Indicator Data'!D10&gt;=Indicators!$I10)+('Indicator Data'!D10&gt;=Indicators!$J10),1+('Indicator Data'!D10&lt;=Indicators!$G10)+('Indicator Data'!D10&lt;=Indicators!$H10)+('Indicator Data'!D10&lt;=Indicators!$I10)+('Indicator Data'!D10&lt;=Indicators!$J10)))</f>
        <v>2</v>
      </c>
      <c r="E10" s="27" t="n">
        <f aca="false">IF('Indicator Data'!E10="",IF(Config!$C$15="Score as High (5)",5,0),IF(Indicators!$F10="Higher = riskier",1+('Indicator Data'!E10&gt;=Indicators!$G10)+('Indicator Data'!E10&gt;=Indicators!$H10)+('Indicator Data'!E10&gt;=Indicators!$I10)+('Indicator Data'!E10&gt;=Indicators!$J10),1+('Indicator Data'!E10&lt;=Indicators!$G10)+('Indicator Data'!E10&lt;=Indicators!$H10)+('Indicator Data'!E10&lt;=Indicators!$I10)+('Indicator Data'!E10&lt;=Indicators!$J10)))</f>
        <v>1</v>
      </c>
      <c r="F10" s="27" t="n">
        <f aca="false">IF('Indicator Data'!F10="",IF(Config!$C$15="Score as High (5)",5,0),IF(Indicators!$F10="Higher = riskier",1+('Indicator Data'!F10&gt;=Indicators!$G10)+('Indicator Data'!F10&gt;=Indicators!$H10)+('Indicator Data'!F10&gt;=Indicators!$I10)+('Indicator Data'!F10&gt;=Indicators!$J10),1+('Indicator Data'!F10&lt;=Indicators!$G10)+('Indicator Data'!F10&lt;=Indicators!$H10)+('Indicator Data'!F10&lt;=Indicators!$I10)+('Indicator Data'!F10&lt;=Indicators!$J10)))</f>
        <v>2</v>
      </c>
      <c r="G10" s="27" t="n">
        <f aca="false">IF('Indicator Data'!G10="",IF(Config!$C$15="Score as High (5)",5,0),IF(Indicators!$F10="Higher = riskier",1+('Indicator Data'!G10&gt;=Indicators!$G10)+('Indicator Data'!G10&gt;=Indicators!$H10)+('Indicator Data'!G10&gt;=Indicators!$I10)+('Indicator Data'!G10&gt;=Indicators!$J10),1+('Indicator Data'!G10&lt;=Indicators!$G10)+('Indicator Data'!G10&lt;=Indicators!$H10)+('Indicator Data'!G10&lt;=Indicators!$I10)+('Indicator Data'!G10&lt;=Indicators!$J10)))</f>
        <v>2</v>
      </c>
      <c r="H10" s="27" t="n">
        <f aca="false">IF('Indicator Data'!H10="",IF(Config!$C$15="Score as High (5)",5,0),IF(Indicators!$F10="Higher = riskier",1+('Indicator Data'!H10&gt;=Indicators!$G10)+('Indicator Data'!H10&gt;=Indicators!$H10)+('Indicator Data'!H10&gt;=Indicators!$I10)+('Indicator Data'!H10&gt;=Indicators!$J10),1+('Indicator Data'!H10&lt;=Indicators!$G10)+('Indicator Data'!H10&lt;=Indicators!$H10)+('Indicator Data'!H10&lt;=Indicators!$I10)+('Indicator Data'!H10&lt;=Indicators!$J10)))</f>
        <v>4</v>
      </c>
      <c r="I10" s="27" t="n">
        <f aca="false">IF('Indicator Data'!I10="",IF(Config!$C$15="Score as High (5)",5,0),IF(Indicators!$F10="Higher = riskier",1+('Indicator Data'!I10&gt;=Indicators!$G10)+('Indicator Data'!I10&gt;=Indicators!$H10)+('Indicator Data'!I10&gt;=Indicators!$I10)+('Indicator Data'!I10&gt;=Indicators!$J10),1+('Indicator Data'!I10&lt;=Indicators!$G10)+('Indicator Data'!I10&lt;=Indicators!$H10)+('Indicator Data'!I10&lt;=Indicators!$I10)+('Indicator Data'!I10&lt;=Indicators!$J10)))</f>
        <v>3</v>
      </c>
      <c r="J10" s="27" t="n">
        <f aca="false">IF('Indicator Data'!J10="",IF(Config!$C$15="Score as High (5)",5,0),IF(Indicators!$F10="Higher = riskier",1+('Indicator Data'!J10&gt;=Indicators!$G10)+('Indicator Data'!J10&gt;=Indicators!$H10)+('Indicator Data'!J10&gt;=Indicators!$I10)+('Indicator Data'!J10&gt;=Indicators!$J10),1+('Indicator Data'!J10&lt;=Indicators!$G10)+('Indicator Data'!J10&lt;=Indicators!$H10)+('Indicator Data'!J10&lt;=Indicators!$I10)+('Indicator Data'!J10&lt;=Indicators!$J10)))</f>
        <v>5</v>
      </c>
      <c r="K10" s="27" t="n">
        <f aca="false">IF('Indicator Data'!K10="",IF(Config!$C$15="Score as High (5)",5,0),IF(Indicators!$F10="Higher = riskier",1+('Indicator Data'!K10&gt;=Indicators!$G10)+('Indicator Data'!K10&gt;=Indicators!$H10)+('Indicator Data'!K10&gt;=Indicators!$I10)+('Indicator Data'!K10&gt;=Indicators!$J10),1+('Indicator Data'!K10&lt;=Indicators!$G10)+('Indicator Data'!K10&lt;=Indicators!$H10)+('Indicator Data'!K10&lt;=Indicators!$I10)+('Indicator Data'!K10&lt;=Indicators!$J10)))</f>
        <v>4</v>
      </c>
      <c r="L10" s="27" t="n">
        <f aca="false">IF('Indicator Data'!L10="",IF(Config!$C$15="Score as High (5)",5,0),IF(Indicators!$F10="Higher = riskier",1+('Indicator Data'!L10&gt;=Indicators!$G10)+('Indicator Data'!L10&gt;=Indicators!$H10)+('Indicator Data'!L10&gt;=Indicators!$I10)+('Indicator Data'!L10&gt;=Indicators!$J10),1+('Indicator Data'!L10&lt;=Indicators!$G10)+('Indicator Data'!L10&lt;=Indicators!$H10)+('Indicator Data'!L10&lt;=Indicators!$I10)+('Indicator Data'!L10&lt;=Indicators!$J10)))</f>
        <v>4</v>
      </c>
      <c r="M10" s="27" t="n">
        <f aca="false">IF('Indicator Data'!M10="",IF(Config!$C$15="Score as High (5)",5,0),IF(Indicators!$F10="Higher = riskier",1+('Indicator Data'!M10&gt;=Indicators!$G10)+('Indicator Data'!M10&gt;=Indicators!$H10)+('Indicator Data'!M10&gt;=Indicators!$I10)+('Indicator Data'!M10&gt;=Indicators!$J10),1+('Indicator Data'!M10&lt;=Indicators!$G10)+('Indicator Data'!M10&lt;=Indicators!$H10)+('Indicator Data'!M10&lt;=Indicators!$I10)+('Indicator Data'!M10&lt;=Indicators!$J10)))</f>
        <v>3</v>
      </c>
      <c r="N10" s="27" t="n">
        <f aca="false">IF('Indicator Data'!N10="",IF(Config!$C$15="Score as High (5)",5,0),IF(Indicators!$F10="Higher = riskier",1+('Indicator Data'!N10&gt;=Indicators!$G10)+('Indicator Data'!N10&gt;=Indicators!$H10)+('Indicator Data'!N10&gt;=Indicators!$I10)+('Indicator Data'!N10&gt;=Indicators!$J10),1+('Indicator Data'!N10&lt;=Indicators!$G10)+('Indicator Data'!N10&lt;=Indicators!$H10)+('Indicator Data'!N10&lt;=Indicators!$I10)+('Indicator Data'!N10&lt;=Indicators!$J10)))</f>
        <v>3</v>
      </c>
      <c r="O10" s="27" t="n">
        <f aca="false">IF('Indicator Data'!O10="",IF(Config!$C$15="Score as High (5)",5,0),IF(Indicators!$F10="Higher = riskier",1+('Indicator Data'!O10&gt;=Indicators!$G10)+('Indicator Data'!O10&gt;=Indicators!$H10)+('Indicator Data'!O10&gt;=Indicators!$I10)+('Indicator Data'!O10&gt;=Indicators!$J10),1+('Indicator Data'!O10&lt;=Indicators!$G10)+('Indicator Data'!O10&lt;=Indicators!$H10)+('Indicator Data'!O10&lt;=Indicators!$I10)+('Indicator Data'!O10&lt;=Indicators!$J10)))</f>
        <v>4</v>
      </c>
      <c r="P10" s="27" t="n">
        <f aca="false">IF('Indicator Data'!P10="",IF(Config!$C$15="Score as High (5)",5,0),IF(Indicators!$F10="Higher = riskier",1+('Indicator Data'!P10&gt;=Indicators!$G10)+('Indicator Data'!P10&gt;=Indicators!$H10)+('Indicator Data'!P10&gt;=Indicators!$I10)+('Indicator Data'!P10&gt;=Indicators!$J10),1+('Indicator Data'!P10&lt;=Indicators!$G10)+('Indicator Data'!P10&lt;=Indicators!$H10)+('Indicator Data'!P10&lt;=Indicators!$I10)+('Indicator Data'!P10&lt;=Indicators!$J10)))</f>
        <v>3</v>
      </c>
      <c r="Q10" s="27" t="n">
        <f aca="false">IF('Indicator Data'!Q10="",IF(Config!$C$15="Score as High (5)",5,0),IF(Indicators!$F10="Higher = riskier",1+('Indicator Data'!Q10&gt;=Indicators!$G10)+('Indicator Data'!Q10&gt;=Indicators!$H10)+('Indicator Data'!Q10&gt;=Indicators!$I10)+('Indicator Data'!Q10&gt;=Indicators!$J10),1+('Indicator Data'!Q10&lt;=Indicators!$G10)+('Indicator Data'!Q10&lt;=Indicators!$H10)+('Indicator Data'!Q10&lt;=Indicators!$I10)+('Indicator Data'!Q10&lt;=Indicators!$J10)))</f>
        <v>4</v>
      </c>
      <c r="R10" s="27" t="n">
        <f aca="false">IF('Indicator Data'!R10="",IF(Config!$C$15="Score as High (5)",5,0),IF(Indicators!$F10="Higher = riskier",1+('Indicator Data'!R10&gt;=Indicators!$G10)+('Indicator Data'!R10&gt;=Indicators!$H10)+('Indicator Data'!R10&gt;=Indicators!$I10)+('Indicator Data'!R10&gt;=Indicators!$J10),1+('Indicator Data'!R10&lt;=Indicators!$G10)+('Indicator Data'!R10&lt;=Indicators!$H10)+('Indicator Data'!R10&lt;=Indicators!$I10)+('Indicator Data'!R10&lt;=Indicators!$J10)))</f>
        <v>3</v>
      </c>
      <c r="S10" s="27" t="n">
        <f aca="false">IF('Indicator Data'!S10="",IF(Config!$C$15="Score as High (5)",5,0),IF(Indicators!$F10="Higher = riskier",1+('Indicator Data'!S10&gt;=Indicators!$G10)+('Indicator Data'!S10&gt;=Indicators!$H10)+('Indicator Data'!S10&gt;=Indicators!$I10)+('Indicator Data'!S10&gt;=Indicators!$J10),1+('Indicator Data'!S10&lt;=Indicators!$G10)+('Indicator Data'!S10&lt;=Indicators!$H10)+('Indicator Data'!S10&lt;=Indicators!$I10)+('Indicator Data'!S10&lt;=Indicators!$J10)))</f>
        <v>5</v>
      </c>
      <c r="T10" s="27" t="n">
        <f aca="false">IF('Indicator Data'!T10="",IF(Config!$C$15="Score as High (5)",5,0),IF(Indicators!$F10="Higher = riskier",1+('Indicator Data'!T10&gt;=Indicators!$G10)+('Indicator Data'!T10&gt;=Indicators!$H10)+('Indicator Data'!T10&gt;=Indicators!$I10)+('Indicator Data'!T10&gt;=Indicators!$J10),1+('Indicator Data'!T10&lt;=Indicators!$G10)+('Indicator Data'!T10&lt;=Indicators!$H10)+('Indicator Data'!T10&lt;=Indicators!$I10)+('Indicator Data'!T10&lt;=Indicators!$J10)))</f>
        <v>4</v>
      </c>
      <c r="U10" s="27" t="n">
        <f aca="false">IF('Indicator Data'!U10="",IF(Config!$C$15="Score as High (5)",5,0),IF(Indicators!$F10="Higher = riskier",1+('Indicator Data'!U10&gt;=Indicators!$G10)+('Indicator Data'!U10&gt;=Indicators!$H10)+('Indicator Data'!U10&gt;=Indicators!$I10)+('Indicator Data'!U10&gt;=Indicators!$J10),1+('Indicator Data'!U10&lt;=Indicators!$G10)+('Indicator Data'!U10&lt;=Indicators!$H10)+('Indicator Data'!U10&lt;=Indicators!$I10)+('Indicator Data'!U10&lt;=Indicators!$J10)))</f>
        <v>2</v>
      </c>
      <c r="V10" s="27" t="n">
        <f aca="false">IF('Indicator Data'!V10="",IF(Config!$C$15="Score as High (5)",5,0),IF(Indicators!$F10="Higher = riskier",1+('Indicator Data'!V10&gt;=Indicators!$G10)+('Indicator Data'!V10&gt;=Indicators!$H10)+('Indicator Data'!V10&gt;=Indicators!$I10)+('Indicator Data'!V10&gt;=Indicators!$J10),1+('Indicator Data'!V10&lt;=Indicators!$G10)+('Indicator Data'!V10&lt;=Indicators!$H10)+('Indicator Data'!V10&lt;=Indicators!$I10)+('Indicator Data'!V10&lt;=Indicators!$J10)))</f>
        <v>2</v>
      </c>
      <c r="W10" s="27" t="n">
        <f aca="false">IF('Indicator Data'!W10="",IF(Config!$C$15="Score as High (5)",5,0),IF(Indicators!$F10="Higher = riskier",1+('Indicator Data'!W10&gt;=Indicators!$G10)+('Indicator Data'!W10&gt;=Indicators!$H10)+('Indicator Data'!W10&gt;=Indicators!$I10)+('Indicator Data'!W10&gt;=Indicators!$J10),1+('Indicator Data'!W10&lt;=Indicators!$G10)+('Indicator Data'!W10&lt;=Indicators!$H10)+('Indicator Data'!W10&lt;=Indicators!$I10)+('Indicator Data'!W10&lt;=Indicators!$J10)))</f>
        <v>3</v>
      </c>
      <c r="X10" s="27" t="n">
        <f aca="false">IF('Indicator Data'!X10="",IF(Config!$C$15="Score as High (5)",5,0),IF(Indicators!$F10="Higher = riskier",1+('Indicator Data'!X10&gt;=Indicators!$G10)+('Indicator Data'!X10&gt;=Indicators!$H10)+('Indicator Data'!X10&gt;=Indicators!$I10)+('Indicator Data'!X10&gt;=Indicators!$J10),1+('Indicator Data'!X10&lt;=Indicators!$G10)+('Indicator Data'!X10&lt;=Indicators!$H10)+('Indicator Data'!X10&lt;=Indicators!$I10)+('Indicator Data'!X10&lt;=Indicators!$J10)))</f>
        <v>4</v>
      </c>
      <c r="Y10" s="27" t="n">
        <f aca="false">IF('Indicator Data'!Y10="",IF(Config!$C$15="Score as High (5)",5,0),IF(Indicators!$F10="Higher = riskier",1+('Indicator Data'!Y10&gt;=Indicators!$G10)+('Indicator Data'!Y10&gt;=Indicators!$H10)+('Indicator Data'!Y10&gt;=Indicators!$I10)+('Indicator Data'!Y10&gt;=Indicators!$J10),1+('Indicator Data'!Y10&lt;=Indicators!$G10)+('Indicator Data'!Y10&lt;=Indicators!$H10)+('Indicator Data'!Y10&lt;=Indicators!$I10)+('Indicator Data'!Y10&lt;=Indicators!$J10)))</f>
        <v>3</v>
      </c>
      <c r="Z10" s="27" t="n">
        <f aca="false">IF('Indicator Data'!Z10="",IF(Config!$C$15="Score as High (5)",5,0),IF(Indicators!$F10="Higher = riskier",1+('Indicator Data'!Z10&gt;=Indicators!$G10)+('Indicator Data'!Z10&gt;=Indicators!$H10)+('Indicator Data'!Z10&gt;=Indicators!$I10)+('Indicator Data'!Z10&gt;=Indicators!$J10),1+('Indicator Data'!Z10&lt;=Indicators!$G10)+('Indicator Data'!Z10&lt;=Indicators!$H10)+('Indicator Data'!Z10&lt;=Indicators!$I10)+('Indicator Data'!Z10&lt;=Indicators!$J10)))</f>
        <v>2</v>
      </c>
      <c r="AA10" s="27" t="n">
        <f aca="false">IF('Indicator Data'!AA10="",IF(Config!$C$15="Score as High (5)",5,0),IF(Indicators!$F10="Higher = riskier",1+('Indicator Data'!AA10&gt;=Indicators!$G10)+('Indicator Data'!AA10&gt;=Indicators!$H10)+('Indicator Data'!AA10&gt;=Indicators!$I10)+('Indicator Data'!AA10&gt;=Indicators!$J10),1+('Indicator Data'!AA10&lt;=Indicators!$G10)+('Indicator Data'!AA10&lt;=Indicators!$H10)+('Indicator Data'!AA10&lt;=Indicators!$I10)+('Indicator Data'!AA10&lt;=Indicators!$J10)))</f>
        <v>2</v>
      </c>
      <c r="AB10" s="27" t="n">
        <f aca="false">IF('Indicator Data'!AB10="",IF(Config!$C$15="Score as High (5)",5,0),IF(Indicators!$F10="Higher = riskier",1+('Indicator Data'!AB10&gt;=Indicators!$G10)+('Indicator Data'!AB10&gt;=Indicators!$H10)+('Indicator Data'!AB10&gt;=Indicators!$I10)+('Indicator Data'!AB10&gt;=Indicators!$J10),1+('Indicator Data'!AB10&lt;=Indicators!$G10)+('Indicator Data'!AB10&lt;=Indicators!$H10)+('Indicator Data'!AB10&lt;=Indicators!$I10)+('Indicator Data'!AB10&lt;=Indicators!$J10)))</f>
        <v>2</v>
      </c>
      <c r="AC10" s="27" t="n">
        <f aca="false">IF('Indicator Data'!AC10="",IF(Config!$C$15="Score as High (5)",5,0),IF(Indicators!$F10="Higher = riskier",1+('Indicator Data'!AC10&gt;=Indicators!$G10)+('Indicator Data'!AC10&gt;=Indicators!$H10)+('Indicator Data'!AC10&gt;=Indicators!$I10)+('Indicator Data'!AC10&gt;=Indicators!$J10),1+('Indicator Data'!AC10&lt;=Indicators!$G10)+('Indicator Data'!AC10&lt;=Indicators!$H10)+('Indicator Data'!AC10&lt;=Indicators!$I10)+('Indicator Data'!AC10&lt;=Indicators!$J10)))</f>
        <v>1</v>
      </c>
      <c r="AD10" s="27" t="n">
        <f aca="false">IF('Indicator Data'!AD10="",IF(Config!$C$15="Score as High (5)",5,0),IF(Indicators!$F10="Higher = riskier",1+('Indicator Data'!AD10&gt;=Indicators!$G10)+('Indicator Data'!AD10&gt;=Indicators!$H10)+('Indicator Data'!AD10&gt;=Indicators!$I10)+('Indicator Data'!AD10&gt;=Indicators!$J10),1+('Indicator Data'!AD10&lt;=Indicators!$G10)+('Indicator Data'!AD10&lt;=Indicators!$H10)+('Indicator Data'!AD10&lt;=Indicators!$I10)+('Indicator Data'!AD10&lt;=Indicators!$J10)))</f>
        <v>1</v>
      </c>
      <c r="AE10" s="27" t="n">
        <f aca="false">IF('Indicator Data'!AE10="",IF(Config!$C$15="Score as High (5)",5,0),IF(Indicators!$F10="Higher = riskier",1+('Indicator Data'!AE10&gt;=Indicators!$G10)+('Indicator Data'!AE10&gt;=Indicators!$H10)+('Indicator Data'!AE10&gt;=Indicators!$I10)+('Indicator Data'!AE10&gt;=Indicators!$J10),1+('Indicator Data'!AE10&lt;=Indicators!$G10)+('Indicator Data'!AE10&lt;=Indicators!$H10)+('Indicator Data'!AE10&lt;=Indicators!$I10)+('Indicator Data'!AE10&lt;=Indicators!$J10)))</f>
        <v>2</v>
      </c>
      <c r="AF10" s="27" t="n">
        <f aca="false">IF('Indicator Data'!AF10="",IF(Config!$C$15="Score as High (5)",5,0),IF(Indicators!$F10="Higher = riskier",1+('Indicator Data'!AF10&gt;=Indicators!$G10)+('Indicator Data'!AF10&gt;=Indicators!$H10)+('Indicator Data'!AF10&gt;=Indicators!$I10)+('Indicator Data'!AF10&gt;=Indicators!$J10),1+('Indicator Data'!AF10&lt;=Indicators!$G10)+('Indicator Data'!AF10&lt;=Indicators!$H10)+('Indicator Data'!AF10&lt;=Indicators!$I10)+('Indicator Data'!AF10&lt;=Indicators!$J10)))</f>
        <v>3</v>
      </c>
      <c r="AG10" s="27" t="n">
        <f aca="false">IF('Indicator Data'!AG10="",IF(Config!$C$15="Score as High (5)",5,0),IF(Indicators!$F10="Higher = riskier",1+('Indicator Data'!AG10&gt;=Indicators!$G10)+('Indicator Data'!AG10&gt;=Indicators!$H10)+('Indicator Data'!AG10&gt;=Indicators!$I10)+('Indicator Data'!AG10&gt;=Indicators!$J10),1+('Indicator Data'!AG10&lt;=Indicators!$G10)+('Indicator Data'!AG10&lt;=Indicators!$H10)+('Indicator Data'!AG10&lt;=Indicators!$I10)+('Indicator Data'!AG10&lt;=Indicators!$J10)))</f>
        <v>1</v>
      </c>
    </row>
    <row r="11" customFormat="false" ht="15" hidden="false" customHeight="false" outlineLevel="0" collapsed="false">
      <c r="A11" s="26" t="str">
        <f aca="false">Indicators!A11</f>
        <v>C07</v>
      </c>
      <c r="B11" s="26" t="str">
        <f aca="false">Indicators!C11</f>
        <v>% customers that are government bodies or SOEs</v>
      </c>
      <c r="C11" s="26" t="str">
        <f aca="false">Indicators!D11</f>
        <v>%</v>
      </c>
      <c r="D11" s="27" t="n">
        <f aca="false">IF('Indicator Data'!D11="",IF(Config!$C$15="Score as High (5)",5,0),IF(Indicators!$F11="Higher = riskier",1+('Indicator Data'!D11&gt;=Indicators!$G11)+('Indicator Data'!D11&gt;=Indicators!$H11)+('Indicator Data'!D11&gt;=Indicators!$I11)+('Indicator Data'!D11&gt;=Indicators!$J11),1+('Indicator Data'!D11&lt;=Indicators!$G11)+('Indicator Data'!D11&lt;=Indicators!$H11)+('Indicator Data'!D11&lt;=Indicators!$I11)+('Indicator Data'!D11&lt;=Indicators!$J11)))</f>
        <v>3</v>
      </c>
      <c r="E11" s="27" t="n">
        <f aca="false">IF('Indicator Data'!E11="",IF(Config!$C$15="Score as High (5)",5,0),IF(Indicators!$F11="Higher = riskier",1+('Indicator Data'!E11&gt;=Indicators!$G11)+('Indicator Data'!E11&gt;=Indicators!$H11)+('Indicator Data'!E11&gt;=Indicators!$I11)+('Indicator Data'!E11&gt;=Indicators!$J11),1+('Indicator Data'!E11&lt;=Indicators!$G11)+('Indicator Data'!E11&lt;=Indicators!$H11)+('Indicator Data'!E11&lt;=Indicators!$I11)+('Indicator Data'!E11&lt;=Indicators!$J11)))</f>
        <v>3</v>
      </c>
      <c r="F11" s="27" t="n">
        <f aca="false">IF('Indicator Data'!F11="",IF(Config!$C$15="Score as High (5)",5,0),IF(Indicators!$F11="Higher = riskier",1+('Indicator Data'!F11&gt;=Indicators!$G11)+('Indicator Data'!F11&gt;=Indicators!$H11)+('Indicator Data'!F11&gt;=Indicators!$I11)+('Indicator Data'!F11&gt;=Indicators!$J11),1+('Indicator Data'!F11&lt;=Indicators!$G11)+('Indicator Data'!F11&lt;=Indicators!$H11)+('Indicator Data'!F11&lt;=Indicators!$I11)+('Indicator Data'!F11&lt;=Indicators!$J11)))</f>
        <v>2</v>
      </c>
      <c r="G11" s="27" t="n">
        <f aca="false">IF('Indicator Data'!G11="",IF(Config!$C$15="Score as High (5)",5,0),IF(Indicators!$F11="Higher = riskier",1+('Indicator Data'!G11&gt;=Indicators!$G11)+('Indicator Data'!G11&gt;=Indicators!$H11)+('Indicator Data'!G11&gt;=Indicators!$I11)+('Indicator Data'!G11&gt;=Indicators!$J11),1+('Indicator Data'!G11&lt;=Indicators!$G11)+('Indicator Data'!G11&lt;=Indicators!$H11)+('Indicator Data'!G11&lt;=Indicators!$I11)+('Indicator Data'!G11&lt;=Indicators!$J11)))</f>
        <v>2</v>
      </c>
      <c r="H11" s="27" t="n">
        <f aca="false">IF('Indicator Data'!H11="",IF(Config!$C$15="Score as High (5)",5,0),IF(Indicators!$F11="Higher = riskier",1+('Indicator Data'!H11&gt;=Indicators!$G11)+('Indicator Data'!H11&gt;=Indicators!$H11)+('Indicator Data'!H11&gt;=Indicators!$I11)+('Indicator Data'!H11&gt;=Indicators!$J11),1+('Indicator Data'!H11&lt;=Indicators!$G11)+('Indicator Data'!H11&lt;=Indicators!$H11)+('Indicator Data'!H11&lt;=Indicators!$I11)+('Indicator Data'!H11&lt;=Indicators!$J11)))</f>
        <v>2</v>
      </c>
      <c r="I11" s="27" t="n">
        <f aca="false">IF('Indicator Data'!I11="",IF(Config!$C$15="Score as High (5)",5,0),IF(Indicators!$F11="Higher = riskier",1+('Indicator Data'!I11&gt;=Indicators!$G11)+('Indicator Data'!I11&gt;=Indicators!$H11)+('Indicator Data'!I11&gt;=Indicators!$I11)+('Indicator Data'!I11&gt;=Indicators!$J11),1+('Indicator Data'!I11&lt;=Indicators!$G11)+('Indicator Data'!I11&lt;=Indicators!$H11)+('Indicator Data'!I11&lt;=Indicators!$I11)+('Indicator Data'!I11&lt;=Indicators!$J11)))</f>
        <v>4</v>
      </c>
      <c r="J11" s="27" t="n">
        <f aca="false">IF('Indicator Data'!J11="",IF(Config!$C$15="Score as High (5)",5,0),IF(Indicators!$F11="Higher = riskier",1+('Indicator Data'!J11&gt;=Indicators!$G11)+('Indicator Data'!J11&gt;=Indicators!$H11)+('Indicator Data'!J11&gt;=Indicators!$I11)+('Indicator Data'!J11&gt;=Indicators!$J11),1+('Indicator Data'!J11&lt;=Indicators!$G11)+('Indicator Data'!J11&lt;=Indicators!$H11)+('Indicator Data'!J11&lt;=Indicators!$I11)+('Indicator Data'!J11&lt;=Indicators!$J11)))</f>
        <v>3</v>
      </c>
      <c r="K11" s="27" t="n">
        <f aca="false">IF('Indicator Data'!K11="",IF(Config!$C$15="Score as High (5)",5,0),IF(Indicators!$F11="Higher = riskier",1+('Indicator Data'!K11&gt;=Indicators!$G11)+('Indicator Data'!K11&gt;=Indicators!$H11)+('Indicator Data'!K11&gt;=Indicators!$I11)+('Indicator Data'!K11&gt;=Indicators!$J11),1+('Indicator Data'!K11&lt;=Indicators!$G11)+('Indicator Data'!K11&lt;=Indicators!$H11)+('Indicator Data'!K11&lt;=Indicators!$I11)+('Indicator Data'!K11&lt;=Indicators!$J11)))</f>
        <v>4</v>
      </c>
      <c r="L11" s="27" t="n">
        <f aca="false">IF('Indicator Data'!L11="",IF(Config!$C$15="Score as High (5)",5,0),IF(Indicators!$F11="Higher = riskier",1+('Indicator Data'!L11&gt;=Indicators!$G11)+('Indicator Data'!L11&gt;=Indicators!$H11)+('Indicator Data'!L11&gt;=Indicators!$I11)+('Indicator Data'!L11&gt;=Indicators!$J11),1+('Indicator Data'!L11&lt;=Indicators!$G11)+('Indicator Data'!L11&lt;=Indicators!$H11)+('Indicator Data'!L11&lt;=Indicators!$I11)+('Indicator Data'!L11&lt;=Indicators!$J11)))</f>
        <v>3</v>
      </c>
      <c r="M11" s="27" t="n">
        <f aca="false">IF('Indicator Data'!M11="",IF(Config!$C$15="Score as High (5)",5,0),IF(Indicators!$F11="Higher = riskier",1+('Indicator Data'!M11&gt;=Indicators!$G11)+('Indicator Data'!M11&gt;=Indicators!$H11)+('Indicator Data'!M11&gt;=Indicators!$I11)+('Indicator Data'!M11&gt;=Indicators!$J11),1+('Indicator Data'!M11&lt;=Indicators!$G11)+('Indicator Data'!M11&lt;=Indicators!$H11)+('Indicator Data'!M11&lt;=Indicators!$I11)+('Indicator Data'!M11&lt;=Indicators!$J11)))</f>
        <v>4</v>
      </c>
      <c r="N11" s="27" t="n">
        <f aca="false">IF('Indicator Data'!N11="",IF(Config!$C$15="Score as High (5)",5,0),IF(Indicators!$F11="Higher = riskier",1+('Indicator Data'!N11&gt;=Indicators!$G11)+('Indicator Data'!N11&gt;=Indicators!$H11)+('Indicator Data'!N11&gt;=Indicators!$I11)+('Indicator Data'!N11&gt;=Indicators!$J11),1+('Indicator Data'!N11&lt;=Indicators!$G11)+('Indicator Data'!N11&lt;=Indicators!$H11)+('Indicator Data'!N11&lt;=Indicators!$I11)+('Indicator Data'!N11&lt;=Indicators!$J11)))</f>
        <v>3</v>
      </c>
      <c r="O11" s="27" t="n">
        <f aca="false">IF('Indicator Data'!O11="",IF(Config!$C$15="Score as High (5)",5,0),IF(Indicators!$F11="Higher = riskier",1+('Indicator Data'!O11&gt;=Indicators!$G11)+('Indicator Data'!O11&gt;=Indicators!$H11)+('Indicator Data'!O11&gt;=Indicators!$I11)+('Indicator Data'!O11&gt;=Indicators!$J11),1+('Indicator Data'!O11&lt;=Indicators!$G11)+('Indicator Data'!O11&lt;=Indicators!$H11)+('Indicator Data'!O11&lt;=Indicators!$I11)+('Indicator Data'!O11&lt;=Indicators!$J11)))</f>
        <v>3</v>
      </c>
      <c r="P11" s="27" t="n">
        <f aca="false">IF('Indicator Data'!P11="",IF(Config!$C$15="Score as High (5)",5,0),IF(Indicators!$F11="Higher = riskier",1+('Indicator Data'!P11&gt;=Indicators!$G11)+('Indicator Data'!P11&gt;=Indicators!$H11)+('Indicator Data'!P11&gt;=Indicators!$I11)+('Indicator Data'!P11&gt;=Indicators!$J11),1+('Indicator Data'!P11&lt;=Indicators!$G11)+('Indicator Data'!P11&lt;=Indicators!$H11)+('Indicator Data'!P11&lt;=Indicators!$I11)+('Indicator Data'!P11&lt;=Indicators!$J11)))</f>
        <v>3</v>
      </c>
      <c r="Q11" s="27" t="n">
        <f aca="false">IF('Indicator Data'!Q11="",IF(Config!$C$15="Score as High (5)",5,0),IF(Indicators!$F11="Higher = riskier",1+('Indicator Data'!Q11&gt;=Indicators!$G11)+('Indicator Data'!Q11&gt;=Indicators!$H11)+('Indicator Data'!Q11&gt;=Indicators!$I11)+('Indicator Data'!Q11&gt;=Indicators!$J11),1+('Indicator Data'!Q11&lt;=Indicators!$G11)+('Indicator Data'!Q11&lt;=Indicators!$H11)+('Indicator Data'!Q11&lt;=Indicators!$I11)+('Indicator Data'!Q11&lt;=Indicators!$J11)))</f>
        <v>4</v>
      </c>
      <c r="R11" s="27" t="n">
        <f aca="false">IF('Indicator Data'!R11="",IF(Config!$C$15="Score as High (5)",5,0),IF(Indicators!$F11="Higher = riskier",1+('Indicator Data'!R11&gt;=Indicators!$G11)+('Indicator Data'!R11&gt;=Indicators!$H11)+('Indicator Data'!R11&gt;=Indicators!$I11)+('Indicator Data'!R11&gt;=Indicators!$J11),1+('Indicator Data'!R11&lt;=Indicators!$G11)+('Indicator Data'!R11&lt;=Indicators!$H11)+('Indicator Data'!R11&lt;=Indicators!$I11)+('Indicator Data'!R11&lt;=Indicators!$J11)))</f>
        <v>5</v>
      </c>
      <c r="S11" s="27" t="n">
        <f aca="false">IF('Indicator Data'!S11="",IF(Config!$C$15="Score as High (5)",5,0),IF(Indicators!$F11="Higher = riskier",1+('Indicator Data'!S11&gt;=Indicators!$G11)+('Indicator Data'!S11&gt;=Indicators!$H11)+('Indicator Data'!S11&gt;=Indicators!$I11)+('Indicator Data'!S11&gt;=Indicators!$J11),1+('Indicator Data'!S11&lt;=Indicators!$G11)+('Indicator Data'!S11&lt;=Indicators!$H11)+('Indicator Data'!S11&lt;=Indicators!$I11)+('Indicator Data'!S11&lt;=Indicators!$J11)))</f>
        <v>4</v>
      </c>
      <c r="T11" s="27" t="n">
        <f aca="false">IF('Indicator Data'!T11="",IF(Config!$C$15="Score as High (5)",5,0),IF(Indicators!$F11="Higher = riskier",1+('Indicator Data'!T11&gt;=Indicators!$G11)+('Indicator Data'!T11&gt;=Indicators!$H11)+('Indicator Data'!T11&gt;=Indicators!$I11)+('Indicator Data'!T11&gt;=Indicators!$J11),1+('Indicator Data'!T11&lt;=Indicators!$G11)+('Indicator Data'!T11&lt;=Indicators!$H11)+('Indicator Data'!T11&lt;=Indicators!$I11)+('Indicator Data'!T11&lt;=Indicators!$J11)))</f>
        <v>2</v>
      </c>
      <c r="U11" s="27" t="n">
        <f aca="false">IF('Indicator Data'!U11="",IF(Config!$C$15="Score as High (5)",5,0),IF(Indicators!$F11="Higher = riskier",1+('Indicator Data'!U11&gt;=Indicators!$G11)+('Indicator Data'!U11&gt;=Indicators!$H11)+('Indicator Data'!U11&gt;=Indicators!$I11)+('Indicator Data'!U11&gt;=Indicators!$J11),1+('Indicator Data'!U11&lt;=Indicators!$G11)+('Indicator Data'!U11&lt;=Indicators!$H11)+('Indicator Data'!U11&lt;=Indicators!$I11)+('Indicator Data'!U11&lt;=Indicators!$J11)))</f>
        <v>4</v>
      </c>
      <c r="V11" s="27" t="n">
        <f aca="false">IF('Indicator Data'!V11="",IF(Config!$C$15="Score as High (5)",5,0),IF(Indicators!$F11="Higher = riskier",1+('Indicator Data'!V11&gt;=Indicators!$G11)+('Indicator Data'!V11&gt;=Indicators!$H11)+('Indicator Data'!V11&gt;=Indicators!$I11)+('Indicator Data'!V11&gt;=Indicators!$J11),1+('Indicator Data'!V11&lt;=Indicators!$G11)+('Indicator Data'!V11&lt;=Indicators!$H11)+('Indicator Data'!V11&lt;=Indicators!$I11)+('Indicator Data'!V11&lt;=Indicators!$J11)))</f>
        <v>4</v>
      </c>
      <c r="W11" s="27" t="n">
        <f aca="false">IF('Indicator Data'!W11="",IF(Config!$C$15="Score as High (5)",5,0),IF(Indicators!$F11="Higher = riskier",1+('Indicator Data'!W11&gt;=Indicators!$G11)+('Indicator Data'!W11&gt;=Indicators!$H11)+('Indicator Data'!W11&gt;=Indicators!$I11)+('Indicator Data'!W11&gt;=Indicators!$J11),1+('Indicator Data'!W11&lt;=Indicators!$G11)+('Indicator Data'!W11&lt;=Indicators!$H11)+('Indicator Data'!W11&lt;=Indicators!$I11)+('Indicator Data'!W11&lt;=Indicators!$J11)))</f>
        <v>2</v>
      </c>
      <c r="X11" s="27" t="n">
        <f aca="false">IF('Indicator Data'!X11="",IF(Config!$C$15="Score as High (5)",5,0),IF(Indicators!$F11="Higher = riskier",1+('Indicator Data'!X11&gt;=Indicators!$G11)+('Indicator Data'!X11&gt;=Indicators!$H11)+('Indicator Data'!X11&gt;=Indicators!$I11)+('Indicator Data'!X11&gt;=Indicators!$J11),1+('Indicator Data'!X11&lt;=Indicators!$G11)+('Indicator Data'!X11&lt;=Indicators!$H11)+('Indicator Data'!X11&lt;=Indicators!$I11)+('Indicator Data'!X11&lt;=Indicators!$J11)))</f>
        <v>5</v>
      </c>
      <c r="Y11" s="27" t="n">
        <f aca="false">IF('Indicator Data'!Y11="",IF(Config!$C$15="Score as High (5)",5,0),IF(Indicators!$F11="Higher = riskier",1+('Indicator Data'!Y11&gt;=Indicators!$G11)+('Indicator Data'!Y11&gt;=Indicators!$H11)+('Indicator Data'!Y11&gt;=Indicators!$I11)+('Indicator Data'!Y11&gt;=Indicators!$J11),1+('Indicator Data'!Y11&lt;=Indicators!$G11)+('Indicator Data'!Y11&lt;=Indicators!$H11)+('Indicator Data'!Y11&lt;=Indicators!$I11)+('Indicator Data'!Y11&lt;=Indicators!$J11)))</f>
        <v>1</v>
      </c>
      <c r="Z11" s="27" t="n">
        <f aca="false">IF('Indicator Data'!Z11="",IF(Config!$C$15="Score as High (5)",5,0),IF(Indicators!$F11="Higher = riskier",1+('Indicator Data'!Z11&gt;=Indicators!$G11)+('Indicator Data'!Z11&gt;=Indicators!$H11)+('Indicator Data'!Z11&gt;=Indicators!$I11)+('Indicator Data'!Z11&gt;=Indicators!$J11),1+('Indicator Data'!Z11&lt;=Indicators!$G11)+('Indicator Data'!Z11&lt;=Indicators!$H11)+('Indicator Data'!Z11&lt;=Indicators!$I11)+('Indicator Data'!Z11&lt;=Indicators!$J11)))</f>
        <v>3</v>
      </c>
      <c r="AA11" s="27" t="n">
        <f aca="false">IF('Indicator Data'!AA11="",IF(Config!$C$15="Score as High (5)",5,0),IF(Indicators!$F11="Higher = riskier",1+('Indicator Data'!AA11&gt;=Indicators!$G11)+('Indicator Data'!AA11&gt;=Indicators!$H11)+('Indicator Data'!AA11&gt;=Indicators!$I11)+('Indicator Data'!AA11&gt;=Indicators!$J11),1+('Indicator Data'!AA11&lt;=Indicators!$G11)+('Indicator Data'!AA11&lt;=Indicators!$H11)+('Indicator Data'!AA11&lt;=Indicators!$I11)+('Indicator Data'!AA11&lt;=Indicators!$J11)))</f>
        <v>1</v>
      </c>
      <c r="AB11" s="27" t="n">
        <f aca="false">IF('Indicator Data'!AB11="",IF(Config!$C$15="Score as High (5)",5,0),IF(Indicators!$F11="Higher = riskier",1+('Indicator Data'!AB11&gt;=Indicators!$G11)+('Indicator Data'!AB11&gt;=Indicators!$H11)+('Indicator Data'!AB11&gt;=Indicators!$I11)+('Indicator Data'!AB11&gt;=Indicators!$J11),1+('Indicator Data'!AB11&lt;=Indicators!$G11)+('Indicator Data'!AB11&lt;=Indicators!$H11)+('Indicator Data'!AB11&lt;=Indicators!$I11)+('Indicator Data'!AB11&lt;=Indicators!$J11)))</f>
        <v>3</v>
      </c>
      <c r="AC11" s="27" t="n">
        <f aca="false">IF('Indicator Data'!AC11="",IF(Config!$C$15="Score as High (5)",5,0),IF(Indicators!$F11="Higher = riskier",1+('Indicator Data'!AC11&gt;=Indicators!$G11)+('Indicator Data'!AC11&gt;=Indicators!$H11)+('Indicator Data'!AC11&gt;=Indicators!$I11)+('Indicator Data'!AC11&gt;=Indicators!$J11),1+('Indicator Data'!AC11&lt;=Indicators!$G11)+('Indicator Data'!AC11&lt;=Indicators!$H11)+('Indicator Data'!AC11&lt;=Indicators!$I11)+('Indicator Data'!AC11&lt;=Indicators!$J11)))</f>
        <v>3</v>
      </c>
      <c r="AD11" s="27" t="n">
        <f aca="false">IF('Indicator Data'!AD11="",IF(Config!$C$15="Score as High (5)",5,0),IF(Indicators!$F11="Higher = riskier",1+('Indicator Data'!AD11&gt;=Indicators!$G11)+('Indicator Data'!AD11&gt;=Indicators!$H11)+('Indicator Data'!AD11&gt;=Indicators!$I11)+('Indicator Data'!AD11&gt;=Indicators!$J11),1+('Indicator Data'!AD11&lt;=Indicators!$G11)+('Indicator Data'!AD11&lt;=Indicators!$H11)+('Indicator Data'!AD11&lt;=Indicators!$I11)+('Indicator Data'!AD11&lt;=Indicators!$J11)))</f>
        <v>2</v>
      </c>
      <c r="AE11" s="27" t="n">
        <f aca="false">IF('Indicator Data'!AE11="",IF(Config!$C$15="Score as High (5)",5,0),IF(Indicators!$F11="Higher = riskier",1+('Indicator Data'!AE11&gt;=Indicators!$G11)+('Indicator Data'!AE11&gt;=Indicators!$H11)+('Indicator Data'!AE11&gt;=Indicators!$I11)+('Indicator Data'!AE11&gt;=Indicators!$J11),1+('Indicator Data'!AE11&lt;=Indicators!$G11)+('Indicator Data'!AE11&lt;=Indicators!$H11)+('Indicator Data'!AE11&lt;=Indicators!$I11)+('Indicator Data'!AE11&lt;=Indicators!$J11)))</f>
        <v>2</v>
      </c>
      <c r="AF11" s="27" t="n">
        <f aca="false">IF('Indicator Data'!AF11="",IF(Config!$C$15="Score as High (5)",5,0),IF(Indicators!$F11="Higher = riskier",1+('Indicator Data'!AF11&gt;=Indicators!$G11)+('Indicator Data'!AF11&gt;=Indicators!$H11)+('Indicator Data'!AF11&gt;=Indicators!$I11)+('Indicator Data'!AF11&gt;=Indicators!$J11),1+('Indicator Data'!AF11&lt;=Indicators!$G11)+('Indicator Data'!AF11&lt;=Indicators!$H11)+('Indicator Data'!AF11&lt;=Indicators!$I11)+('Indicator Data'!AF11&lt;=Indicators!$J11)))</f>
        <v>1</v>
      </c>
      <c r="AG11" s="27" t="n">
        <f aca="false">IF('Indicator Data'!AG11="",IF(Config!$C$15="Score as High (5)",5,0),IF(Indicators!$F11="Higher = riskier",1+('Indicator Data'!AG11&gt;=Indicators!$G11)+('Indicator Data'!AG11&gt;=Indicators!$H11)+('Indicator Data'!AG11&gt;=Indicators!$I11)+('Indicator Data'!AG11&gt;=Indicators!$J11),1+('Indicator Data'!AG11&lt;=Indicators!$G11)+('Indicator Data'!AG11&lt;=Indicators!$H11)+('Indicator Data'!AG11&lt;=Indicators!$I11)+('Indicator Data'!AG11&lt;=Indicators!$J11)))</f>
        <v>1</v>
      </c>
    </row>
    <row r="12" customFormat="false" ht="15" hidden="false" customHeight="false" outlineLevel="0" collapsed="false">
      <c r="A12" s="26" t="str">
        <f aca="false">Indicators!A12</f>
        <v>G01</v>
      </c>
      <c r="B12" s="26" t="str">
        <f aca="false">Indicators!C12</f>
        <v>% cross-border value with FATF high-risk / increased-monitoring jurisdictions</v>
      </c>
      <c r="C12" s="26" t="str">
        <f aca="false">Indicators!D12</f>
        <v>%</v>
      </c>
      <c r="D12" s="27" t="n">
        <f aca="false">IF('Indicator Data'!D12="",IF(Config!$C$15="Score as High (5)",5,0),IF(Indicators!$F12="Higher = riskier",1+('Indicator Data'!D12&gt;=Indicators!$G12)+('Indicator Data'!D12&gt;=Indicators!$H12)+('Indicator Data'!D12&gt;=Indicators!$I12)+('Indicator Data'!D12&gt;=Indicators!$J12),1+('Indicator Data'!D12&lt;=Indicators!$G12)+('Indicator Data'!D12&lt;=Indicators!$H12)+('Indicator Data'!D12&lt;=Indicators!$I12)+('Indicator Data'!D12&lt;=Indicators!$J12)))</f>
        <v>2</v>
      </c>
      <c r="E12" s="27" t="n">
        <f aca="false">IF('Indicator Data'!E12="",IF(Config!$C$15="Score as High (5)",5,0),IF(Indicators!$F12="Higher = riskier",1+('Indicator Data'!E12&gt;=Indicators!$G12)+('Indicator Data'!E12&gt;=Indicators!$H12)+('Indicator Data'!E12&gt;=Indicators!$I12)+('Indicator Data'!E12&gt;=Indicators!$J12),1+('Indicator Data'!E12&lt;=Indicators!$G12)+('Indicator Data'!E12&lt;=Indicators!$H12)+('Indicator Data'!E12&lt;=Indicators!$I12)+('Indicator Data'!E12&lt;=Indicators!$J12)))</f>
        <v>2</v>
      </c>
      <c r="F12" s="27" t="n">
        <f aca="false">IF('Indicator Data'!F12="",IF(Config!$C$15="Score as High (5)",5,0),IF(Indicators!$F12="Higher = riskier",1+('Indicator Data'!F12&gt;=Indicators!$G12)+('Indicator Data'!F12&gt;=Indicators!$H12)+('Indicator Data'!F12&gt;=Indicators!$I12)+('Indicator Data'!F12&gt;=Indicators!$J12),1+('Indicator Data'!F12&lt;=Indicators!$G12)+('Indicator Data'!F12&lt;=Indicators!$H12)+('Indicator Data'!F12&lt;=Indicators!$I12)+('Indicator Data'!F12&lt;=Indicators!$J12)))</f>
        <v>1</v>
      </c>
      <c r="G12" s="27" t="n">
        <f aca="false">IF('Indicator Data'!G12="",IF(Config!$C$15="Score as High (5)",5,0),IF(Indicators!$F12="Higher = riskier",1+('Indicator Data'!G12&gt;=Indicators!$G12)+('Indicator Data'!G12&gt;=Indicators!$H12)+('Indicator Data'!G12&gt;=Indicators!$I12)+('Indicator Data'!G12&gt;=Indicators!$J12),1+('Indicator Data'!G12&lt;=Indicators!$G12)+('Indicator Data'!G12&lt;=Indicators!$H12)+('Indicator Data'!G12&lt;=Indicators!$I12)+('Indicator Data'!G12&lt;=Indicators!$J12)))</f>
        <v>3</v>
      </c>
      <c r="H12" s="27" t="n">
        <f aca="false">IF('Indicator Data'!H12="",IF(Config!$C$15="Score as High (5)",5,0),IF(Indicators!$F12="Higher = riskier",1+('Indicator Data'!H12&gt;=Indicators!$G12)+('Indicator Data'!H12&gt;=Indicators!$H12)+('Indicator Data'!H12&gt;=Indicators!$I12)+('Indicator Data'!H12&gt;=Indicators!$J12),1+('Indicator Data'!H12&lt;=Indicators!$G12)+('Indicator Data'!H12&lt;=Indicators!$H12)+('Indicator Data'!H12&lt;=Indicators!$I12)+('Indicator Data'!H12&lt;=Indicators!$J12)))</f>
        <v>3</v>
      </c>
      <c r="I12" s="27" t="n">
        <f aca="false">IF('Indicator Data'!I12="",IF(Config!$C$15="Score as High (5)",5,0),IF(Indicators!$F12="Higher = riskier",1+('Indicator Data'!I12&gt;=Indicators!$G12)+('Indicator Data'!I12&gt;=Indicators!$H12)+('Indicator Data'!I12&gt;=Indicators!$I12)+('Indicator Data'!I12&gt;=Indicators!$J12),1+('Indicator Data'!I12&lt;=Indicators!$G12)+('Indicator Data'!I12&lt;=Indicators!$H12)+('Indicator Data'!I12&lt;=Indicators!$I12)+('Indicator Data'!I12&lt;=Indicators!$J12)))</f>
        <v>5</v>
      </c>
      <c r="J12" s="27" t="n">
        <f aca="false">IF('Indicator Data'!J12="",IF(Config!$C$15="Score as High (5)",5,0),IF(Indicators!$F12="Higher = riskier",1+('Indicator Data'!J12&gt;=Indicators!$G12)+('Indicator Data'!J12&gt;=Indicators!$H12)+('Indicator Data'!J12&gt;=Indicators!$I12)+('Indicator Data'!J12&gt;=Indicators!$J12),1+('Indicator Data'!J12&lt;=Indicators!$G12)+('Indicator Data'!J12&lt;=Indicators!$H12)+('Indicator Data'!J12&lt;=Indicators!$I12)+('Indicator Data'!J12&lt;=Indicators!$J12)))</f>
        <v>4</v>
      </c>
      <c r="K12" s="27" t="n">
        <f aca="false">IF('Indicator Data'!K12="",IF(Config!$C$15="Score as High (5)",5,0),IF(Indicators!$F12="Higher = riskier",1+('Indicator Data'!K12&gt;=Indicators!$G12)+('Indicator Data'!K12&gt;=Indicators!$H12)+('Indicator Data'!K12&gt;=Indicators!$I12)+('Indicator Data'!K12&gt;=Indicators!$J12),1+('Indicator Data'!K12&lt;=Indicators!$G12)+('Indicator Data'!K12&lt;=Indicators!$H12)+('Indicator Data'!K12&lt;=Indicators!$I12)+('Indicator Data'!K12&lt;=Indicators!$J12)))</f>
        <v>3</v>
      </c>
      <c r="L12" s="27" t="n">
        <f aca="false">IF('Indicator Data'!L12="",IF(Config!$C$15="Score as High (5)",5,0),IF(Indicators!$F12="Higher = riskier",1+('Indicator Data'!L12&gt;=Indicators!$G12)+('Indicator Data'!L12&gt;=Indicators!$H12)+('Indicator Data'!L12&gt;=Indicators!$I12)+('Indicator Data'!L12&gt;=Indicators!$J12),1+('Indicator Data'!L12&lt;=Indicators!$G12)+('Indicator Data'!L12&lt;=Indicators!$H12)+('Indicator Data'!L12&lt;=Indicators!$I12)+('Indicator Data'!L12&lt;=Indicators!$J12)))</f>
        <v>4</v>
      </c>
      <c r="M12" s="27" t="n">
        <f aca="false">IF('Indicator Data'!M12="",IF(Config!$C$15="Score as High (5)",5,0),IF(Indicators!$F12="Higher = riskier",1+('Indicator Data'!M12&gt;=Indicators!$G12)+('Indicator Data'!M12&gt;=Indicators!$H12)+('Indicator Data'!M12&gt;=Indicators!$I12)+('Indicator Data'!M12&gt;=Indicators!$J12),1+('Indicator Data'!M12&lt;=Indicators!$G12)+('Indicator Data'!M12&lt;=Indicators!$H12)+('Indicator Data'!M12&lt;=Indicators!$I12)+('Indicator Data'!M12&lt;=Indicators!$J12)))</f>
        <v>3</v>
      </c>
      <c r="N12" s="27" t="n">
        <f aca="false">IF('Indicator Data'!N12="",IF(Config!$C$15="Score as High (5)",5,0),IF(Indicators!$F12="Higher = riskier",1+('Indicator Data'!N12&gt;=Indicators!$G12)+('Indicator Data'!N12&gt;=Indicators!$H12)+('Indicator Data'!N12&gt;=Indicators!$I12)+('Indicator Data'!N12&gt;=Indicators!$J12),1+('Indicator Data'!N12&lt;=Indicators!$G12)+('Indicator Data'!N12&lt;=Indicators!$H12)+('Indicator Data'!N12&lt;=Indicators!$I12)+('Indicator Data'!N12&lt;=Indicators!$J12)))</f>
        <v>3</v>
      </c>
      <c r="O12" s="27" t="n">
        <f aca="false">IF('Indicator Data'!O12="",IF(Config!$C$15="Score as High (5)",5,0),IF(Indicators!$F12="Higher = riskier",1+('Indicator Data'!O12&gt;=Indicators!$G12)+('Indicator Data'!O12&gt;=Indicators!$H12)+('Indicator Data'!O12&gt;=Indicators!$I12)+('Indicator Data'!O12&gt;=Indicators!$J12),1+('Indicator Data'!O12&lt;=Indicators!$G12)+('Indicator Data'!O12&lt;=Indicators!$H12)+('Indicator Data'!O12&lt;=Indicators!$I12)+('Indicator Data'!O12&lt;=Indicators!$J12)))</f>
        <v>3</v>
      </c>
      <c r="P12" s="27" t="n">
        <f aca="false">IF('Indicator Data'!P12="",IF(Config!$C$15="Score as High (5)",5,0),IF(Indicators!$F12="Higher = riskier",1+('Indicator Data'!P12&gt;=Indicators!$G12)+('Indicator Data'!P12&gt;=Indicators!$H12)+('Indicator Data'!P12&gt;=Indicators!$I12)+('Indicator Data'!P12&gt;=Indicators!$J12),1+('Indicator Data'!P12&lt;=Indicators!$G12)+('Indicator Data'!P12&lt;=Indicators!$H12)+('Indicator Data'!P12&lt;=Indicators!$I12)+('Indicator Data'!P12&lt;=Indicators!$J12)))</f>
        <v>4</v>
      </c>
      <c r="Q12" s="27" t="n">
        <f aca="false">IF('Indicator Data'!Q12="",IF(Config!$C$15="Score as High (5)",5,0),IF(Indicators!$F12="Higher = riskier",1+('Indicator Data'!Q12&gt;=Indicators!$G12)+('Indicator Data'!Q12&gt;=Indicators!$H12)+('Indicator Data'!Q12&gt;=Indicators!$I12)+('Indicator Data'!Q12&gt;=Indicators!$J12),1+('Indicator Data'!Q12&lt;=Indicators!$G12)+('Indicator Data'!Q12&lt;=Indicators!$H12)+('Indicator Data'!Q12&lt;=Indicators!$I12)+('Indicator Data'!Q12&lt;=Indicators!$J12)))</f>
        <v>2</v>
      </c>
      <c r="R12" s="27" t="n">
        <f aca="false">IF('Indicator Data'!R12="",IF(Config!$C$15="Score as High (5)",5,0),IF(Indicators!$F12="Higher = riskier",1+('Indicator Data'!R12&gt;=Indicators!$G12)+('Indicator Data'!R12&gt;=Indicators!$H12)+('Indicator Data'!R12&gt;=Indicators!$I12)+('Indicator Data'!R12&gt;=Indicators!$J12),1+('Indicator Data'!R12&lt;=Indicators!$G12)+('Indicator Data'!R12&lt;=Indicators!$H12)+('Indicator Data'!R12&lt;=Indicators!$I12)+('Indicator Data'!R12&lt;=Indicators!$J12)))</f>
        <v>4</v>
      </c>
      <c r="S12" s="27" t="n">
        <f aca="false">IF('Indicator Data'!S12="",IF(Config!$C$15="Score as High (5)",5,0),IF(Indicators!$F12="Higher = riskier",1+('Indicator Data'!S12&gt;=Indicators!$G12)+('Indicator Data'!S12&gt;=Indicators!$H12)+('Indicator Data'!S12&gt;=Indicators!$I12)+('Indicator Data'!S12&gt;=Indicators!$J12),1+('Indicator Data'!S12&lt;=Indicators!$G12)+('Indicator Data'!S12&lt;=Indicators!$H12)+('Indicator Data'!S12&lt;=Indicators!$I12)+('Indicator Data'!S12&lt;=Indicators!$J12)))</f>
        <v>3</v>
      </c>
      <c r="T12" s="27" t="n">
        <f aca="false">IF('Indicator Data'!T12="",IF(Config!$C$15="Score as High (5)",5,0),IF(Indicators!$F12="Higher = riskier",1+('Indicator Data'!T12&gt;=Indicators!$G12)+('Indicator Data'!T12&gt;=Indicators!$H12)+('Indicator Data'!T12&gt;=Indicators!$I12)+('Indicator Data'!T12&gt;=Indicators!$J12),1+('Indicator Data'!T12&lt;=Indicators!$G12)+('Indicator Data'!T12&lt;=Indicators!$H12)+('Indicator Data'!T12&lt;=Indicators!$I12)+('Indicator Data'!T12&lt;=Indicators!$J12)))</f>
        <v>1</v>
      </c>
      <c r="U12" s="27" t="n">
        <f aca="false">IF('Indicator Data'!U12="",IF(Config!$C$15="Score as High (5)",5,0),IF(Indicators!$F12="Higher = riskier",1+('Indicator Data'!U12&gt;=Indicators!$G12)+('Indicator Data'!U12&gt;=Indicators!$H12)+('Indicator Data'!U12&gt;=Indicators!$I12)+('Indicator Data'!U12&gt;=Indicators!$J12),1+('Indicator Data'!U12&lt;=Indicators!$G12)+('Indicator Data'!U12&lt;=Indicators!$H12)+('Indicator Data'!U12&lt;=Indicators!$I12)+('Indicator Data'!U12&lt;=Indicators!$J12)))</f>
        <v>3</v>
      </c>
      <c r="V12" s="27" t="n">
        <f aca="false">IF('Indicator Data'!V12="",IF(Config!$C$15="Score as High (5)",5,0),IF(Indicators!$F12="Higher = riskier",1+('Indicator Data'!V12&gt;=Indicators!$G12)+('Indicator Data'!V12&gt;=Indicators!$H12)+('Indicator Data'!V12&gt;=Indicators!$I12)+('Indicator Data'!V12&gt;=Indicators!$J12),1+('Indicator Data'!V12&lt;=Indicators!$G12)+('Indicator Data'!V12&lt;=Indicators!$H12)+('Indicator Data'!V12&lt;=Indicators!$I12)+('Indicator Data'!V12&lt;=Indicators!$J12)))</f>
        <v>4</v>
      </c>
      <c r="W12" s="27" t="n">
        <f aca="false">IF('Indicator Data'!W12="",IF(Config!$C$15="Score as High (5)",5,0),IF(Indicators!$F12="Higher = riskier",1+('Indicator Data'!W12&gt;=Indicators!$G12)+('Indicator Data'!W12&gt;=Indicators!$H12)+('Indicator Data'!W12&gt;=Indicators!$I12)+('Indicator Data'!W12&gt;=Indicators!$J12),1+('Indicator Data'!W12&lt;=Indicators!$G12)+('Indicator Data'!W12&lt;=Indicators!$H12)+('Indicator Data'!W12&lt;=Indicators!$I12)+('Indicator Data'!W12&lt;=Indicators!$J12)))</f>
        <v>2</v>
      </c>
      <c r="X12" s="27" t="n">
        <f aca="false">IF('Indicator Data'!X12="",IF(Config!$C$15="Score as High (5)",5,0),IF(Indicators!$F12="Higher = riskier",1+('Indicator Data'!X12&gt;=Indicators!$G12)+('Indicator Data'!X12&gt;=Indicators!$H12)+('Indicator Data'!X12&gt;=Indicators!$I12)+('Indicator Data'!X12&gt;=Indicators!$J12),1+('Indicator Data'!X12&lt;=Indicators!$G12)+('Indicator Data'!X12&lt;=Indicators!$H12)+('Indicator Data'!X12&lt;=Indicators!$I12)+('Indicator Data'!X12&lt;=Indicators!$J12)))</f>
        <v>3</v>
      </c>
      <c r="Y12" s="27" t="n">
        <f aca="false">IF('Indicator Data'!Y12="",IF(Config!$C$15="Score as High (5)",5,0),IF(Indicators!$F12="Higher = riskier",1+('Indicator Data'!Y12&gt;=Indicators!$G12)+('Indicator Data'!Y12&gt;=Indicators!$H12)+('Indicator Data'!Y12&gt;=Indicators!$I12)+('Indicator Data'!Y12&gt;=Indicators!$J12),1+('Indicator Data'!Y12&lt;=Indicators!$G12)+('Indicator Data'!Y12&lt;=Indicators!$H12)+('Indicator Data'!Y12&lt;=Indicators!$I12)+('Indicator Data'!Y12&lt;=Indicators!$J12)))</f>
        <v>3</v>
      </c>
      <c r="Z12" s="27" t="n">
        <f aca="false">IF('Indicator Data'!Z12="",IF(Config!$C$15="Score as High (5)",5,0),IF(Indicators!$F12="Higher = riskier",1+('Indicator Data'!Z12&gt;=Indicators!$G12)+('Indicator Data'!Z12&gt;=Indicators!$H12)+('Indicator Data'!Z12&gt;=Indicators!$I12)+('Indicator Data'!Z12&gt;=Indicators!$J12),1+('Indicator Data'!Z12&lt;=Indicators!$G12)+('Indicator Data'!Z12&lt;=Indicators!$H12)+('Indicator Data'!Z12&lt;=Indicators!$I12)+('Indicator Data'!Z12&lt;=Indicators!$J12)))</f>
        <v>1</v>
      </c>
      <c r="AA12" s="27" t="n">
        <f aca="false">IF('Indicator Data'!AA12="",IF(Config!$C$15="Score as High (5)",5,0),IF(Indicators!$F12="Higher = riskier",1+('Indicator Data'!AA12&gt;=Indicators!$G12)+('Indicator Data'!AA12&gt;=Indicators!$H12)+('Indicator Data'!AA12&gt;=Indicators!$I12)+('Indicator Data'!AA12&gt;=Indicators!$J12),1+('Indicator Data'!AA12&lt;=Indicators!$G12)+('Indicator Data'!AA12&lt;=Indicators!$H12)+('Indicator Data'!AA12&lt;=Indicators!$I12)+('Indicator Data'!AA12&lt;=Indicators!$J12)))</f>
        <v>2</v>
      </c>
      <c r="AB12" s="27" t="n">
        <f aca="false">IF('Indicator Data'!AB12="",IF(Config!$C$15="Score as High (5)",5,0),IF(Indicators!$F12="Higher = riskier",1+('Indicator Data'!AB12&gt;=Indicators!$G12)+('Indicator Data'!AB12&gt;=Indicators!$H12)+('Indicator Data'!AB12&gt;=Indicators!$I12)+('Indicator Data'!AB12&gt;=Indicators!$J12),1+('Indicator Data'!AB12&lt;=Indicators!$G12)+('Indicator Data'!AB12&lt;=Indicators!$H12)+('Indicator Data'!AB12&lt;=Indicators!$I12)+('Indicator Data'!AB12&lt;=Indicators!$J12)))</f>
        <v>2</v>
      </c>
      <c r="AC12" s="27" t="n">
        <f aca="false">IF('Indicator Data'!AC12="",IF(Config!$C$15="Score as High (5)",5,0),IF(Indicators!$F12="Higher = riskier",1+('Indicator Data'!AC12&gt;=Indicators!$G12)+('Indicator Data'!AC12&gt;=Indicators!$H12)+('Indicator Data'!AC12&gt;=Indicators!$I12)+('Indicator Data'!AC12&gt;=Indicators!$J12),1+('Indicator Data'!AC12&lt;=Indicators!$G12)+('Indicator Data'!AC12&lt;=Indicators!$H12)+('Indicator Data'!AC12&lt;=Indicators!$I12)+('Indicator Data'!AC12&lt;=Indicators!$J12)))</f>
        <v>2</v>
      </c>
      <c r="AD12" s="27" t="n">
        <f aca="false">IF('Indicator Data'!AD12="",IF(Config!$C$15="Score as High (5)",5,0),IF(Indicators!$F12="Higher = riskier",1+('Indicator Data'!AD12&gt;=Indicators!$G12)+('Indicator Data'!AD12&gt;=Indicators!$H12)+('Indicator Data'!AD12&gt;=Indicators!$I12)+('Indicator Data'!AD12&gt;=Indicators!$J12),1+('Indicator Data'!AD12&lt;=Indicators!$G12)+('Indicator Data'!AD12&lt;=Indicators!$H12)+('Indicator Data'!AD12&lt;=Indicators!$I12)+('Indicator Data'!AD12&lt;=Indicators!$J12)))</f>
        <v>1</v>
      </c>
      <c r="AE12" s="27" t="n">
        <f aca="false">IF('Indicator Data'!AE12="",IF(Config!$C$15="Score as High (5)",5,0),IF(Indicators!$F12="Higher = riskier",1+('Indicator Data'!AE12&gt;=Indicators!$G12)+('Indicator Data'!AE12&gt;=Indicators!$H12)+('Indicator Data'!AE12&gt;=Indicators!$I12)+('Indicator Data'!AE12&gt;=Indicators!$J12),1+('Indicator Data'!AE12&lt;=Indicators!$G12)+('Indicator Data'!AE12&lt;=Indicators!$H12)+('Indicator Data'!AE12&lt;=Indicators!$I12)+('Indicator Data'!AE12&lt;=Indicators!$J12)))</f>
        <v>1</v>
      </c>
      <c r="AF12" s="27" t="n">
        <f aca="false">IF('Indicator Data'!AF12="",IF(Config!$C$15="Score as High (5)",5,0),IF(Indicators!$F12="Higher = riskier",1+('Indicator Data'!AF12&gt;=Indicators!$G12)+('Indicator Data'!AF12&gt;=Indicators!$H12)+('Indicator Data'!AF12&gt;=Indicators!$I12)+('Indicator Data'!AF12&gt;=Indicators!$J12),1+('Indicator Data'!AF12&lt;=Indicators!$G12)+('Indicator Data'!AF12&lt;=Indicators!$H12)+('Indicator Data'!AF12&lt;=Indicators!$I12)+('Indicator Data'!AF12&lt;=Indicators!$J12)))</f>
        <v>2</v>
      </c>
      <c r="AG12" s="27" t="n">
        <f aca="false">IF('Indicator Data'!AG12="",IF(Config!$C$15="Score as High (5)",5,0),IF(Indicators!$F12="Higher = riskier",1+('Indicator Data'!AG12&gt;=Indicators!$G12)+('Indicator Data'!AG12&gt;=Indicators!$H12)+('Indicator Data'!AG12&gt;=Indicators!$I12)+('Indicator Data'!AG12&gt;=Indicators!$J12),1+('Indicator Data'!AG12&lt;=Indicators!$G12)+('Indicator Data'!AG12&lt;=Indicators!$H12)+('Indicator Data'!AG12&lt;=Indicators!$I12)+('Indicator Data'!AG12&lt;=Indicators!$J12)))</f>
        <v>2</v>
      </c>
    </row>
    <row r="13" customFormat="false" ht="15" hidden="false" customHeight="false" outlineLevel="0" collapsed="false">
      <c r="A13" s="26" t="str">
        <f aca="false">Indicators!A13</f>
        <v>G02</v>
      </c>
      <c r="B13" s="26" t="str">
        <f aca="false">Indicators!C13</f>
        <v>% payment value involving sanctioned or high sanctions-risk jurisdictions</v>
      </c>
      <c r="C13" s="26" t="str">
        <f aca="false">Indicators!D13</f>
        <v>%</v>
      </c>
      <c r="D13" s="27" t="n">
        <f aca="false">IF('Indicator Data'!D13="",IF(Config!$C$15="Score as High (5)",5,0),IF(Indicators!$F13="Higher = riskier",1+('Indicator Data'!D13&gt;=Indicators!$G13)+('Indicator Data'!D13&gt;=Indicators!$H13)+('Indicator Data'!D13&gt;=Indicators!$I13)+('Indicator Data'!D13&gt;=Indicators!$J13),1+('Indicator Data'!D13&lt;=Indicators!$G13)+('Indicator Data'!D13&lt;=Indicators!$H13)+('Indicator Data'!D13&lt;=Indicators!$I13)+('Indicator Data'!D13&lt;=Indicators!$J13)))</f>
        <v>4</v>
      </c>
      <c r="E13" s="27" t="n">
        <f aca="false">IF('Indicator Data'!E13="",IF(Config!$C$15="Score as High (5)",5,0),IF(Indicators!$F13="Higher = riskier",1+('Indicator Data'!E13&gt;=Indicators!$G13)+('Indicator Data'!E13&gt;=Indicators!$H13)+('Indicator Data'!E13&gt;=Indicators!$I13)+('Indicator Data'!E13&gt;=Indicators!$J13),1+('Indicator Data'!E13&lt;=Indicators!$G13)+('Indicator Data'!E13&lt;=Indicators!$H13)+('Indicator Data'!E13&lt;=Indicators!$I13)+('Indicator Data'!E13&lt;=Indicators!$J13)))</f>
        <v>2</v>
      </c>
      <c r="F13" s="27" t="n">
        <f aca="false">IF('Indicator Data'!F13="",IF(Config!$C$15="Score as High (5)",5,0),IF(Indicators!$F13="Higher = riskier",1+('Indicator Data'!F13&gt;=Indicators!$G13)+('Indicator Data'!F13&gt;=Indicators!$H13)+('Indicator Data'!F13&gt;=Indicators!$I13)+('Indicator Data'!F13&gt;=Indicators!$J13),1+('Indicator Data'!F13&lt;=Indicators!$G13)+('Indicator Data'!F13&lt;=Indicators!$H13)+('Indicator Data'!F13&lt;=Indicators!$I13)+('Indicator Data'!F13&lt;=Indicators!$J13)))</f>
        <v>2</v>
      </c>
      <c r="G13" s="27" t="n">
        <f aca="false">IF('Indicator Data'!G13="",IF(Config!$C$15="Score as High (5)",5,0),IF(Indicators!$F13="Higher = riskier",1+('Indicator Data'!G13&gt;=Indicators!$G13)+('Indicator Data'!G13&gt;=Indicators!$H13)+('Indicator Data'!G13&gt;=Indicators!$I13)+('Indicator Data'!G13&gt;=Indicators!$J13),1+('Indicator Data'!G13&lt;=Indicators!$G13)+('Indicator Data'!G13&lt;=Indicators!$H13)+('Indicator Data'!G13&lt;=Indicators!$I13)+('Indicator Data'!G13&lt;=Indicators!$J13)))</f>
        <v>5</v>
      </c>
      <c r="H13" s="27" t="n">
        <f aca="false">IF('Indicator Data'!H13="",IF(Config!$C$15="Score as High (5)",5,0),IF(Indicators!$F13="Higher = riskier",1+('Indicator Data'!H13&gt;=Indicators!$G13)+('Indicator Data'!H13&gt;=Indicators!$H13)+('Indicator Data'!H13&gt;=Indicators!$I13)+('Indicator Data'!H13&gt;=Indicators!$J13),1+('Indicator Data'!H13&lt;=Indicators!$G13)+('Indicator Data'!H13&lt;=Indicators!$H13)+('Indicator Data'!H13&lt;=Indicators!$I13)+('Indicator Data'!H13&lt;=Indicators!$J13)))</f>
        <v>4</v>
      </c>
      <c r="I13" s="27" t="n">
        <f aca="false">IF('Indicator Data'!I13="",IF(Config!$C$15="Score as High (5)",5,0),IF(Indicators!$F13="Higher = riskier",1+('Indicator Data'!I13&gt;=Indicators!$G13)+('Indicator Data'!I13&gt;=Indicators!$H13)+('Indicator Data'!I13&gt;=Indicators!$I13)+('Indicator Data'!I13&gt;=Indicators!$J13),1+('Indicator Data'!I13&lt;=Indicators!$G13)+('Indicator Data'!I13&lt;=Indicators!$H13)+('Indicator Data'!I13&lt;=Indicators!$I13)+('Indicator Data'!I13&lt;=Indicators!$J13)))</f>
        <v>5</v>
      </c>
      <c r="J13" s="27" t="n">
        <f aca="false">IF('Indicator Data'!J13="",IF(Config!$C$15="Score as High (5)",5,0),IF(Indicators!$F13="Higher = riskier",1+('Indicator Data'!J13&gt;=Indicators!$G13)+('Indicator Data'!J13&gt;=Indicators!$H13)+('Indicator Data'!J13&gt;=Indicators!$I13)+('Indicator Data'!J13&gt;=Indicators!$J13),1+('Indicator Data'!J13&lt;=Indicators!$G13)+('Indicator Data'!J13&lt;=Indicators!$H13)+('Indicator Data'!J13&lt;=Indicators!$I13)+('Indicator Data'!J13&lt;=Indicators!$J13)))</f>
        <v>4</v>
      </c>
      <c r="K13" s="27" t="n">
        <f aca="false">IF('Indicator Data'!K13="",IF(Config!$C$15="Score as High (5)",5,0),IF(Indicators!$F13="Higher = riskier",1+('Indicator Data'!K13&gt;=Indicators!$G13)+('Indicator Data'!K13&gt;=Indicators!$H13)+('Indicator Data'!K13&gt;=Indicators!$I13)+('Indicator Data'!K13&gt;=Indicators!$J13),1+('Indicator Data'!K13&lt;=Indicators!$G13)+('Indicator Data'!K13&lt;=Indicators!$H13)+('Indicator Data'!K13&lt;=Indicators!$I13)+('Indicator Data'!K13&lt;=Indicators!$J13)))</f>
        <v>4</v>
      </c>
      <c r="L13" s="27" t="n">
        <f aca="false">IF('Indicator Data'!L13="",IF(Config!$C$15="Score as High (5)",5,0),IF(Indicators!$F13="Higher = riskier",1+('Indicator Data'!L13&gt;=Indicators!$G13)+('Indicator Data'!L13&gt;=Indicators!$H13)+('Indicator Data'!L13&gt;=Indicators!$I13)+('Indicator Data'!L13&gt;=Indicators!$J13),1+('Indicator Data'!L13&lt;=Indicators!$G13)+('Indicator Data'!L13&lt;=Indicators!$H13)+('Indicator Data'!L13&lt;=Indicators!$I13)+('Indicator Data'!L13&lt;=Indicators!$J13)))</f>
        <v>4</v>
      </c>
      <c r="M13" s="27" t="n">
        <f aca="false">IF('Indicator Data'!M13="",IF(Config!$C$15="Score as High (5)",5,0),IF(Indicators!$F13="Higher = riskier",1+('Indicator Data'!M13&gt;=Indicators!$G13)+('Indicator Data'!M13&gt;=Indicators!$H13)+('Indicator Data'!M13&gt;=Indicators!$I13)+('Indicator Data'!M13&gt;=Indicators!$J13),1+('Indicator Data'!M13&lt;=Indicators!$G13)+('Indicator Data'!M13&lt;=Indicators!$H13)+('Indicator Data'!M13&lt;=Indicators!$I13)+('Indicator Data'!M13&lt;=Indicators!$J13)))</f>
        <v>3</v>
      </c>
      <c r="N13" s="27" t="n">
        <f aca="false">IF('Indicator Data'!N13="",IF(Config!$C$15="Score as High (5)",5,0),IF(Indicators!$F13="Higher = riskier",1+('Indicator Data'!N13&gt;=Indicators!$G13)+('Indicator Data'!N13&gt;=Indicators!$H13)+('Indicator Data'!N13&gt;=Indicators!$I13)+('Indicator Data'!N13&gt;=Indicators!$J13),1+('Indicator Data'!N13&lt;=Indicators!$G13)+('Indicator Data'!N13&lt;=Indicators!$H13)+('Indicator Data'!N13&lt;=Indicators!$I13)+('Indicator Data'!N13&lt;=Indicators!$J13)))</f>
        <v>3</v>
      </c>
      <c r="O13" s="27" t="n">
        <f aca="false">IF('Indicator Data'!O13="",IF(Config!$C$15="Score as High (5)",5,0),IF(Indicators!$F13="Higher = riskier",1+('Indicator Data'!O13&gt;=Indicators!$G13)+('Indicator Data'!O13&gt;=Indicators!$H13)+('Indicator Data'!O13&gt;=Indicators!$I13)+('Indicator Data'!O13&gt;=Indicators!$J13),1+('Indicator Data'!O13&lt;=Indicators!$G13)+('Indicator Data'!O13&lt;=Indicators!$H13)+('Indicator Data'!O13&lt;=Indicators!$I13)+('Indicator Data'!O13&lt;=Indicators!$J13)))</f>
        <v>4</v>
      </c>
      <c r="P13" s="27" t="n">
        <f aca="false">IF('Indicator Data'!P13="",IF(Config!$C$15="Score as High (5)",5,0),IF(Indicators!$F13="Higher = riskier",1+('Indicator Data'!P13&gt;=Indicators!$G13)+('Indicator Data'!P13&gt;=Indicators!$H13)+('Indicator Data'!P13&gt;=Indicators!$I13)+('Indicator Data'!P13&gt;=Indicators!$J13),1+('Indicator Data'!P13&lt;=Indicators!$G13)+('Indicator Data'!P13&lt;=Indicators!$H13)+('Indicator Data'!P13&lt;=Indicators!$I13)+('Indicator Data'!P13&lt;=Indicators!$J13)))</f>
        <v>3</v>
      </c>
      <c r="Q13" s="27" t="n">
        <f aca="false">IF('Indicator Data'!Q13="",IF(Config!$C$15="Score as High (5)",5,0),IF(Indicators!$F13="Higher = riskier",1+('Indicator Data'!Q13&gt;=Indicators!$G13)+('Indicator Data'!Q13&gt;=Indicators!$H13)+('Indicator Data'!Q13&gt;=Indicators!$I13)+('Indicator Data'!Q13&gt;=Indicators!$J13),1+('Indicator Data'!Q13&lt;=Indicators!$G13)+('Indicator Data'!Q13&lt;=Indicators!$H13)+('Indicator Data'!Q13&lt;=Indicators!$I13)+('Indicator Data'!Q13&lt;=Indicators!$J13)))</f>
        <v>4</v>
      </c>
      <c r="R13" s="27" t="n">
        <f aca="false">IF('Indicator Data'!R13="",IF(Config!$C$15="Score as High (5)",5,0),IF(Indicators!$F13="Higher = riskier",1+('Indicator Data'!R13&gt;=Indicators!$G13)+('Indicator Data'!R13&gt;=Indicators!$H13)+('Indicator Data'!R13&gt;=Indicators!$I13)+('Indicator Data'!R13&gt;=Indicators!$J13),1+('Indicator Data'!R13&lt;=Indicators!$G13)+('Indicator Data'!R13&lt;=Indicators!$H13)+('Indicator Data'!R13&lt;=Indicators!$I13)+('Indicator Data'!R13&lt;=Indicators!$J13)))</f>
        <v>2</v>
      </c>
      <c r="S13" s="27" t="n">
        <f aca="false">IF('Indicator Data'!S13="",IF(Config!$C$15="Score as High (5)",5,0),IF(Indicators!$F13="Higher = riskier",1+('Indicator Data'!S13&gt;=Indicators!$G13)+('Indicator Data'!S13&gt;=Indicators!$H13)+('Indicator Data'!S13&gt;=Indicators!$I13)+('Indicator Data'!S13&gt;=Indicators!$J13),1+('Indicator Data'!S13&lt;=Indicators!$G13)+('Indicator Data'!S13&lt;=Indicators!$H13)+('Indicator Data'!S13&lt;=Indicators!$I13)+('Indicator Data'!S13&lt;=Indicators!$J13)))</f>
        <v>5</v>
      </c>
      <c r="T13" s="27" t="n">
        <f aca="false">IF('Indicator Data'!T13="",IF(Config!$C$15="Score as High (5)",5,0),IF(Indicators!$F13="Higher = riskier",1+('Indicator Data'!T13&gt;=Indicators!$G13)+('Indicator Data'!T13&gt;=Indicators!$H13)+('Indicator Data'!T13&gt;=Indicators!$I13)+('Indicator Data'!T13&gt;=Indicators!$J13),1+('Indicator Data'!T13&lt;=Indicators!$G13)+('Indicator Data'!T13&lt;=Indicators!$H13)+('Indicator Data'!T13&lt;=Indicators!$I13)+('Indicator Data'!T13&lt;=Indicators!$J13)))</f>
        <v>4</v>
      </c>
      <c r="U13" s="27" t="n">
        <f aca="false">IF('Indicator Data'!U13="",IF(Config!$C$15="Score as High (5)",5,0),IF(Indicators!$F13="Higher = riskier",1+('Indicator Data'!U13&gt;=Indicators!$G13)+('Indicator Data'!U13&gt;=Indicators!$H13)+('Indicator Data'!U13&gt;=Indicators!$I13)+('Indicator Data'!U13&gt;=Indicators!$J13),1+('Indicator Data'!U13&lt;=Indicators!$G13)+('Indicator Data'!U13&lt;=Indicators!$H13)+('Indicator Data'!U13&lt;=Indicators!$I13)+('Indicator Data'!U13&lt;=Indicators!$J13)))</f>
        <v>3</v>
      </c>
      <c r="V13" s="27" t="n">
        <f aca="false">IF('Indicator Data'!V13="",IF(Config!$C$15="Score as High (5)",5,0),IF(Indicators!$F13="Higher = riskier",1+('Indicator Data'!V13&gt;=Indicators!$G13)+('Indicator Data'!V13&gt;=Indicators!$H13)+('Indicator Data'!V13&gt;=Indicators!$I13)+('Indicator Data'!V13&gt;=Indicators!$J13),1+('Indicator Data'!V13&lt;=Indicators!$G13)+('Indicator Data'!V13&lt;=Indicators!$H13)+('Indicator Data'!V13&lt;=Indicators!$I13)+('Indicator Data'!V13&lt;=Indicators!$J13)))</f>
        <v>3</v>
      </c>
      <c r="W13" s="27" t="n">
        <f aca="false">IF('Indicator Data'!W13="",IF(Config!$C$15="Score as High (5)",5,0),IF(Indicators!$F13="Higher = riskier",1+('Indicator Data'!W13&gt;=Indicators!$G13)+('Indicator Data'!W13&gt;=Indicators!$H13)+('Indicator Data'!W13&gt;=Indicators!$I13)+('Indicator Data'!W13&gt;=Indicators!$J13),1+('Indicator Data'!W13&lt;=Indicators!$G13)+('Indicator Data'!W13&lt;=Indicators!$H13)+('Indicator Data'!W13&lt;=Indicators!$I13)+('Indicator Data'!W13&lt;=Indicators!$J13)))</f>
        <v>3</v>
      </c>
      <c r="X13" s="27" t="n">
        <f aca="false">IF('Indicator Data'!X13="",IF(Config!$C$15="Score as High (5)",5,0),IF(Indicators!$F13="Higher = riskier",1+('Indicator Data'!X13&gt;=Indicators!$G13)+('Indicator Data'!X13&gt;=Indicators!$H13)+('Indicator Data'!X13&gt;=Indicators!$I13)+('Indicator Data'!X13&gt;=Indicators!$J13),1+('Indicator Data'!X13&lt;=Indicators!$G13)+('Indicator Data'!X13&lt;=Indicators!$H13)+('Indicator Data'!X13&lt;=Indicators!$I13)+('Indicator Data'!X13&lt;=Indicators!$J13)))</f>
        <v>4</v>
      </c>
      <c r="Y13" s="27" t="n">
        <f aca="false">IF('Indicator Data'!Y13="",IF(Config!$C$15="Score as High (5)",5,0),IF(Indicators!$F13="Higher = riskier",1+('Indicator Data'!Y13&gt;=Indicators!$G13)+('Indicator Data'!Y13&gt;=Indicators!$H13)+('Indicator Data'!Y13&gt;=Indicators!$I13)+('Indicator Data'!Y13&gt;=Indicators!$J13),1+('Indicator Data'!Y13&lt;=Indicators!$G13)+('Indicator Data'!Y13&lt;=Indicators!$H13)+('Indicator Data'!Y13&lt;=Indicators!$I13)+('Indicator Data'!Y13&lt;=Indicators!$J13)))</f>
        <v>1</v>
      </c>
      <c r="Z13" s="27" t="n">
        <f aca="false">IF('Indicator Data'!Z13="",IF(Config!$C$15="Score as High (5)",5,0),IF(Indicators!$F13="Higher = riskier",1+('Indicator Data'!Z13&gt;=Indicators!$G13)+('Indicator Data'!Z13&gt;=Indicators!$H13)+('Indicator Data'!Z13&gt;=Indicators!$I13)+('Indicator Data'!Z13&gt;=Indicators!$J13),1+('Indicator Data'!Z13&lt;=Indicators!$G13)+('Indicator Data'!Z13&lt;=Indicators!$H13)+('Indicator Data'!Z13&lt;=Indicators!$I13)+('Indicator Data'!Z13&lt;=Indicators!$J13)))</f>
        <v>2</v>
      </c>
      <c r="AA13" s="27" t="n">
        <f aca="false">IF('Indicator Data'!AA13="",IF(Config!$C$15="Score as High (5)",5,0),IF(Indicators!$F13="Higher = riskier",1+('Indicator Data'!AA13&gt;=Indicators!$G13)+('Indicator Data'!AA13&gt;=Indicators!$H13)+('Indicator Data'!AA13&gt;=Indicators!$I13)+('Indicator Data'!AA13&gt;=Indicators!$J13),1+('Indicator Data'!AA13&lt;=Indicators!$G13)+('Indicator Data'!AA13&lt;=Indicators!$H13)+('Indicator Data'!AA13&lt;=Indicators!$I13)+('Indicator Data'!AA13&lt;=Indicators!$J13)))</f>
        <v>2</v>
      </c>
      <c r="AB13" s="27" t="n">
        <f aca="false">IF('Indicator Data'!AB13="",IF(Config!$C$15="Score as High (5)",5,0),IF(Indicators!$F13="Higher = riskier",1+('Indicator Data'!AB13&gt;=Indicators!$G13)+('Indicator Data'!AB13&gt;=Indicators!$H13)+('Indicator Data'!AB13&gt;=Indicators!$I13)+('Indicator Data'!AB13&gt;=Indicators!$J13),1+('Indicator Data'!AB13&lt;=Indicators!$G13)+('Indicator Data'!AB13&lt;=Indicators!$H13)+('Indicator Data'!AB13&lt;=Indicators!$I13)+('Indicator Data'!AB13&lt;=Indicators!$J13)))</f>
        <v>2</v>
      </c>
      <c r="AC13" s="27" t="n">
        <f aca="false">IF('Indicator Data'!AC13="",IF(Config!$C$15="Score as High (5)",5,0),IF(Indicators!$F13="Higher = riskier",1+('Indicator Data'!AC13&gt;=Indicators!$G13)+('Indicator Data'!AC13&gt;=Indicators!$H13)+('Indicator Data'!AC13&gt;=Indicators!$I13)+('Indicator Data'!AC13&gt;=Indicators!$J13),1+('Indicator Data'!AC13&lt;=Indicators!$G13)+('Indicator Data'!AC13&lt;=Indicators!$H13)+('Indicator Data'!AC13&lt;=Indicators!$I13)+('Indicator Data'!AC13&lt;=Indicators!$J13)))</f>
        <v>2</v>
      </c>
      <c r="AD13" s="27" t="n">
        <f aca="false">IF('Indicator Data'!AD13="",IF(Config!$C$15="Score as High (5)",5,0),IF(Indicators!$F13="Higher = riskier",1+('Indicator Data'!AD13&gt;=Indicators!$G13)+('Indicator Data'!AD13&gt;=Indicators!$H13)+('Indicator Data'!AD13&gt;=Indicators!$I13)+('Indicator Data'!AD13&gt;=Indicators!$J13),1+('Indicator Data'!AD13&lt;=Indicators!$G13)+('Indicator Data'!AD13&lt;=Indicators!$H13)+('Indicator Data'!AD13&lt;=Indicators!$I13)+('Indicator Data'!AD13&lt;=Indicators!$J13)))</f>
        <v>4</v>
      </c>
      <c r="AE13" s="27" t="n">
        <f aca="false">IF('Indicator Data'!AE13="",IF(Config!$C$15="Score as High (5)",5,0),IF(Indicators!$F13="Higher = riskier",1+('Indicator Data'!AE13&gt;=Indicators!$G13)+('Indicator Data'!AE13&gt;=Indicators!$H13)+('Indicator Data'!AE13&gt;=Indicators!$I13)+('Indicator Data'!AE13&gt;=Indicators!$J13),1+('Indicator Data'!AE13&lt;=Indicators!$G13)+('Indicator Data'!AE13&lt;=Indicators!$H13)+('Indicator Data'!AE13&lt;=Indicators!$I13)+('Indicator Data'!AE13&lt;=Indicators!$J13)))</f>
        <v>2</v>
      </c>
      <c r="AF13" s="27" t="n">
        <f aca="false">IF('Indicator Data'!AF13="",IF(Config!$C$15="Score as High (5)",5,0),IF(Indicators!$F13="Higher = riskier",1+('Indicator Data'!AF13&gt;=Indicators!$G13)+('Indicator Data'!AF13&gt;=Indicators!$H13)+('Indicator Data'!AF13&gt;=Indicators!$I13)+('Indicator Data'!AF13&gt;=Indicators!$J13),1+('Indicator Data'!AF13&lt;=Indicators!$G13)+('Indicator Data'!AF13&lt;=Indicators!$H13)+('Indicator Data'!AF13&lt;=Indicators!$I13)+('Indicator Data'!AF13&lt;=Indicators!$J13)))</f>
        <v>1</v>
      </c>
      <c r="AG13" s="27" t="n">
        <f aca="false">IF('Indicator Data'!AG13="",IF(Config!$C$15="Score as High (5)",5,0),IF(Indicators!$F13="Higher = riskier",1+('Indicator Data'!AG13&gt;=Indicators!$G13)+('Indicator Data'!AG13&gt;=Indicators!$H13)+('Indicator Data'!AG13&gt;=Indicators!$I13)+('Indicator Data'!AG13&gt;=Indicators!$J13),1+('Indicator Data'!AG13&lt;=Indicators!$G13)+('Indicator Data'!AG13&lt;=Indicators!$H13)+('Indicator Data'!AG13&lt;=Indicators!$I13)+('Indicator Data'!AG13&lt;=Indicators!$J13)))</f>
        <v>2</v>
      </c>
    </row>
    <row r="14" customFormat="false" ht="15" hidden="false" customHeight="false" outlineLevel="0" collapsed="false">
      <c r="A14" s="26" t="str">
        <f aca="false">Indicators!A14</f>
        <v>G03</v>
      </c>
      <c r="B14" s="26" t="str">
        <f aca="false">Indicators!C14</f>
        <v>Host-country national ML/TF risk (NRA-based, 1–5)</v>
      </c>
      <c r="C14" s="26" t="str">
        <f aca="false">Indicators!D14</f>
        <v>score 1–5</v>
      </c>
      <c r="D14" s="27" t="n">
        <f aca="false">IF('Indicator Data'!D14="",IF(Config!$C$15="Score as High (5)",5,0),IF(Indicators!$F14="Higher = riskier",1+('Indicator Data'!D14&gt;=Indicators!$G14)+('Indicator Data'!D14&gt;=Indicators!$H14)+('Indicator Data'!D14&gt;=Indicators!$I14)+('Indicator Data'!D14&gt;=Indicators!$J14),1+('Indicator Data'!D14&lt;=Indicators!$G14)+('Indicator Data'!D14&lt;=Indicators!$H14)+('Indicator Data'!D14&lt;=Indicators!$I14)+('Indicator Data'!D14&lt;=Indicators!$J14)))</f>
        <v>4</v>
      </c>
      <c r="E14" s="27" t="n">
        <f aca="false">IF('Indicator Data'!E14="",IF(Config!$C$15="Score as High (5)",5,0),IF(Indicators!$F14="Higher = riskier",1+('Indicator Data'!E14&gt;=Indicators!$G14)+('Indicator Data'!E14&gt;=Indicators!$H14)+('Indicator Data'!E14&gt;=Indicators!$I14)+('Indicator Data'!E14&gt;=Indicators!$J14),1+('Indicator Data'!E14&lt;=Indicators!$G14)+('Indicator Data'!E14&lt;=Indicators!$H14)+('Indicator Data'!E14&lt;=Indicators!$I14)+('Indicator Data'!E14&lt;=Indicators!$J14)))</f>
        <v>2</v>
      </c>
      <c r="F14" s="27" t="n">
        <f aca="false">IF('Indicator Data'!F14="",IF(Config!$C$15="Score as High (5)",5,0),IF(Indicators!$F14="Higher = riskier",1+('Indicator Data'!F14&gt;=Indicators!$G14)+('Indicator Data'!F14&gt;=Indicators!$H14)+('Indicator Data'!F14&gt;=Indicators!$I14)+('Indicator Data'!F14&gt;=Indicators!$J14),1+('Indicator Data'!F14&lt;=Indicators!$G14)+('Indicator Data'!F14&lt;=Indicators!$H14)+('Indicator Data'!F14&lt;=Indicators!$I14)+('Indicator Data'!F14&lt;=Indicators!$J14)))</f>
        <v>3</v>
      </c>
      <c r="G14" s="27" t="n">
        <f aca="false">IF('Indicator Data'!G14="",IF(Config!$C$15="Score as High (5)",5,0),IF(Indicators!$F14="Higher = riskier",1+('Indicator Data'!G14&gt;=Indicators!$G14)+('Indicator Data'!G14&gt;=Indicators!$H14)+('Indicator Data'!G14&gt;=Indicators!$I14)+('Indicator Data'!G14&gt;=Indicators!$J14),1+('Indicator Data'!G14&lt;=Indicators!$G14)+('Indicator Data'!G14&lt;=Indicators!$H14)+('Indicator Data'!G14&lt;=Indicators!$I14)+('Indicator Data'!G14&lt;=Indicators!$J14)))</f>
        <v>3</v>
      </c>
      <c r="H14" s="27" t="n">
        <f aca="false">IF('Indicator Data'!H14="",IF(Config!$C$15="Score as High (5)",5,0),IF(Indicators!$F14="Higher = riskier",1+('Indicator Data'!H14&gt;=Indicators!$G14)+('Indicator Data'!H14&gt;=Indicators!$H14)+('Indicator Data'!H14&gt;=Indicators!$I14)+('Indicator Data'!H14&gt;=Indicators!$J14),1+('Indicator Data'!H14&lt;=Indicators!$G14)+('Indicator Data'!H14&lt;=Indicators!$H14)+('Indicator Data'!H14&lt;=Indicators!$I14)+('Indicator Data'!H14&lt;=Indicators!$J14)))</f>
        <v>4</v>
      </c>
      <c r="I14" s="27" t="n">
        <f aca="false">IF('Indicator Data'!I14="",IF(Config!$C$15="Score as High (5)",5,0),IF(Indicators!$F14="Higher = riskier",1+('Indicator Data'!I14&gt;=Indicators!$G14)+('Indicator Data'!I14&gt;=Indicators!$H14)+('Indicator Data'!I14&gt;=Indicators!$I14)+('Indicator Data'!I14&gt;=Indicators!$J14),1+('Indicator Data'!I14&lt;=Indicators!$G14)+('Indicator Data'!I14&lt;=Indicators!$H14)+('Indicator Data'!I14&lt;=Indicators!$I14)+('Indicator Data'!I14&lt;=Indicators!$J14)))</f>
        <v>4</v>
      </c>
      <c r="J14" s="27" t="n">
        <f aca="false">IF('Indicator Data'!J14="",IF(Config!$C$15="Score as High (5)",5,0),IF(Indicators!$F14="Higher = riskier",1+('Indicator Data'!J14&gt;=Indicators!$G14)+('Indicator Data'!J14&gt;=Indicators!$H14)+('Indicator Data'!J14&gt;=Indicators!$I14)+('Indicator Data'!J14&gt;=Indicators!$J14),1+('Indicator Data'!J14&lt;=Indicators!$G14)+('Indicator Data'!J14&lt;=Indicators!$H14)+('Indicator Data'!J14&lt;=Indicators!$I14)+('Indicator Data'!J14&lt;=Indicators!$J14)))</f>
        <v>5</v>
      </c>
      <c r="K14" s="27" t="n">
        <f aca="false">IF('Indicator Data'!K14="",IF(Config!$C$15="Score as High (5)",5,0),IF(Indicators!$F14="Higher = riskier",1+('Indicator Data'!K14&gt;=Indicators!$G14)+('Indicator Data'!K14&gt;=Indicators!$H14)+('Indicator Data'!K14&gt;=Indicators!$I14)+('Indicator Data'!K14&gt;=Indicators!$J14),1+('Indicator Data'!K14&lt;=Indicators!$G14)+('Indicator Data'!K14&lt;=Indicators!$H14)+('Indicator Data'!K14&lt;=Indicators!$I14)+('Indicator Data'!K14&lt;=Indicators!$J14)))</f>
        <v>5</v>
      </c>
      <c r="L14" s="27" t="n">
        <f aca="false">IF('Indicator Data'!L14="",IF(Config!$C$15="Score as High (5)",5,0),IF(Indicators!$F14="Higher = riskier",1+('Indicator Data'!L14&gt;=Indicators!$G14)+('Indicator Data'!L14&gt;=Indicators!$H14)+('Indicator Data'!L14&gt;=Indicators!$I14)+('Indicator Data'!L14&gt;=Indicators!$J14),1+('Indicator Data'!L14&lt;=Indicators!$G14)+('Indicator Data'!L14&lt;=Indicators!$H14)+('Indicator Data'!L14&lt;=Indicators!$I14)+('Indicator Data'!L14&lt;=Indicators!$J14)))</f>
        <v>4</v>
      </c>
      <c r="M14" s="27" t="n">
        <f aca="false">IF('Indicator Data'!M14="",IF(Config!$C$15="Score as High (5)",5,0),IF(Indicators!$F14="Higher = riskier",1+('Indicator Data'!M14&gt;=Indicators!$G14)+('Indicator Data'!M14&gt;=Indicators!$H14)+('Indicator Data'!M14&gt;=Indicators!$I14)+('Indicator Data'!M14&gt;=Indicators!$J14),1+('Indicator Data'!M14&lt;=Indicators!$G14)+('Indicator Data'!M14&lt;=Indicators!$H14)+('Indicator Data'!M14&lt;=Indicators!$I14)+('Indicator Data'!M14&lt;=Indicators!$J14)))</f>
        <v>3</v>
      </c>
      <c r="N14" s="27" t="n">
        <f aca="false">IF('Indicator Data'!N14="",IF(Config!$C$15="Score as High (5)",5,0),IF(Indicators!$F14="Higher = riskier",1+('Indicator Data'!N14&gt;=Indicators!$G14)+('Indicator Data'!N14&gt;=Indicators!$H14)+('Indicator Data'!N14&gt;=Indicators!$I14)+('Indicator Data'!N14&gt;=Indicators!$J14),1+('Indicator Data'!N14&lt;=Indicators!$G14)+('Indicator Data'!N14&lt;=Indicators!$H14)+('Indicator Data'!N14&lt;=Indicators!$I14)+('Indicator Data'!N14&lt;=Indicators!$J14)))</f>
        <v>3</v>
      </c>
      <c r="O14" s="27" t="n">
        <f aca="false">IF('Indicator Data'!O14="",IF(Config!$C$15="Score as High (5)",5,0),IF(Indicators!$F14="Higher = riskier",1+('Indicator Data'!O14&gt;=Indicators!$G14)+('Indicator Data'!O14&gt;=Indicators!$H14)+('Indicator Data'!O14&gt;=Indicators!$I14)+('Indicator Data'!O14&gt;=Indicators!$J14),1+('Indicator Data'!O14&lt;=Indicators!$G14)+('Indicator Data'!O14&lt;=Indicators!$H14)+('Indicator Data'!O14&lt;=Indicators!$I14)+('Indicator Data'!O14&lt;=Indicators!$J14)))</f>
        <v>3</v>
      </c>
      <c r="P14" s="27" t="n">
        <f aca="false">IF('Indicator Data'!P14="",IF(Config!$C$15="Score as High (5)",5,0),IF(Indicators!$F14="Higher = riskier",1+('Indicator Data'!P14&gt;=Indicators!$G14)+('Indicator Data'!P14&gt;=Indicators!$H14)+('Indicator Data'!P14&gt;=Indicators!$I14)+('Indicator Data'!P14&gt;=Indicators!$J14),1+('Indicator Data'!P14&lt;=Indicators!$G14)+('Indicator Data'!P14&lt;=Indicators!$H14)+('Indicator Data'!P14&lt;=Indicators!$I14)+('Indicator Data'!P14&lt;=Indicators!$J14)))</f>
        <v>3</v>
      </c>
      <c r="Q14" s="27" t="n">
        <f aca="false">IF('Indicator Data'!Q14="",IF(Config!$C$15="Score as High (5)",5,0),IF(Indicators!$F14="Higher = riskier",1+('Indicator Data'!Q14&gt;=Indicators!$G14)+('Indicator Data'!Q14&gt;=Indicators!$H14)+('Indicator Data'!Q14&gt;=Indicators!$I14)+('Indicator Data'!Q14&gt;=Indicators!$J14),1+('Indicator Data'!Q14&lt;=Indicators!$G14)+('Indicator Data'!Q14&lt;=Indicators!$H14)+('Indicator Data'!Q14&lt;=Indicators!$I14)+('Indicator Data'!Q14&lt;=Indicators!$J14)))</f>
        <v>3</v>
      </c>
      <c r="R14" s="27" t="n">
        <f aca="false">IF('Indicator Data'!R14="",IF(Config!$C$15="Score as High (5)",5,0),IF(Indicators!$F14="Higher = riskier",1+('Indicator Data'!R14&gt;=Indicators!$G14)+('Indicator Data'!R14&gt;=Indicators!$H14)+('Indicator Data'!R14&gt;=Indicators!$I14)+('Indicator Data'!R14&gt;=Indicators!$J14),1+('Indicator Data'!R14&lt;=Indicators!$G14)+('Indicator Data'!R14&lt;=Indicators!$H14)+('Indicator Data'!R14&lt;=Indicators!$I14)+('Indicator Data'!R14&lt;=Indicators!$J14)))</f>
        <v>4</v>
      </c>
      <c r="S14" s="27" t="n">
        <f aca="false">IF('Indicator Data'!S14="",IF(Config!$C$15="Score as High (5)",5,0),IF(Indicators!$F14="Higher = riskier",1+('Indicator Data'!S14&gt;=Indicators!$G14)+('Indicator Data'!S14&gt;=Indicators!$H14)+('Indicator Data'!S14&gt;=Indicators!$I14)+('Indicator Data'!S14&gt;=Indicators!$J14),1+('Indicator Data'!S14&lt;=Indicators!$G14)+('Indicator Data'!S14&lt;=Indicators!$H14)+('Indicator Data'!S14&lt;=Indicators!$I14)+('Indicator Data'!S14&lt;=Indicators!$J14)))</f>
        <v>5</v>
      </c>
      <c r="T14" s="27" t="n">
        <f aca="false">IF('Indicator Data'!T14="",IF(Config!$C$15="Score as High (5)",5,0),IF(Indicators!$F14="Higher = riskier",1+('Indicator Data'!T14&gt;=Indicators!$G14)+('Indicator Data'!T14&gt;=Indicators!$H14)+('Indicator Data'!T14&gt;=Indicators!$I14)+('Indicator Data'!T14&gt;=Indicators!$J14),1+('Indicator Data'!T14&lt;=Indicators!$G14)+('Indicator Data'!T14&lt;=Indicators!$H14)+('Indicator Data'!T14&lt;=Indicators!$I14)+('Indicator Data'!T14&lt;=Indicators!$J14)))</f>
        <v>2</v>
      </c>
      <c r="U14" s="27" t="n">
        <f aca="false">IF('Indicator Data'!U14="",IF(Config!$C$15="Score as High (5)",5,0),IF(Indicators!$F14="Higher = riskier",1+('Indicator Data'!U14&gt;=Indicators!$G14)+('Indicator Data'!U14&gt;=Indicators!$H14)+('Indicator Data'!U14&gt;=Indicators!$I14)+('Indicator Data'!U14&gt;=Indicators!$J14),1+('Indicator Data'!U14&lt;=Indicators!$G14)+('Indicator Data'!U14&lt;=Indicators!$H14)+('Indicator Data'!U14&lt;=Indicators!$I14)+('Indicator Data'!U14&lt;=Indicators!$J14)))</f>
        <v>3</v>
      </c>
      <c r="V14" s="27" t="n">
        <f aca="false">IF('Indicator Data'!V14="",IF(Config!$C$15="Score as High (5)",5,0),IF(Indicators!$F14="Higher = riskier",1+('Indicator Data'!V14&gt;=Indicators!$G14)+('Indicator Data'!V14&gt;=Indicators!$H14)+('Indicator Data'!V14&gt;=Indicators!$I14)+('Indicator Data'!V14&gt;=Indicators!$J14),1+('Indicator Data'!V14&lt;=Indicators!$G14)+('Indicator Data'!V14&lt;=Indicators!$H14)+('Indicator Data'!V14&lt;=Indicators!$I14)+('Indicator Data'!V14&lt;=Indicators!$J14)))</f>
        <v>4</v>
      </c>
      <c r="W14" s="27" t="n">
        <f aca="false">IF('Indicator Data'!W14="",IF(Config!$C$15="Score as High (5)",5,0),IF(Indicators!$F14="Higher = riskier",1+('Indicator Data'!W14&gt;=Indicators!$G14)+('Indicator Data'!W14&gt;=Indicators!$H14)+('Indicator Data'!W14&gt;=Indicators!$I14)+('Indicator Data'!W14&gt;=Indicators!$J14),1+('Indicator Data'!W14&lt;=Indicators!$G14)+('Indicator Data'!W14&lt;=Indicators!$H14)+('Indicator Data'!W14&lt;=Indicators!$I14)+('Indicator Data'!W14&lt;=Indicators!$J14)))</f>
        <v>3</v>
      </c>
      <c r="X14" s="27" t="n">
        <f aca="false">IF('Indicator Data'!X14="",IF(Config!$C$15="Score as High (5)",5,0),IF(Indicators!$F14="Higher = riskier",1+('Indicator Data'!X14&gt;=Indicators!$G14)+('Indicator Data'!X14&gt;=Indicators!$H14)+('Indicator Data'!X14&gt;=Indicators!$I14)+('Indicator Data'!X14&gt;=Indicators!$J14),1+('Indicator Data'!X14&lt;=Indicators!$G14)+('Indicator Data'!X14&lt;=Indicators!$H14)+('Indicator Data'!X14&lt;=Indicators!$I14)+('Indicator Data'!X14&lt;=Indicators!$J14)))</f>
        <v>5</v>
      </c>
      <c r="Y14" s="27" t="n">
        <f aca="false">IF('Indicator Data'!Y14="",IF(Config!$C$15="Score as High (5)",5,0),IF(Indicators!$F14="Higher = riskier",1+('Indicator Data'!Y14&gt;=Indicators!$G14)+('Indicator Data'!Y14&gt;=Indicators!$H14)+('Indicator Data'!Y14&gt;=Indicators!$I14)+('Indicator Data'!Y14&gt;=Indicators!$J14),1+('Indicator Data'!Y14&lt;=Indicators!$G14)+('Indicator Data'!Y14&lt;=Indicators!$H14)+('Indicator Data'!Y14&lt;=Indicators!$I14)+('Indicator Data'!Y14&lt;=Indicators!$J14)))</f>
        <v>3</v>
      </c>
      <c r="Z14" s="27" t="n">
        <f aca="false">IF('Indicator Data'!Z14="",IF(Config!$C$15="Score as High (5)",5,0),IF(Indicators!$F14="Higher = riskier",1+('Indicator Data'!Z14&gt;=Indicators!$G14)+('Indicator Data'!Z14&gt;=Indicators!$H14)+('Indicator Data'!Z14&gt;=Indicators!$I14)+('Indicator Data'!Z14&gt;=Indicators!$J14),1+('Indicator Data'!Z14&lt;=Indicators!$G14)+('Indicator Data'!Z14&lt;=Indicators!$H14)+('Indicator Data'!Z14&lt;=Indicators!$I14)+('Indicator Data'!Z14&lt;=Indicators!$J14)))</f>
        <v>2</v>
      </c>
      <c r="AA14" s="27" t="n">
        <f aca="false">IF('Indicator Data'!AA14="",IF(Config!$C$15="Score as High (5)",5,0),IF(Indicators!$F14="Higher = riskier",1+('Indicator Data'!AA14&gt;=Indicators!$G14)+('Indicator Data'!AA14&gt;=Indicators!$H14)+('Indicator Data'!AA14&gt;=Indicators!$I14)+('Indicator Data'!AA14&gt;=Indicators!$J14),1+('Indicator Data'!AA14&lt;=Indicators!$G14)+('Indicator Data'!AA14&lt;=Indicators!$H14)+('Indicator Data'!AA14&lt;=Indicators!$I14)+('Indicator Data'!AA14&lt;=Indicators!$J14)))</f>
        <v>2</v>
      </c>
      <c r="AB14" s="27" t="n">
        <f aca="false">IF('Indicator Data'!AB14="",IF(Config!$C$15="Score as High (5)",5,0),IF(Indicators!$F14="Higher = riskier",1+('Indicator Data'!AB14&gt;=Indicators!$G14)+('Indicator Data'!AB14&gt;=Indicators!$H14)+('Indicator Data'!AB14&gt;=Indicators!$I14)+('Indicator Data'!AB14&gt;=Indicators!$J14),1+('Indicator Data'!AB14&lt;=Indicators!$G14)+('Indicator Data'!AB14&lt;=Indicators!$H14)+('Indicator Data'!AB14&lt;=Indicators!$I14)+('Indicator Data'!AB14&lt;=Indicators!$J14)))</f>
        <v>2</v>
      </c>
      <c r="AC14" s="27" t="n">
        <f aca="false">IF('Indicator Data'!AC14="",IF(Config!$C$15="Score as High (5)",5,0),IF(Indicators!$F14="Higher = riskier",1+('Indicator Data'!AC14&gt;=Indicators!$G14)+('Indicator Data'!AC14&gt;=Indicators!$H14)+('Indicator Data'!AC14&gt;=Indicators!$I14)+('Indicator Data'!AC14&gt;=Indicators!$J14),1+('Indicator Data'!AC14&lt;=Indicators!$G14)+('Indicator Data'!AC14&lt;=Indicators!$H14)+('Indicator Data'!AC14&lt;=Indicators!$I14)+('Indicator Data'!AC14&lt;=Indicators!$J14)))</f>
        <v>3</v>
      </c>
      <c r="AD14" s="27" t="n">
        <f aca="false">IF('Indicator Data'!AD14="",IF(Config!$C$15="Score as High (5)",5,0),IF(Indicators!$F14="Higher = riskier",1+('Indicator Data'!AD14&gt;=Indicators!$G14)+('Indicator Data'!AD14&gt;=Indicators!$H14)+('Indicator Data'!AD14&gt;=Indicators!$I14)+('Indicator Data'!AD14&gt;=Indicators!$J14),1+('Indicator Data'!AD14&lt;=Indicators!$G14)+('Indicator Data'!AD14&lt;=Indicators!$H14)+('Indicator Data'!AD14&lt;=Indicators!$I14)+('Indicator Data'!AD14&lt;=Indicators!$J14)))</f>
        <v>3</v>
      </c>
      <c r="AE14" s="27" t="n">
        <f aca="false">IF('Indicator Data'!AE14="",IF(Config!$C$15="Score as High (5)",5,0),IF(Indicators!$F14="Higher = riskier",1+('Indicator Data'!AE14&gt;=Indicators!$G14)+('Indicator Data'!AE14&gt;=Indicators!$H14)+('Indicator Data'!AE14&gt;=Indicators!$I14)+('Indicator Data'!AE14&gt;=Indicators!$J14),1+('Indicator Data'!AE14&lt;=Indicators!$G14)+('Indicator Data'!AE14&lt;=Indicators!$H14)+('Indicator Data'!AE14&lt;=Indicators!$I14)+('Indicator Data'!AE14&lt;=Indicators!$J14)))</f>
        <v>1</v>
      </c>
      <c r="AF14" s="27" t="n">
        <f aca="false">IF('Indicator Data'!AF14="",IF(Config!$C$15="Score as High (5)",5,0),IF(Indicators!$F14="Higher = riskier",1+('Indicator Data'!AF14&gt;=Indicators!$G14)+('Indicator Data'!AF14&gt;=Indicators!$H14)+('Indicator Data'!AF14&gt;=Indicators!$I14)+('Indicator Data'!AF14&gt;=Indicators!$J14),1+('Indicator Data'!AF14&lt;=Indicators!$G14)+('Indicator Data'!AF14&lt;=Indicators!$H14)+('Indicator Data'!AF14&lt;=Indicators!$I14)+('Indicator Data'!AF14&lt;=Indicators!$J14)))</f>
        <v>2</v>
      </c>
      <c r="AG14" s="27" t="n">
        <f aca="false">IF('Indicator Data'!AG14="",IF(Config!$C$15="Score as High (5)",5,0),IF(Indicators!$F14="Higher = riskier",1+('Indicator Data'!AG14&gt;=Indicators!$G14)+('Indicator Data'!AG14&gt;=Indicators!$H14)+('Indicator Data'!AG14&gt;=Indicators!$I14)+('Indicator Data'!AG14&gt;=Indicators!$J14),1+('Indicator Data'!AG14&lt;=Indicators!$G14)+('Indicator Data'!AG14&lt;=Indicators!$H14)+('Indicator Data'!AG14&lt;=Indicators!$I14)+('Indicator Data'!AG14&lt;=Indicators!$J14)))</f>
        <v>3</v>
      </c>
    </row>
    <row r="15" customFormat="false" ht="15" hidden="false" customHeight="false" outlineLevel="0" collapsed="false">
      <c r="A15" s="26" t="str">
        <f aca="false">Indicators!A15</f>
        <v>G04</v>
      </c>
      <c r="B15" s="26" t="str">
        <f aca="false">Indicators!C15</f>
        <v>Host-country corruption risk (CPI-based, 1–5)</v>
      </c>
      <c r="C15" s="26" t="str">
        <f aca="false">Indicators!D15</f>
        <v>score 1–5</v>
      </c>
      <c r="D15" s="27" t="n">
        <f aca="false">IF('Indicator Data'!D15="",IF(Config!$C$15="Score as High (5)",5,0),IF(Indicators!$F15="Higher = riskier",1+('Indicator Data'!D15&gt;=Indicators!$G15)+('Indicator Data'!D15&gt;=Indicators!$H15)+('Indicator Data'!D15&gt;=Indicators!$I15)+('Indicator Data'!D15&gt;=Indicators!$J15),1+('Indicator Data'!D15&lt;=Indicators!$G15)+('Indicator Data'!D15&lt;=Indicators!$H15)+('Indicator Data'!D15&lt;=Indicators!$I15)+('Indicator Data'!D15&lt;=Indicators!$J15)))</f>
        <v>3</v>
      </c>
      <c r="E15" s="27" t="n">
        <f aca="false">IF('Indicator Data'!E15="",IF(Config!$C$15="Score as High (5)",5,0),IF(Indicators!$F15="Higher = riskier",1+('Indicator Data'!E15&gt;=Indicators!$G15)+('Indicator Data'!E15&gt;=Indicators!$H15)+('Indicator Data'!E15&gt;=Indicators!$I15)+('Indicator Data'!E15&gt;=Indicators!$J15),1+('Indicator Data'!E15&lt;=Indicators!$G15)+('Indicator Data'!E15&lt;=Indicators!$H15)+('Indicator Data'!E15&lt;=Indicators!$I15)+('Indicator Data'!E15&lt;=Indicators!$J15)))</f>
        <v>3</v>
      </c>
      <c r="F15" s="27" t="n">
        <f aca="false">IF('Indicator Data'!F15="",IF(Config!$C$15="Score as High (5)",5,0),IF(Indicators!$F15="Higher = riskier",1+('Indicator Data'!F15&gt;=Indicators!$G15)+('Indicator Data'!F15&gt;=Indicators!$H15)+('Indicator Data'!F15&gt;=Indicators!$I15)+('Indicator Data'!F15&gt;=Indicators!$J15),1+('Indicator Data'!F15&lt;=Indicators!$G15)+('Indicator Data'!F15&lt;=Indicators!$H15)+('Indicator Data'!F15&lt;=Indicators!$I15)+('Indicator Data'!F15&lt;=Indicators!$J15)))</f>
        <v>3</v>
      </c>
      <c r="G15" s="27" t="n">
        <f aca="false">IF('Indicator Data'!G15="",IF(Config!$C$15="Score as High (5)",5,0),IF(Indicators!$F15="Higher = riskier",1+('Indicator Data'!G15&gt;=Indicators!$G15)+('Indicator Data'!G15&gt;=Indicators!$H15)+('Indicator Data'!G15&gt;=Indicators!$I15)+('Indicator Data'!G15&gt;=Indicators!$J15),1+('Indicator Data'!G15&lt;=Indicators!$G15)+('Indicator Data'!G15&lt;=Indicators!$H15)+('Indicator Data'!G15&lt;=Indicators!$I15)+('Indicator Data'!G15&lt;=Indicators!$J15)))</f>
        <v>3</v>
      </c>
      <c r="H15" s="27" t="n">
        <f aca="false">IF('Indicator Data'!H15="",IF(Config!$C$15="Score as High (5)",5,0),IF(Indicators!$F15="Higher = riskier",1+('Indicator Data'!H15&gt;=Indicators!$G15)+('Indicator Data'!H15&gt;=Indicators!$H15)+('Indicator Data'!H15&gt;=Indicators!$I15)+('Indicator Data'!H15&gt;=Indicators!$J15),1+('Indicator Data'!H15&lt;=Indicators!$G15)+('Indicator Data'!H15&lt;=Indicators!$H15)+('Indicator Data'!H15&lt;=Indicators!$I15)+('Indicator Data'!H15&lt;=Indicators!$J15)))</f>
        <v>4</v>
      </c>
      <c r="I15" s="27" t="n">
        <f aca="false">IF('Indicator Data'!I15="",IF(Config!$C$15="Score as High (5)",5,0),IF(Indicators!$F15="Higher = riskier",1+('Indicator Data'!I15&gt;=Indicators!$G15)+('Indicator Data'!I15&gt;=Indicators!$H15)+('Indicator Data'!I15&gt;=Indicators!$I15)+('Indicator Data'!I15&gt;=Indicators!$J15),1+('Indicator Data'!I15&lt;=Indicators!$G15)+('Indicator Data'!I15&lt;=Indicators!$H15)+('Indicator Data'!I15&lt;=Indicators!$I15)+('Indicator Data'!I15&lt;=Indicators!$J15)))</f>
        <v>4</v>
      </c>
      <c r="J15" s="27" t="n">
        <f aca="false">IF('Indicator Data'!J15="",IF(Config!$C$15="Score as High (5)",5,0),IF(Indicators!$F15="Higher = riskier",1+('Indicator Data'!J15&gt;=Indicators!$G15)+('Indicator Data'!J15&gt;=Indicators!$H15)+('Indicator Data'!J15&gt;=Indicators!$I15)+('Indicator Data'!J15&gt;=Indicators!$J15),1+('Indicator Data'!J15&lt;=Indicators!$G15)+('Indicator Data'!J15&lt;=Indicators!$H15)+('Indicator Data'!J15&lt;=Indicators!$I15)+('Indicator Data'!J15&lt;=Indicators!$J15)))</f>
        <v>4</v>
      </c>
      <c r="K15" s="27" t="n">
        <f aca="false">IF('Indicator Data'!K15="",IF(Config!$C$15="Score as High (5)",5,0),IF(Indicators!$F15="Higher = riskier",1+('Indicator Data'!K15&gt;=Indicators!$G15)+('Indicator Data'!K15&gt;=Indicators!$H15)+('Indicator Data'!K15&gt;=Indicators!$I15)+('Indicator Data'!K15&gt;=Indicators!$J15),1+('Indicator Data'!K15&lt;=Indicators!$G15)+('Indicator Data'!K15&lt;=Indicators!$H15)+('Indicator Data'!K15&lt;=Indicators!$I15)+('Indicator Data'!K15&lt;=Indicators!$J15)))</f>
        <v>4</v>
      </c>
      <c r="L15" s="27" t="n">
        <f aca="false">IF('Indicator Data'!L15="",IF(Config!$C$15="Score as High (5)",5,0),IF(Indicators!$F15="Higher = riskier",1+('Indicator Data'!L15&gt;=Indicators!$G15)+('Indicator Data'!L15&gt;=Indicators!$H15)+('Indicator Data'!L15&gt;=Indicators!$I15)+('Indicator Data'!L15&gt;=Indicators!$J15),1+('Indicator Data'!L15&lt;=Indicators!$G15)+('Indicator Data'!L15&lt;=Indicators!$H15)+('Indicator Data'!L15&lt;=Indicators!$I15)+('Indicator Data'!L15&lt;=Indicators!$J15)))</f>
        <v>5</v>
      </c>
      <c r="M15" s="27" t="n">
        <f aca="false">IF('Indicator Data'!M15="",IF(Config!$C$15="Score as High (5)",5,0),IF(Indicators!$F15="Higher = riskier",1+('Indicator Data'!M15&gt;=Indicators!$G15)+('Indicator Data'!M15&gt;=Indicators!$H15)+('Indicator Data'!M15&gt;=Indicators!$I15)+('Indicator Data'!M15&gt;=Indicators!$J15),1+('Indicator Data'!M15&lt;=Indicators!$G15)+('Indicator Data'!M15&lt;=Indicators!$H15)+('Indicator Data'!M15&lt;=Indicators!$I15)+('Indicator Data'!M15&lt;=Indicators!$J15)))</f>
        <v>4</v>
      </c>
      <c r="N15" s="27" t="n">
        <f aca="false">IF('Indicator Data'!N15="",IF(Config!$C$15="Score as High (5)",5,0),IF(Indicators!$F15="Higher = riskier",1+('Indicator Data'!N15&gt;=Indicators!$G15)+('Indicator Data'!N15&gt;=Indicators!$H15)+('Indicator Data'!N15&gt;=Indicators!$I15)+('Indicator Data'!N15&gt;=Indicators!$J15),1+('Indicator Data'!N15&lt;=Indicators!$G15)+('Indicator Data'!N15&lt;=Indicators!$H15)+('Indicator Data'!N15&lt;=Indicators!$I15)+('Indicator Data'!N15&lt;=Indicators!$J15)))</f>
        <v>4</v>
      </c>
      <c r="O15" s="27" t="n">
        <f aca="false">IF('Indicator Data'!O15="",IF(Config!$C$15="Score as High (5)",5,0),IF(Indicators!$F15="Higher = riskier",1+('Indicator Data'!O15&gt;=Indicators!$G15)+('Indicator Data'!O15&gt;=Indicators!$H15)+('Indicator Data'!O15&gt;=Indicators!$I15)+('Indicator Data'!O15&gt;=Indicators!$J15),1+('Indicator Data'!O15&lt;=Indicators!$G15)+('Indicator Data'!O15&lt;=Indicators!$H15)+('Indicator Data'!O15&lt;=Indicators!$I15)+('Indicator Data'!O15&lt;=Indicators!$J15)))</f>
        <v>3</v>
      </c>
      <c r="P15" s="27" t="n">
        <f aca="false">IF('Indicator Data'!P15="",IF(Config!$C$15="Score as High (5)",5,0),IF(Indicators!$F15="Higher = riskier",1+('Indicator Data'!P15&gt;=Indicators!$G15)+('Indicator Data'!P15&gt;=Indicators!$H15)+('Indicator Data'!P15&gt;=Indicators!$I15)+('Indicator Data'!P15&gt;=Indicators!$J15),1+('Indicator Data'!P15&lt;=Indicators!$G15)+('Indicator Data'!P15&lt;=Indicators!$H15)+('Indicator Data'!P15&lt;=Indicators!$I15)+('Indicator Data'!P15&lt;=Indicators!$J15)))</f>
        <v>2</v>
      </c>
      <c r="Q15" s="27" t="n">
        <f aca="false">IF('Indicator Data'!Q15="",IF(Config!$C$15="Score as High (5)",5,0),IF(Indicators!$F15="Higher = riskier",1+('Indicator Data'!Q15&gt;=Indicators!$G15)+('Indicator Data'!Q15&gt;=Indicators!$H15)+('Indicator Data'!Q15&gt;=Indicators!$I15)+('Indicator Data'!Q15&gt;=Indicators!$J15),1+('Indicator Data'!Q15&lt;=Indicators!$G15)+('Indicator Data'!Q15&lt;=Indicators!$H15)+('Indicator Data'!Q15&lt;=Indicators!$I15)+('Indicator Data'!Q15&lt;=Indicators!$J15)))</f>
        <v>3</v>
      </c>
      <c r="R15" s="27" t="n">
        <f aca="false">IF('Indicator Data'!R15="",IF(Config!$C$15="Score as High (5)",5,0),IF(Indicators!$F15="Higher = riskier",1+('Indicator Data'!R15&gt;=Indicators!$G15)+('Indicator Data'!R15&gt;=Indicators!$H15)+('Indicator Data'!R15&gt;=Indicators!$I15)+('Indicator Data'!R15&gt;=Indicators!$J15),1+('Indicator Data'!R15&lt;=Indicators!$G15)+('Indicator Data'!R15&lt;=Indicators!$H15)+('Indicator Data'!R15&lt;=Indicators!$I15)+('Indicator Data'!R15&lt;=Indicators!$J15)))</f>
        <v>5</v>
      </c>
      <c r="S15" s="27" t="n">
        <f aca="false">IF('Indicator Data'!S15="",IF(Config!$C$15="Score as High (5)",5,0),IF(Indicators!$F15="Higher = riskier",1+('Indicator Data'!S15&gt;=Indicators!$G15)+('Indicator Data'!S15&gt;=Indicators!$H15)+('Indicator Data'!S15&gt;=Indicators!$I15)+('Indicator Data'!S15&gt;=Indicators!$J15),1+('Indicator Data'!S15&lt;=Indicators!$G15)+('Indicator Data'!S15&lt;=Indicators!$H15)+('Indicator Data'!S15&lt;=Indicators!$I15)+('Indicator Data'!S15&lt;=Indicators!$J15)))</f>
        <v>4</v>
      </c>
      <c r="T15" s="27" t="n">
        <f aca="false">IF('Indicator Data'!T15="",IF(Config!$C$15="Score as High (5)",5,0),IF(Indicators!$F15="Higher = riskier",1+('Indicator Data'!T15&gt;=Indicators!$G15)+('Indicator Data'!T15&gt;=Indicators!$H15)+('Indicator Data'!T15&gt;=Indicators!$I15)+('Indicator Data'!T15&gt;=Indicators!$J15),1+('Indicator Data'!T15&lt;=Indicators!$G15)+('Indicator Data'!T15&lt;=Indicators!$H15)+('Indicator Data'!T15&lt;=Indicators!$I15)+('Indicator Data'!T15&lt;=Indicators!$J15)))</f>
        <v>3</v>
      </c>
      <c r="U15" s="27" t="n">
        <f aca="false">IF('Indicator Data'!U15="",IF(Config!$C$15="Score as High (5)",5,0),IF(Indicators!$F15="Higher = riskier",1+('Indicator Data'!U15&gt;=Indicators!$G15)+('Indicator Data'!U15&gt;=Indicators!$H15)+('Indicator Data'!U15&gt;=Indicators!$I15)+('Indicator Data'!U15&gt;=Indicators!$J15),1+('Indicator Data'!U15&lt;=Indicators!$G15)+('Indicator Data'!U15&lt;=Indicators!$H15)+('Indicator Data'!U15&lt;=Indicators!$I15)+('Indicator Data'!U15&lt;=Indicators!$J15)))</f>
        <v>3</v>
      </c>
      <c r="V15" s="27" t="n">
        <f aca="false">IF('Indicator Data'!V15="",IF(Config!$C$15="Score as High (5)",5,0),IF(Indicators!$F15="Higher = riskier",1+('Indicator Data'!V15&gt;=Indicators!$G15)+('Indicator Data'!V15&gt;=Indicators!$H15)+('Indicator Data'!V15&gt;=Indicators!$I15)+('Indicator Data'!V15&gt;=Indicators!$J15),1+('Indicator Data'!V15&lt;=Indicators!$G15)+('Indicator Data'!V15&lt;=Indicators!$H15)+('Indicator Data'!V15&lt;=Indicators!$I15)+('Indicator Data'!V15&lt;=Indicators!$J15)))</f>
        <v>3</v>
      </c>
      <c r="W15" s="27" t="n">
        <f aca="false">IF('Indicator Data'!W15="",IF(Config!$C$15="Score as High (5)",5,0),IF(Indicators!$F15="Higher = riskier",1+('Indicator Data'!W15&gt;=Indicators!$G15)+('Indicator Data'!W15&gt;=Indicators!$H15)+('Indicator Data'!W15&gt;=Indicators!$I15)+('Indicator Data'!W15&gt;=Indicators!$J15),1+('Indicator Data'!W15&lt;=Indicators!$G15)+('Indicator Data'!W15&lt;=Indicators!$H15)+('Indicator Data'!W15&lt;=Indicators!$I15)+('Indicator Data'!W15&lt;=Indicators!$J15)))</f>
        <v>3</v>
      </c>
      <c r="X15" s="27" t="n">
        <f aca="false">IF('Indicator Data'!X15="",IF(Config!$C$15="Score as High (5)",5,0),IF(Indicators!$F15="Higher = riskier",1+('Indicator Data'!X15&gt;=Indicators!$G15)+('Indicator Data'!X15&gt;=Indicators!$H15)+('Indicator Data'!X15&gt;=Indicators!$I15)+('Indicator Data'!X15&gt;=Indicators!$J15),1+('Indicator Data'!X15&lt;=Indicators!$G15)+('Indicator Data'!X15&lt;=Indicators!$H15)+('Indicator Data'!X15&lt;=Indicators!$I15)+('Indicator Data'!X15&lt;=Indicators!$J15)))</f>
        <v>4</v>
      </c>
      <c r="Y15" s="27" t="n">
        <f aca="false">IF('Indicator Data'!Y15="",IF(Config!$C$15="Score as High (5)",5,0),IF(Indicators!$F15="Higher = riskier",1+('Indicator Data'!Y15&gt;=Indicators!$G15)+('Indicator Data'!Y15&gt;=Indicators!$H15)+('Indicator Data'!Y15&gt;=Indicators!$I15)+('Indicator Data'!Y15&gt;=Indicators!$J15),1+('Indicator Data'!Y15&lt;=Indicators!$G15)+('Indicator Data'!Y15&lt;=Indicators!$H15)+('Indicator Data'!Y15&lt;=Indicators!$I15)+('Indicator Data'!Y15&lt;=Indicators!$J15)))</f>
        <v>3</v>
      </c>
      <c r="Z15" s="27" t="n">
        <f aca="false">IF('Indicator Data'!Z15="",IF(Config!$C$15="Score as High (5)",5,0),IF(Indicators!$F15="Higher = riskier",1+('Indicator Data'!Z15&gt;=Indicators!$G15)+('Indicator Data'!Z15&gt;=Indicators!$H15)+('Indicator Data'!Z15&gt;=Indicators!$I15)+('Indicator Data'!Z15&gt;=Indicators!$J15),1+('Indicator Data'!Z15&lt;=Indicators!$G15)+('Indicator Data'!Z15&lt;=Indicators!$H15)+('Indicator Data'!Z15&lt;=Indicators!$I15)+('Indicator Data'!Z15&lt;=Indicators!$J15)))</f>
        <v>3</v>
      </c>
      <c r="AA15" s="27" t="n">
        <f aca="false">IF('Indicator Data'!AA15="",IF(Config!$C$15="Score as High (5)",5,0),IF(Indicators!$F15="Higher = riskier",1+('Indicator Data'!AA15&gt;=Indicators!$G15)+('Indicator Data'!AA15&gt;=Indicators!$H15)+('Indicator Data'!AA15&gt;=Indicators!$I15)+('Indicator Data'!AA15&gt;=Indicators!$J15),1+('Indicator Data'!AA15&lt;=Indicators!$G15)+('Indicator Data'!AA15&lt;=Indicators!$H15)+('Indicator Data'!AA15&lt;=Indicators!$I15)+('Indicator Data'!AA15&lt;=Indicators!$J15)))</f>
        <v>2</v>
      </c>
      <c r="AB15" s="27" t="n">
        <f aca="false">IF('Indicator Data'!AB15="",IF(Config!$C$15="Score as High (5)",5,0),IF(Indicators!$F15="Higher = riskier",1+('Indicator Data'!AB15&gt;=Indicators!$G15)+('Indicator Data'!AB15&gt;=Indicators!$H15)+('Indicator Data'!AB15&gt;=Indicators!$I15)+('Indicator Data'!AB15&gt;=Indicators!$J15),1+('Indicator Data'!AB15&lt;=Indicators!$G15)+('Indicator Data'!AB15&lt;=Indicators!$H15)+('Indicator Data'!AB15&lt;=Indicators!$I15)+('Indicator Data'!AB15&lt;=Indicators!$J15)))</f>
        <v>3</v>
      </c>
      <c r="AC15" s="27" t="n">
        <f aca="false">IF('Indicator Data'!AC15="",IF(Config!$C$15="Score as High (5)",5,0),IF(Indicators!$F15="Higher = riskier",1+('Indicator Data'!AC15&gt;=Indicators!$G15)+('Indicator Data'!AC15&gt;=Indicators!$H15)+('Indicator Data'!AC15&gt;=Indicators!$I15)+('Indicator Data'!AC15&gt;=Indicators!$J15),1+('Indicator Data'!AC15&lt;=Indicators!$G15)+('Indicator Data'!AC15&lt;=Indicators!$H15)+('Indicator Data'!AC15&lt;=Indicators!$I15)+('Indicator Data'!AC15&lt;=Indicators!$J15)))</f>
        <v>2</v>
      </c>
      <c r="AD15" s="27" t="n">
        <f aca="false">IF('Indicator Data'!AD15="",IF(Config!$C$15="Score as High (5)",5,0),IF(Indicators!$F15="Higher = riskier",1+('Indicator Data'!AD15&gt;=Indicators!$G15)+('Indicator Data'!AD15&gt;=Indicators!$H15)+('Indicator Data'!AD15&gt;=Indicators!$I15)+('Indicator Data'!AD15&gt;=Indicators!$J15),1+('Indicator Data'!AD15&lt;=Indicators!$G15)+('Indicator Data'!AD15&lt;=Indicators!$H15)+('Indicator Data'!AD15&lt;=Indicators!$I15)+('Indicator Data'!AD15&lt;=Indicators!$J15)))</f>
        <v>2</v>
      </c>
      <c r="AE15" s="27" t="n">
        <f aca="false">IF('Indicator Data'!AE15="",IF(Config!$C$15="Score as High (5)",5,0),IF(Indicators!$F15="Higher = riskier",1+('Indicator Data'!AE15&gt;=Indicators!$G15)+('Indicator Data'!AE15&gt;=Indicators!$H15)+('Indicator Data'!AE15&gt;=Indicators!$I15)+('Indicator Data'!AE15&gt;=Indicators!$J15),1+('Indicator Data'!AE15&lt;=Indicators!$G15)+('Indicator Data'!AE15&lt;=Indicators!$H15)+('Indicator Data'!AE15&lt;=Indicators!$I15)+('Indicator Data'!AE15&lt;=Indicators!$J15)))</f>
        <v>2</v>
      </c>
      <c r="AF15" s="27" t="n">
        <f aca="false">IF('Indicator Data'!AF15="",IF(Config!$C$15="Score as High (5)",5,0),IF(Indicators!$F15="Higher = riskier",1+('Indicator Data'!AF15&gt;=Indicators!$G15)+('Indicator Data'!AF15&gt;=Indicators!$H15)+('Indicator Data'!AF15&gt;=Indicators!$I15)+('Indicator Data'!AF15&gt;=Indicators!$J15),1+('Indicator Data'!AF15&lt;=Indicators!$G15)+('Indicator Data'!AF15&lt;=Indicators!$H15)+('Indicator Data'!AF15&lt;=Indicators!$I15)+('Indicator Data'!AF15&lt;=Indicators!$J15)))</f>
        <v>2</v>
      </c>
      <c r="AG15" s="27" t="n">
        <f aca="false">IF('Indicator Data'!AG15="",IF(Config!$C$15="Score as High (5)",5,0),IF(Indicators!$F15="Higher = riskier",1+('Indicator Data'!AG15&gt;=Indicators!$G15)+('Indicator Data'!AG15&gt;=Indicators!$H15)+('Indicator Data'!AG15&gt;=Indicators!$I15)+('Indicator Data'!AG15&gt;=Indicators!$J15),1+('Indicator Data'!AG15&lt;=Indicators!$G15)+('Indicator Data'!AG15&lt;=Indicators!$H15)+('Indicator Data'!AG15&lt;=Indicators!$I15)+('Indicator Data'!AG15&lt;=Indicators!$J15)))</f>
        <v>2</v>
      </c>
    </row>
    <row r="16" customFormat="false" ht="15" hidden="false" customHeight="false" outlineLevel="0" collapsed="false">
      <c r="A16" s="26" t="str">
        <f aca="false">Indicators!A16</f>
        <v>G05</v>
      </c>
      <c r="B16" s="26" t="str">
        <f aca="false">Indicators!C16</f>
        <v>% branches in border, free-zone or conflict-affected areas</v>
      </c>
      <c r="C16" s="26" t="str">
        <f aca="false">Indicators!D16</f>
        <v>%</v>
      </c>
      <c r="D16" s="27" t="n">
        <f aca="false">IF('Indicator Data'!D16="",IF(Config!$C$15="Score as High (5)",5,0),IF(Indicators!$F16="Higher = riskier",1+('Indicator Data'!D16&gt;=Indicators!$G16)+('Indicator Data'!D16&gt;=Indicators!$H16)+('Indicator Data'!D16&gt;=Indicators!$I16)+('Indicator Data'!D16&gt;=Indicators!$J16),1+('Indicator Data'!D16&lt;=Indicators!$G16)+('Indicator Data'!D16&lt;=Indicators!$H16)+('Indicator Data'!D16&lt;=Indicators!$I16)+('Indicator Data'!D16&lt;=Indicators!$J16)))</f>
        <v>2</v>
      </c>
      <c r="E16" s="27" t="n">
        <f aca="false">IF('Indicator Data'!E16="",IF(Config!$C$15="Score as High (5)",5,0),IF(Indicators!$F16="Higher = riskier",1+('Indicator Data'!E16&gt;=Indicators!$G16)+('Indicator Data'!E16&gt;=Indicators!$H16)+('Indicator Data'!E16&gt;=Indicators!$I16)+('Indicator Data'!E16&gt;=Indicators!$J16),1+('Indicator Data'!E16&lt;=Indicators!$G16)+('Indicator Data'!E16&lt;=Indicators!$H16)+('Indicator Data'!E16&lt;=Indicators!$I16)+('Indicator Data'!E16&lt;=Indicators!$J16)))</f>
        <v>4</v>
      </c>
      <c r="F16" s="27" t="n">
        <f aca="false">IF('Indicator Data'!F16="",IF(Config!$C$15="Score as High (5)",5,0),IF(Indicators!$F16="Higher = riskier",1+('Indicator Data'!F16&gt;=Indicators!$G16)+('Indicator Data'!F16&gt;=Indicators!$H16)+('Indicator Data'!F16&gt;=Indicators!$I16)+('Indicator Data'!F16&gt;=Indicators!$J16),1+('Indicator Data'!F16&lt;=Indicators!$G16)+('Indicator Data'!F16&lt;=Indicators!$H16)+('Indicator Data'!F16&lt;=Indicators!$I16)+('Indicator Data'!F16&lt;=Indicators!$J16)))</f>
        <v>3</v>
      </c>
      <c r="G16" s="27" t="n">
        <f aca="false">IF('Indicator Data'!G16="",IF(Config!$C$15="Score as High (5)",5,0),IF(Indicators!$F16="Higher = riskier",1+('Indicator Data'!G16&gt;=Indicators!$G16)+('Indicator Data'!G16&gt;=Indicators!$H16)+('Indicator Data'!G16&gt;=Indicators!$I16)+('Indicator Data'!G16&gt;=Indicators!$J16),1+('Indicator Data'!G16&lt;=Indicators!$G16)+('Indicator Data'!G16&lt;=Indicators!$H16)+('Indicator Data'!G16&lt;=Indicators!$I16)+('Indicator Data'!G16&lt;=Indicators!$J16)))</f>
        <v>3</v>
      </c>
      <c r="H16" s="27" t="n">
        <f aca="false">IF('Indicator Data'!H16="",IF(Config!$C$15="Score as High (5)",5,0),IF(Indicators!$F16="Higher = riskier",1+('Indicator Data'!H16&gt;=Indicators!$G16)+('Indicator Data'!H16&gt;=Indicators!$H16)+('Indicator Data'!H16&gt;=Indicators!$I16)+('Indicator Data'!H16&gt;=Indicators!$J16),1+('Indicator Data'!H16&lt;=Indicators!$G16)+('Indicator Data'!H16&lt;=Indicators!$H16)+('Indicator Data'!H16&lt;=Indicators!$I16)+('Indicator Data'!H16&lt;=Indicators!$J16)))</f>
        <v>2</v>
      </c>
      <c r="I16" s="27" t="n">
        <f aca="false">IF('Indicator Data'!I16="",IF(Config!$C$15="Score as High (5)",5,0),IF(Indicators!$F16="Higher = riskier",1+('Indicator Data'!I16&gt;=Indicators!$G16)+('Indicator Data'!I16&gt;=Indicators!$H16)+('Indicator Data'!I16&gt;=Indicators!$I16)+('Indicator Data'!I16&gt;=Indicators!$J16),1+('Indicator Data'!I16&lt;=Indicators!$G16)+('Indicator Data'!I16&lt;=Indicators!$H16)+('Indicator Data'!I16&lt;=Indicators!$I16)+('Indicator Data'!I16&lt;=Indicators!$J16)))</f>
        <v>2</v>
      </c>
      <c r="J16" s="27" t="n">
        <f aca="false">IF('Indicator Data'!J16="",IF(Config!$C$15="Score as High (5)",5,0),IF(Indicators!$F16="Higher = riskier",1+('Indicator Data'!J16&gt;=Indicators!$G16)+('Indicator Data'!J16&gt;=Indicators!$H16)+('Indicator Data'!J16&gt;=Indicators!$I16)+('Indicator Data'!J16&gt;=Indicators!$J16),1+('Indicator Data'!J16&lt;=Indicators!$G16)+('Indicator Data'!J16&lt;=Indicators!$H16)+('Indicator Data'!J16&lt;=Indicators!$I16)+('Indicator Data'!J16&lt;=Indicators!$J16)))</f>
        <v>5</v>
      </c>
      <c r="K16" s="27" t="n">
        <f aca="false">IF('Indicator Data'!K16="",IF(Config!$C$15="Score as High (5)",5,0),IF(Indicators!$F16="Higher = riskier",1+('Indicator Data'!K16&gt;=Indicators!$G16)+('Indicator Data'!K16&gt;=Indicators!$H16)+('Indicator Data'!K16&gt;=Indicators!$I16)+('Indicator Data'!K16&gt;=Indicators!$J16),1+('Indicator Data'!K16&lt;=Indicators!$G16)+('Indicator Data'!K16&lt;=Indicators!$H16)+('Indicator Data'!K16&lt;=Indicators!$I16)+('Indicator Data'!K16&lt;=Indicators!$J16)))</f>
        <v>4</v>
      </c>
      <c r="L16" s="27" t="n">
        <f aca="false">IF('Indicator Data'!L16="",IF(Config!$C$15="Score as High (5)",5,0),IF(Indicators!$F16="Higher = riskier",1+('Indicator Data'!L16&gt;=Indicators!$G16)+('Indicator Data'!L16&gt;=Indicators!$H16)+('Indicator Data'!L16&gt;=Indicators!$I16)+('Indicator Data'!L16&gt;=Indicators!$J16),1+('Indicator Data'!L16&lt;=Indicators!$G16)+('Indicator Data'!L16&lt;=Indicators!$H16)+('Indicator Data'!L16&lt;=Indicators!$I16)+('Indicator Data'!L16&lt;=Indicators!$J16)))</f>
        <v>5</v>
      </c>
      <c r="M16" s="27" t="n">
        <f aca="false">IF('Indicator Data'!M16="",IF(Config!$C$15="Score as High (5)",5,0),IF(Indicators!$F16="Higher = riskier",1+('Indicator Data'!M16&gt;=Indicators!$G16)+('Indicator Data'!M16&gt;=Indicators!$H16)+('Indicator Data'!M16&gt;=Indicators!$I16)+('Indicator Data'!M16&gt;=Indicators!$J16),1+('Indicator Data'!M16&lt;=Indicators!$G16)+('Indicator Data'!M16&lt;=Indicators!$H16)+('Indicator Data'!M16&lt;=Indicators!$I16)+('Indicator Data'!M16&lt;=Indicators!$J16)))</f>
        <v>1</v>
      </c>
      <c r="N16" s="27" t="n">
        <f aca="false">IF('Indicator Data'!N16="",IF(Config!$C$15="Score as High (5)",5,0),IF(Indicators!$F16="Higher = riskier",1+('Indicator Data'!N16&gt;=Indicators!$G16)+('Indicator Data'!N16&gt;=Indicators!$H16)+('Indicator Data'!N16&gt;=Indicators!$I16)+('Indicator Data'!N16&gt;=Indicators!$J16),1+('Indicator Data'!N16&lt;=Indicators!$G16)+('Indicator Data'!N16&lt;=Indicators!$H16)+('Indicator Data'!N16&lt;=Indicators!$I16)+('Indicator Data'!N16&lt;=Indicators!$J16)))</f>
        <v>3</v>
      </c>
      <c r="O16" s="27" t="n">
        <f aca="false">IF('Indicator Data'!O16="",IF(Config!$C$15="Score as High (5)",5,0),IF(Indicators!$F16="Higher = riskier",1+('Indicator Data'!O16&gt;=Indicators!$G16)+('Indicator Data'!O16&gt;=Indicators!$H16)+('Indicator Data'!O16&gt;=Indicators!$I16)+('Indicator Data'!O16&gt;=Indicators!$J16),1+('Indicator Data'!O16&lt;=Indicators!$G16)+('Indicator Data'!O16&lt;=Indicators!$H16)+('Indicator Data'!O16&lt;=Indicators!$I16)+('Indicator Data'!O16&lt;=Indicators!$J16)))</f>
        <v>3</v>
      </c>
      <c r="P16" s="27" t="n">
        <f aca="false">IF('Indicator Data'!P16="",IF(Config!$C$15="Score as High (5)",5,0),IF(Indicators!$F16="Higher = riskier",1+('Indicator Data'!P16&gt;=Indicators!$G16)+('Indicator Data'!P16&gt;=Indicators!$H16)+('Indicator Data'!P16&gt;=Indicators!$I16)+('Indicator Data'!P16&gt;=Indicators!$J16),1+('Indicator Data'!P16&lt;=Indicators!$G16)+('Indicator Data'!P16&lt;=Indicators!$H16)+('Indicator Data'!P16&lt;=Indicators!$I16)+('Indicator Data'!P16&lt;=Indicators!$J16)))</f>
        <v>1</v>
      </c>
      <c r="Q16" s="27" t="n">
        <f aca="false">IF('Indicator Data'!Q16="",IF(Config!$C$15="Score as High (5)",5,0),IF(Indicators!$F16="Higher = riskier",1+('Indicator Data'!Q16&gt;=Indicators!$G16)+('Indicator Data'!Q16&gt;=Indicators!$H16)+('Indicator Data'!Q16&gt;=Indicators!$I16)+('Indicator Data'!Q16&gt;=Indicators!$J16),1+('Indicator Data'!Q16&lt;=Indicators!$G16)+('Indicator Data'!Q16&lt;=Indicators!$H16)+('Indicator Data'!Q16&lt;=Indicators!$I16)+('Indicator Data'!Q16&lt;=Indicators!$J16)))</f>
        <v>1</v>
      </c>
      <c r="R16" s="27" t="n">
        <f aca="false">IF('Indicator Data'!R16="",IF(Config!$C$15="Score as High (5)",5,0),IF(Indicators!$F16="Higher = riskier",1+('Indicator Data'!R16&gt;=Indicators!$G16)+('Indicator Data'!R16&gt;=Indicators!$H16)+('Indicator Data'!R16&gt;=Indicators!$I16)+('Indicator Data'!R16&gt;=Indicators!$J16),1+('Indicator Data'!R16&lt;=Indicators!$G16)+('Indicator Data'!R16&lt;=Indicators!$H16)+('Indicator Data'!R16&lt;=Indicators!$I16)+('Indicator Data'!R16&lt;=Indicators!$J16)))</f>
        <v>3</v>
      </c>
      <c r="S16" s="27" t="n">
        <f aca="false">IF('Indicator Data'!S16="",IF(Config!$C$15="Score as High (5)",5,0),IF(Indicators!$F16="Higher = riskier",1+('Indicator Data'!S16&gt;=Indicators!$G16)+('Indicator Data'!S16&gt;=Indicators!$H16)+('Indicator Data'!S16&gt;=Indicators!$I16)+('Indicator Data'!S16&gt;=Indicators!$J16),1+('Indicator Data'!S16&lt;=Indicators!$G16)+('Indicator Data'!S16&lt;=Indicators!$H16)+('Indicator Data'!S16&lt;=Indicators!$I16)+('Indicator Data'!S16&lt;=Indicators!$J16)))</f>
        <v>4</v>
      </c>
      <c r="T16" s="27" t="n">
        <f aca="false">IF('Indicator Data'!T16="",IF(Config!$C$15="Score as High (5)",5,0),IF(Indicators!$F16="Higher = riskier",1+('Indicator Data'!T16&gt;=Indicators!$G16)+('Indicator Data'!T16&gt;=Indicators!$H16)+('Indicator Data'!T16&gt;=Indicators!$I16)+('Indicator Data'!T16&gt;=Indicators!$J16),1+('Indicator Data'!T16&lt;=Indicators!$G16)+('Indicator Data'!T16&lt;=Indicators!$H16)+('Indicator Data'!T16&lt;=Indicators!$I16)+('Indicator Data'!T16&lt;=Indicators!$J16)))</f>
        <v>3</v>
      </c>
      <c r="U16" s="27" t="n">
        <f aca="false">IF('Indicator Data'!U16="",IF(Config!$C$15="Score as High (5)",5,0),IF(Indicators!$F16="Higher = riskier",1+('Indicator Data'!U16&gt;=Indicators!$G16)+('Indicator Data'!U16&gt;=Indicators!$H16)+('Indicator Data'!U16&gt;=Indicators!$I16)+('Indicator Data'!U16&gt;=Indicators!$J16),1+('Indicator Data'!U16&lt;=Indicators!$G16)+('Indicator Data'!U16&lt;=Indicators!$H16)+('Indicator Data'!U16&lt;=Indicators!$I16)+('Indicator Data'!U16&lt;=Indicators!$J16)))</f>
        <v>3</v>
      </c>
      <c r="V16" s="27" t="n">
        <f aca="false">IF('Indicator Data'!V16="",IF(Config!$C$15="Score as High (5)",5,0),IF(Indicators!$F16="Higher = riskier",1+('Indicator Data'!V16&gt;=Indicators!$G16)+('Indicator Data'!V16&gt;=Indicators!$H16)+('Indicator Data'!V16&gt;=Indicators!$I16)+('Indicator Data'!V16&gt;=Indicators!$J16),1+('Indicator Data'!V16&lt;=Indicators!$G16)+('Indicator Data'!V16&lt;=Indicators!$H16)+('Indicator Data'!V16&lt;=Indicators!$I16)+('Indicator Data'!V16&lt;=Indicators!$J16)))</f>
        <v>2</v>
      </c>
      <c r="W16" s="27" t="n">
        <f aca="false">IF('Indicator Data'!W16="",IF(Config!$C$15="Score as High (5)",5,0),IF(Indicators!$F16="Higher = riskier",1+('Indicator Data'!W16&gt;=Indicators!$G16)+('Indicator Data'!W16&gt;=Indicators!$H16)+('Indicator Data'!W16&gt;=Indicators!$I16)+('Indicator Data'!W16&gt;=Indicators!$J16),1+('Indicator Data'!W16&lt;=Indicators!$G16)+('Indicator Data'!W16&lt;=Indicators!$H16)+('Indicator Data'!W16&lt;=Indicators!$I16)+('Indicator Data'!W16&lt;=Indicators!$J16)))</f>
        <v>4</v>
      </c>
      <c r="X16" s="27" t="n">
        <f aca="false">IF('Indicator Data'!X16="",IF(Config!$C$15="Score as High (5)",5,0),IF(Indicators!$F16="Higher = riskier",1+('Indicator Data'!X16&gt;=Indicators!$G16)+('Indicator Data'!X16&gt;=Indicators!$H16)+('Indicator Data'!X16&gt;=Indicators!$I16)+('Indicator Data'!X16&gt;=Indicators!$J16),1+('Indicator Data'!X16&lt;=Indicators!$G16)+('Indicator Data'!X16&lt;=Indicators!$H16)+('Indicator Data'!X16&lt;=Indicators!$I16)+('Indicator Data'!X16&lt;=Indicators!$J16)))</f>
        <v>5</v>
      </c>
      <c r="Y16" s="27" t="n">
        <f aca="false">IF('Indicator Data'!Y16="",IF(Config!$C$15="Score as High (5)",5,0),IF(Indicators!$F16="Higher = riskier",1+('Indicator Data'!Y16&gt;=Indicators!$G16)+('Indicator Data'!Y16&gt;=Indicators!$H16)+('Indicator Data'!Y16&gt;=Indicators!$I16)+('Indicator Data'!Y16&gt;=Indicators!$J16),1+('Indicator Data'!Y16&lt;=Indicators!$G16)+('Indicator Data'!Y16&lt;=Indicators!$H16)+('Indicator Data'!Y16&lt;=Indicators!$I16)+('Indicator Data'!Y16&lt;=Indicators!$J16)))</f>
        <v>2</v>
      </c>
      <c r="Z16" s="27" t="n">
        <f aca="false">IF('Indicator Data'!Z16="",IF(Config!$C$15="Score as High (5)",5,0),IF(Indicators!$F16="Higher = riskier",1+('Indicator Data'!Z16&gt;=Indicators!$G16)+('Indicator Data'!Z16&gt;=Indicators!$H16)+('Indicator Data'!Z16&gt;=Indicators!$I16)+('Indicator Data'!Z16&gt;=Indicators!$J16),1+('Indicator Data'!Z16&lt;=Indicators!$G16)+('Indicator Data'!Z16&lt;=Indicators!$H16)+('Indicator Data'!Z16&lt;=Indicators!$I16)+('Indicator Data'!Z16&lt;=Indicators!$J16)))</f>
        <v>2</v>
      </c>
      <c r="AA16" s="27" t="n">
        <f aca="false">IF('Indicator Data'!AA16="",IF(Config!$C$15="Score as High (5)",5,0),IF(Indicators!$F16="Higher = riskier",1+('Indicator Data'!AA16&gt;=Indicators!$G16)+('Indicator Data'!AA16&gt;=Indicators!$H16)+('Indicator Data'!AA16&gt;=Indicators!$I16)+('Indicator Data'!AA16&gt;=Indicators!$J16),1+('Indicator Data'!AA16&lt;=Indicators!$G16)+('Indicator Data'!AA16&lt;=Indicators!$H16)+('Indicator Data'!AA16&lt;=Indicators!$I16)+('Indicator Data'!AA16&lt;=Indicators!$J16)))</f>
        <v>1</v>
      </c>
      <c r="AB16" s="27" t="n">
        <f aca="false">IF('Indicator Data'!AB16="",IF(Config!$C$15="Score as High (5)",5,0),IF(Indicators!$F16="Higher = riskier",1+('Indicator Data'!AB16&gt;=Indicators!$G16)+('Indicator Data'!AB16&gt;=Indicators!$H16)+('Indicator Data'!AB16&gt;=Indicators!$I16)+('Indicator Data'!AB16&gt;=Indicators!$J16),1+('Indicator Data'!AB16&lt;=Indicators!$G16)+('Indicator Data'!AB16&lt;=Indicators!$H16)+('Indicator Data'!AB16&lt;=Indicators!$I16)+('Indicator Data'!AB16&lt;=Indicators!$J16)))</f>
        <v>1</v>
      </c>
      <c r="AC16" s="27" t="n">
        <f aca="false">IF('Indicator Data'!AC16="",IF(Config!$C$15="Score as High (5)",5,0),IF(Indicators!$F16="Higher = riskier",1+('Indicator Data'!AC16&gt;=Indicators!$G16)+('Indicator Data'!AC16&gt;=Indicators!$H16)+('Indicator Data'!AC16&gt;=Indicators!$I16)+('Indicator Data'!AC16&gt;=Indicators!$J16),1+('Indicator Data'!AC16&lt;=Indicators!$G16)+('Indicator Data'!AC16&lt;=Indicators!$H16)+('Indicator Data'!AC16&lt;=Indicators!$I16)+('Indicator Data'!AC16&lt;=Indicators!$J16)))</f>
        <v>1</v>
      </c>
      <c r="AD16" s="27" t="n">
        <f aca="false">IF('Indicator Data'!AD16="",IF(Config!$C$15="Score as High (5)",5,0),IF(Indicators!$F16="Higher = riskier",1+('Indicator Data'!AD16&gt;=Indicators!$G16)+('Indicator Data'!AD16&gt;=Indicators!$H16)+('Indicator Data'!AD16&gt;=Indicators!$I16)+('Indicator Data'!AD16&gt;=Indicators!$J16),1+('Indicator Data'!AD16&lt;=Indicators!$G16)+('Indicator Data'!AD16&lt;=Indicators!$H16)+('Indicator Data'!AD16&lt;=Indicators!$I16)+('Indicator Data'!AD16&lt;=Indicators!$J16)))</f>
        <v>2</v>
      </c>
      <c r="AE16" s="27" t="n">
        <f aca="false">IF('Indicator Data'!AE16="",IF(Config!$C$15="Score as High (5)",5,0),IF(Indicators!$F16="Higher = riskier",1+('Indicator Data'!AE16&gt;=Indicators!$G16)+('Indicator Data'!AE16&gt;=Indicators!$H16)+('Indicator Data'!AE16&gt;=Indicators!$I16)+('Indicator Data'!AE16&gt;=Indicators!$J16),1+('Indicator Data'!AE16&lt;=Indicators!$G16)+('Indicator Data'!AE16&lt;=Indicators!$H16)+('Indicator Data'!AE16&lt;=Indicators!$I16)+('Indicator Data'!AE16&lt;=Indicators!$J16)))</f>
        <v>3</v>
      </c>
      <c r="AF16" s="27" t="n">
        <f aca="false">IF('Indicator Data'!AF16="",IF(Config!$C$15="Score as High (5)",5,0),IF(Indicators!$F16="Higher = riskier",1+('Indicator Data'!AF16&gt;=Indicators!$G16)+('Indicator Data'!AF16&gt;=Indicators!$H16)+('Indicator Data'!AF16&gt;=Indicators!$I16)+('Indicator Data'!AF16&gt;=Indicators!$J16),1+('Indicator Data'!AF16&lt;=Indicators!$G16)+('Indicator Data'!AF16&lt;=Indicators!$H16)+('Indicator Data'!AF16&lt;=Indicators!$I16)+('Indicator Data'!AF16&lt;=Indicators!$J16)))</f>
        <v>2</v>
      </c>
      <c r="AG16" s="27" t="n">
        <f aca="false">IF('Indicator Data'!AG16="",IF(Config!$C$15="Score as High (5)",5,0),IF(Indicators!$F16="Higher = riskier",1+('Indicator Data'!AG16&gt;=Indicators!$G16)+('Indicator Data'!AG16&gt;=Indicators!$H16)+('Indicator Data'!AG16&gt;=Indicators!$I16)+('Indicator Data'!AG16&gt;=Indicators!$J16),1+('Indicator Data'!AG16&lt;=Indicators!$G16)+('Indicator Data'!AG16&lt;=Indicators!$H16)+('Indicator Data'!AG16&lt;=Indicators!$I16)+('Indicator Data'!AG16&lt;=Indicators!$J16)))</f>
        <v>1</v>
      </c>
    </row>
    <row r="17" customFormat="false" ht="15" hidden="false" customHeight="false" outlineLevel="0" collapsed="false">
      <c r="A17" s="26" t="str">
        <f aca="false">Indicators!A17</f>
        <v>G06</v>
      </c>
      <c r="B17" s="26" t="str">
        <f aca="false">Indicators!C17</f>
        <v>% non-resident customers from non-CRS jurisdictions</v>
      </c>
      <c r="C17" s="26" t="str">
        <f aca="false">Indicators!D17</f>
        <v>%</v>
      </c>
      <c r="D17" s="27" t="n">
        <f aca="false">IF('Indicator Data'!D17="",IF(Config!$C$15="Score as High (5)",5,0),IF(Indicators!$F17="Higher = riskier",1+('Indicator Data'!D17&gt;=Indicators!$G17)+('Indicator Data'!D17&gt;=Indicators!$H17)+('Indicator Data'!D17&gt;=Indicators!$I17)+('Indicator Data'!D17&gt;=Indicators!$J17),1+('Indicator Data'!D17&lt;=Indicators!$G17)+('Indicator Data'!D17&lt;=Indicators!$H17)+('Indicator Data'!D17&lt;=Indicators!$I17)+('Indicator Data'!D17&lt;=Indicators!$J17)))</f>
        <v>3</v>
      </c>
      <c r="E17" s="27" t="n">
        <f aca="false">IF('Indicator Data'!E17="",IF(Config!$C$15="Score as High (5)",5,0),IF(Indicators!$F17="Higher = riskier",1+('Indicator Data'!E17&gt;=Indicators!$G17)+('Indicator Data'!E17&gt;=Indicators!$H17)+('Indicator Data'!E17&gt;=Indicators!$I17)+('Indicator Data'!E17&gt;=Indicators!$J17),1+('Indicator Data'!E17&lt;=Indicators!$G17)+('Indicator Data'!E17&lt;=Indicators!$H17)+('Indicator Data'!E17&lt;=Indicators!$I17)+('Indicator Data'!E17&lt;=Indicators!$J17)))</f>
        <v>2</v>
      </c>
      <c r="F17" s="27" t="n">
        <f aca="false">IF('Indicator Data'!F17="",IF(Config!$C$15="Score as High (5)",5,0),IF(Indicators!$F17="Higher = riskier",1+('Indicator Data'!F17&gt;=Indicators!$G17)+('Indicator Data'!F17&gt;=Indicators!$H17)+('Indicator Data'!F17&gt;=Indicators!$I17)+('Indicator Data'!F17&gt;=Indicators!$J17),1+('Indicator Data'!F17&lt;=Indicators!$G17)+('Indicator Data'!F17&lt;=Indicators!$H17)+('Indicator Data'!F17&lt;=Indicators!$I17)+('Indicator Data'!F17&lt;=Indicators!$J17)))</f>
        <v>4</v>
      </c>
      <c r="G17" s="27" t="n">
        <f aca="false">IF('Indicator Data'!G17="",IF(Config!$C$15="Score as High (5)",5,0),IF(Indicators!$F17="Higher = riskier",1+('Indicator Data'!G17&gt;=Indicators!$G17)+('Indicator Data'!G17&gt;=Indicators!$H17)+('Indicator Data'!G17&gt;=Indicators!$I17)+('Indicator Data'!G17&gt;=Indicators!$J17),1+('Indicator Data'!G17&lt;=Indicators!$G17)+('Indicator Data'!G17&lt;=Indicators!$H17)+('Indicator Data'!G17&lt;=Indicators!$I17)+('Indicator Data'!G17&lt;=Indicators!$J17)))</f>
        <v>2</v>
      </c>
      <c r="H17" s="27" t="n">
        <f aca="false">IF('Indicator Data'!H17="",IF(Config!$C$15="Score as High (5)",5,0),IF(Indicators!$F17="Higher = riskier",1+('Indicator Data'!H17&gt;=Indicators!$G17)+('Indicator Data'!H17&gt;=Indicators!$H17)+('Indicator Data'!H17&gt;=Indicators!$I17)+('Indicator Data'!H17&gt;=Indicators!$J17),1+('Indicator Data'!H17&lt;=Indicators!$G17)+('Indicator Data'!H17&lt;=Indicators!$H17)+('Indicator Data'!H17&lt;=Indicators!$I17)+('Indicator Data'!H17&lt;=Indicators!$J17)))</f>
        <v>2</v>
      </c>
      <c r="I17" s="27" t="n">
        <f aca="false">IF('Indicator Data'!I17="",IF(Config!$C$15="Score as High (5)",5,0),IF(Indicators!$F17="Higher = riskier",1+('Indicator Data'!I17&gt;=Indicators!$G17)+('Indicator Data'!I17&gt;=Indicators!$H17)+('Indicator Data'!I17&gt;=Indicators!$I17)+('Indicator Data'!I17&gt;=Indicators!$J17),1+('Indicator Data'!I17&lt;=Indicators!$G17)+('Indicator Data'!I17&lt;=Indicators!$H17)+('Indicator Data'!I17&lt;=Indicators!$I17)+('Indicator Data'!I17&lt;=Indicators!$J17)))</f>
        <v>5</v>
      </c>
      <c r="J17" s="27" t="n">
        <f aca="false">IF('Indicator Data'!J17="",IF(Config!$C$15="Score as High (5)",5,0),IF(Indicators!$F17="Higher = riskier",1+('Indicator Data'!J17&gt;=Indicators!$G17)+('Indicator Data'!J17&gt;=Indicators!$H17)+('Indicator Data'!J17&gt;=Indicators!$I17)+('Indicator Data'!J17&gt;=Indicators!$J17),1+('Indicator Data'!J17&lt;=Indicators!$G17)+('Indicator Data'!J17&lt;=Indicators!$H17)+('Indicator Data'!J17&lt;=Indicators!$I17)+('Indicator Data'!J17&lt;=Indicators!$J17)))</f>
        <v>5</v>
      </c>
      <c r="K17" s="27" t="n">
        <f aca="false">IF('Indicator Data'!K17="",IF(Config!$C$15="Score as High (5)",5,0),IF(Indicators!$F17="Higher = riskier",1+('Indicator Data'!K17&gt;=Indicators!$G17)+('Indicator Data'!K17&gt;=Indicators!$H17)+('Indicator Data'!K17&gt;=Indicators!$I17)+('Indicator Data'!K17&gt;=Indicators!$J17),1+('Indicator Data'!K17&lt;=Indicators!$G17)+('Indicator Data'!K17&lt;=Indicators!$H17)+('Indicator Data'!K17&lt;=Indicators!$I17)+('Indicator Data'!K17&lt;=Indicators!$J17)))</f>
        <v>4</v>
      </c>
      <c r="L17" s="27" t="n">
        <f aca="false">IF('Indicator Data'!L17="",IF(Config!$C$15="Score as High (5)",5,0),IF(Indicators!$F17="Higher = riskier",1+('Indicator Data'!L17&gt;=Indicators!$G17)+('Indicator Data'!L17&gt;=Indicators!$H17)+('Indicator Data'!L17&gt;=Indicators!$I17)+('Indicator Data'!L17&gt;=Indicators!$J17),1+('Indicator Data'!L17&lt;=Indicators!$G17)+('Indicator Data'!L17&lt;=Indicators!$H17)+('Indicator Data'!L17&lt;=Indicators!$I17)+('Indicator Data'!L17&lt;=Indicators!$J17)))</f>
        <v>4</v>
      </c>
      <c r="M17" s="27" t="n">
        <f aca="false">IF('Indicator Data'!M17="",IF(Config!$C$15="Score as High (5)",5,0),IF(Indicators!$F17="Higher = riskier",1+('Indicator Data'!M17&gt;=Indicators!$G17)+('Indicator Data'!M17&gt;=Indicators!$H17)+('Indicator Data'!M17&gt;=Indicators!$I17)+('Indicator Data'!M17&gt;=Indicators!$J17),1+('Indicator Data'!M17&lt;=Indicators!$G17)+('Indicator Data'!M17&lt;=Indicators!$H17)+('Indicator Data'!M17&lt;=Indicators!$I17)+('Indicator Data'!M17&lt;=Indicators!$J17)))</f>
        <v>4</v>
      </c>
      <c r="N17" s="27" t="n">
        <f aca="false">IF('Indicator Data'!N17="",IF(Config!$C$15="Score as High (5)",5,0),IF(Indicators!$F17="Higher = riskier",1+('Indicator Data'!N17&gt;=Indicators!$G17)+('Indicator Data'!N17&gt;=Indicators!$H17)+('Indicator Data'!N17&gt;=Indicators!$I17)+('Indicator Data'!N17&gt;=Indicators!$J17),1+('Indicator Data'!N17&lt;=Indicators!$G17)+('Indicator Data'!N17&lt;=Indicators!$H17)+('Indicator Data'!N17&lt;=Indicators!$I17)+('Indicator Data'!N17&lt;=Indicators!$J17)))</f>
        <v>2</v>
      </c>
      <c r="O17" s="27" t="n">
        <f aca="false">IF('Indicator Data'!O17="",IF(Config!$C$15="Score as High (5)",5,0),IF(Indicators!$F17="Higher = riskier",1+('Indicator Data'!O17&gt;=Indicators!$G17)+('Indicator Data'!O17&gt;=Indicators!$H17)+('Indicator Data'!O17&gt;=Indicators!$I17)+('Indicator Data'!O17&gt;=Indicators!$J17),1+('Indicator Data'!O17&lt;=Indicators!$G17)+('Indicator Data'!O17&lt;=Indicators!$H17)+('Indicator Data'!O17&lt;=Indicators!$I17)+('Indicator Data'!O17&lt;=Indicators!$J17)))</f>
        <v>3</v>
      </c>
      <c r="P17" s="27" t="n">
        <f aca="false">IF('Indicator Data'!P17="",IF(Config!$C$15="Score as High (5)",5,0),IF(Indicators!$F17="Higher = riskier",1+('Indicator Data'!P17&gt;=Indicators!$G17)+('Indicator Data'!P17&gt;=Indicators!$H17)+('Indicator Data'!P17&gt;=Indicators!$I17)+('Indicator Data'!P17&gt;=Indicators!$J17),1+('Indicator Data'!P17&lt;=Indicators!$G17)+('Indicator Data'!P17&lt;=Indicators!$H17)+('Indicator Data'!P17&lt;=Indicators!$I17)+('Indicator Data'!P17&lt;=Indicators!$J17)))</f>
        <v>3</v>
      </c>
      <c r="Q17" s="27" t="n">
        <f aca="false">IF('Indicator Data'!Q17="",IF(Config!$C$15="Score as High (5)",5,0),IF(Indicators!$F17="Higher = riskier",1+('Indicator Data'!Q17&gt;=Indicators!$G17)+('Indicator Data'!Q17&gt;=Indicators!$H17)+('Indicator Data'!Q17&gt;=Indicators!$I17)+('Indicator Data'!Q17&gt;=Indicators!$J17),1+('Indicator Data'!Q17&lt;=Indicators!$G17)+('Indicator Data'!Q17&lt;=Indicators!$H17)+('Indicator Data'!Q17&lt;=Indicators!$I17)+('Indicator Data'!Q17&lt;=Indicators!$J17)))</f>
        <v>3</v>
      </c>
      <c r="R17" s="27" t="n">
        <f aca="false">IF('Indicator Data'!R17="",IF(Config!$C$15="Score as High (5)",5,0),IF(Indicators!$F17="Higher = riskier",1+('Indicator Data'!R17&gt;=Indicators!$G17)+('Indicator Data'!R17&gt;=Indicators!$H17)+('Indicator Data'!R17&gt;=Indicators!$I17)+('Indicator Data'!R17&gt;=Indicators!$J17),1+('Indicator Data'!R17&lt;=Indicators!$G17)+('Indicator Data'!R17&lt;=Indicators!$H17)+('Indicator Data'!R17&lt;=Indicators!$I17)+('Indicator Data'!R17&lt;=Indicators!$J17)))</f>
        <v>4</v>
      </c>
      <c r="S17" s="27" t="n">
        <f aca="false">IF('Indicator Data'!S17="",IF(Config!$C$15="Score as High (5)",5,0),IF(Indicators!$F17="Higher = riskier",1+('Indicator Data'!S17&gt;=Indicators!$G17)+('Indicator Data'!S17&gt;=Indicators!$H17)+('Indicator Data'!S17&gt;=Indicators!$I17)+('Indicator Data'!S17&gt;=Indicators!$J17),1+('Indicator Data'!S17&lt;=Indicators!$G17)+('Indicator Data'!S17&lt;=Indicators!$H17)+('Indicator Data'!S17&lt;=Indicators!$I17)+('Indicator Data'!S17&lt;=Indicators!$J17)))</f>
        <v>4</v>
      </c>
      <c r="T17" s="27" t="n">
        <f aca="false">IF('Indicator Data'!T17="",IF(Config!$C$15="Score as High (5)",5,0),IF(Indicators!$F17="Higher = riskier",1+('Indicator Data'!T17&gt;=Indicators!$G17)+('Indicator Data'!T17&gt;=Indicators!$H17)+('Indicator Data'!T17&gt;=Indicators!$I17)+('Indicator Data'!T17&gt;=Indicators!$J17),1+('Indicator Data'!T17&lt;=Indicators!$G17)+('Indicator Data'!T17&lt;=Indicators!$H17)+('Indicator Data'!T17&lt;=Indicators!$I17)+('Indicator Data'!T17&lt;=Indicators!$J17)))</f>
        <v>2</v>
      </c>
      <c r="U17" s="27" t="n">
        <f aca="false">IF('Indicator Data'!U17="",IF(Config!$C$15="Score as High (5)",5,0),IF(Indicators!$F17="Higher = riskier",1+('Indicator Data'!U17&gt;=Indicators!$G17)+('Indicator Data'!U17&gt;=Indicators!$H17)+('Indicator Data'!U17&gt;=Indicators!$I17)+('Indicator Data'!U17&gt;=Indicators!$J17),1+('Indicator Data'!U17&lt;=Indicators!$G17)+('Indicator Data'!U17&lt;=Indicators!$H17)+('Indicator Data'!U17&lt;=Indicators!$I17)+('Indicator Data'!U17&lt;=Indicators!$J17)))</f>
        <v>3</v>
      </c>
      <c r="V17" s="27" t="n">
        <f aca="false">IF('Indicator Data'!V17="",IF(Config!$C$15="Score as High (5)",5,0),IF(Indicators!$F17="Higher = riskier",1+('Indicator Data'!V17&gt;=Indicators!$G17)+('Indicator Data'!V17&gt;=Indicators!$H17)+('Indicator Data'!V17&gt;=Indicators!$I17)+('Indicator Data'!V17&gt;=Indicators!$J17),1+('Indicator Data'!V17&lt;=Indicators!$G17)+('Indicator Data'!V17&lt;=Indicators!$H17)+('Indicator Data'!V17&lt;=Indicators!$I17)+('Indicator Data'!V17&lt;=Indicators!$J17)))</f>
        <v>2</v>
      </c>
      <c r="W17" s="27" t="n">
        <f aca="false">IF('Indicator Data'!W17="",IF(Config!$C$15="Score as High (5)",5,0),IF(Indicators!$F17="Higher = riskier",1+('Indicator Data'!W17&gt;=Indicators!$G17)+('Indicator Data'!W17&gt;=Indicators!$H17)+('Indicator Data'!W17&gt;=Indicators!$I17)+('Indicator Data'!W17&gt;=Indicators!$J17),1+('Indicator Data'!W17&lt;=Indicators!$G17)+('Indicator Data'!W17&lt;=Indicators!$H17)+('Indicator Data'!W17&lt;=Indicators!$I17)+('Indicator Data'!W17&lt;=Indicators!$J17)))</f>
        <v>3</v>
      </c>
      <c r="X17" s="27" t="n">
        <f aca="false">IF('Indicator Data'!X17="",IF(Config!$C$15="Score as High (5)",5,0),IF(Indicators!$F17="Higher = riskier",1+('Indicator Data'!X17&gt;=Indicators!$G17)+('Indicator Data'!X17&gt;=Indicators!$H17)+('Indicator Data'!X17&gt;=Indicators!$I17)+('Indicator Data'!X17&gt;=Indicators!$J17),1+('Indicator Data'!X17&lt;=Indicators!$G17)+('Indicator Data'!X17&lt;=Indicators!$H17)+('Indicator Data'!X17&lt;=Indicators!$I17)+('Indicator Data'!X17&lt;=Indicators!$J17)))</f>
        <v>4</v>
      </c>
      <c r="Y17" s="27" t="n">
        <f aca="false">IF('Indicator Data'!Y17="",IF(Config!$C$15="Score as High (5)",5,0),IF(Indicators!$F17="Higher = riskier",1+('Indicator Data'!Y17&gt;=Indicators!$G17)+('Indicator Data'!Y17&gt;=Indicators!$H17)+('Indicator Data'!Y17&gt;=Indicators!$I17)+('Indicator Data'!Y17&gt;=Indicators!$J17),1+('Indicator Data'!Y17&lt;=Indicators!$G17)+('Indicator Data'!Y17&lt;=Indicators!$H17)+('Indicator Data'!Y17&lt;=Indicators!$I17)+('Indicator Data'!Y17&lt;=Indicators!$J17)))</f>
        <v>1</v>
      </c>
      <c r="Z17" s="27" t="n">
        <f aca="false">IF('Indicator Data'!Z17="",IF(Config!$C$15="Score as High (5)",5,0),IF(Indicators!$F17="Higher = riskier",1+('Indicator Data'!Z17&gt;=Indicators!$G17)+('Indicator Data'!Z17&gt;=Indicators!$H17)+('Indicator Data'!Z17&gt;=Indicators!$I17)+('Indicator Data'!Z17&gt;=Indicators!$J17),1+('Indicator Data'!Z17&lt;=Indicators!$G17)+('Indicator Data'!Z17&lt;=Indicators!$H17)+('Indicator Data'!Z17&lt;=Indicators!$I17)+('Indicator Data'!Z17&lt;=Indicators!$J17)))</f>
        <v>3</v>
      </c>
      <c r="AA17" s="27" t="n">
        <f aca="false">IF('Indicator Data'!AA17="",IF(Config!$C$15="Score as High (5)",5,0),IF(Indicators!$F17="Higher = riskier",1+('Indicator Data'!AA17&gt;=Indicators!$G17)+('Indicator Data'!AA17&gt;=Indicators!$H17)+('Indicator Data'!AA17&gt;=Indicators!$I17)+('Indicator Data'!AA17&gt;=Indicators!$J17),1+('Indicator Data'!AA17&lt;=Indicators!$G17)+('Indicator Data'!AA17&lt;=Indicators!$H17)+('Indicator Data'!AA17&lt;=Indicators!$I17)+('Indicator Data'!AA17&lt;=Indicators!$J17)))</f>
        <v>1</v>
      </c>
      <c r="AB17" s="27" t="n">
        <f aca="false">IF('Indicator Data'!AB17="",IF(Config!$C$15="Score as High (5)",5,0),IF(Indicators!$F17="Higher = riskier",1+('Indicator Data'!AB17&gt;=Indicators!$G17)+('Indicator Data'!AB17&gt;=Indicators!$H17)+('Indicator Data'!AB17&gt;=Indicators!$I17)+('Indicator Data'!AB17&gt;=Indicators!$J17),1+('Indicator Data'!AB17&lt;=Indicators!$G17)+('Indicator Data'!AB17&lt;=Indicators!$H17)+('Indicator Data'!AB17&lt;=Indicators!$I17)+('Indicator Data'!AB17&lt;=Indicators!$J17)))</f>
        <v>2</v>
      </c>
      <c r="AC17" s="27" t="n">
        <f aca="false">IF('Indicator Data'!AC17="",IF(Config!$C$15="Score as High (5)",5,0),IF(Indicators!$F17="Higher = riskier",1+('Indicator Data'!AC17&gt;=Indicators!$G17)+('Indicator Data'!AC17&gt;=Indicators!$H17)+('Indicator Data'!AC17&gt;=Indicators!$I17)+('Indicator Data'!AC17&gt;=Indicators!$J17),1+('Indicator Data'!AC17&lt;=Indicators!$G17)+('Indicator Data'!AC17&lt;=Indicators!$H17)+('Indicator Data'!AC17&lt;=Indicators!$I17)+('Indicator Data'!AC17&lt;=Indicators!$J17)))</f>
        <v>2</v>
      </c>
      <c r="AD17" s="27" t="n">
        <f aca="false">IF('Indicator Data'!AD17="",IF(Config!$C$15="Score as High (5)",5,0),IF(Indicators!$F17="Higher = riskier",1+('Indicator Data'!AD17&gt;=Indicators!$G17)+('Indicator Data'!AD17&gt;=Indicators!$H17)+('Indicator Data'!AD17&gt;=Indicators!$I17)+('Indicator Data'!AD17&gt;=Indicators!$J17),1+('Indicator Data'!AD17&lt;=Indicators!$G17)+('Indicator Data'!AD17&lt;=Indicators!$H17)+('Indicator Data'!AD17&lt;=Indicators!$I17)+('Indicator Data'!AD17&lt;=Indicators!$J17)))</f>
        <v>3</v>
      </c>
      <c r="AE17" s="27" t="n">
        <f aca="false">IF('Indicator Data'!AE17="",IF(Config!$C$15="Score as High (5)",5,0),IF(Indicators!$F17="Higher = riskier",1+('Indicator Data'!AE17&gt;=Indicators!$G17)+('Indicator Data'!AE17&gt;=Indicators!$H17)+('Indicator Data'!AE17&gt;=Indicators!$I17)+('Indicator Data'!AE17&gt;=Indicators!$J17),1+('Indicator Data'!AE17&lt;=Indicators!$G17)+('Indicator Data'!AE17&lt;=Indicators!$H17)+('Indicator Data'!AE17&lt;=Indicators!$I17)+('Indicator Data'!AE17&lt;=Indicators!$J17)))</f>
        <v>3</v>
      </c>
      <c r="AF17" s="27" t="n">
        <f aca="false">IF('Indicator Data'!AF17="",IF(Config!$C$15="Score as High (5)",5,0),IF(Indicators!$F17="Higher = riskier",1+('Indicator Data'!AF17&gt;=Indicators!$G17)+('Indicator Data'!AF17&gt;=Indicators!$H17)+('Indicator Data'!AF17&gt;=Indicators!$I17)+('Indicator Data'!AF17&gt;=Indicators!$J17),1+('Indicator Data'!AF17&lt;=Indicators!$G17)+('Indicator Data'!AF17&lt;=Indicators!$H17)+('Indicator Data'!AF17&lt;=Indicators!$I17)+('Indicator Data'!AF17&lt;=Indicators!$J17)))</f>
        <v>2</v>
      </c>
      <c r="AG17" s="27" t="n">
        <f aca="false">IF('Indicator Data'!AG17="",IF(Config!$C$15="Score as High (5)",5,0),IF(Indicators!$F17="Higher = riskier",1+('Indicator Data'!AG17&gt;=Indicators!$G17)+('Indicator Data'!AG17&gt;=Indicators!$H17)+('Indicator Data'!AG17&gt;=Indicators!$I17)+('Indicator Data'!AG17&gt;=Indicators!$J17),1+('Indicator Data'!AG17&lt;=Indicators!$G17)+('Indicator Data'!AG17&lt;=Indicators!$H17)+('Indicator Data'!AG17&lt;=Indicators!$I17)+('Indicator Data'!AG17&lt;=Indicators!$J17)))</f>
        <v>2</v>
      </c>
    </row>
    <row r="18" customFormat="false" ht="15" hidden="false" customHeight="false" outlineLevel="0" collapsed="false">
      <c r="A18" s="26" t="str">
        <f aca="false">Indicators!A18</f>
        <v>P01</v>
      </c>
      <c r="B18" s="26" t="str">
        <f aca="false">Indicators!C18</f>
        <v>Trade finance volume (% of total assets)</v>
      </c>
      <c r="C18" s="26" t="str">
        <f aca="false">Indicators!D18</f>
        <v>%</v>
      </c>
      <c r="D18" s="27" t="n">
        <f aca="false">IF('Indicator Data'!D18="",IF(Config!$C$15="Score as High (5)",5,0),IF(Indicators!$F18="Higher = riskier",1+('Indicator Data'!D18&gt;=Indicators!$G18)+('Indicator Data'!D18&gt;=Indicators!$H18)+('Indicator Data'!D18&gt;=Indicators!$I18)+('Indicator Data'!D18&gt;=Indicators!$J18),1+('Indicator Data'!D18&lt;=Indicators!$G18)+('Indicator Data'!D18&lt;=Indicators!$H18)+('Indicator Data'!D18&lt;=Indicators!$I18)+('Indicator Data'!D18&lt;=Indicators!$J18)))</f>
        <v>3</v>
      </c>
      <c r="E18" s="27" t="n">
        <f aca="false">IF('Indicator Data'!E18="",IF(Config!$C$15="Score as High (5)",5,0),IF(Indicators!$F18="Higher = riskier",1+('Indicator Data'!E18&gt;=Indicators!$G18)+('Indicator Data'!E18&gt;=Indicators!$H18)+('Indicator Data'!E18&gt;=Indicators!$I18)+('Indicator Data'!E18&gt;=Indicators!$J18),1+('Indicator Data'!E18&lt;=Indicators!$G18)+('Indicator Data'!E18&lt;=Indicators!$H18)+('Indicator Data'!E18&lt;=Indicators!$I18)+('Indicator Data'!E18&lt;=Indicators!$J18)))</f>
        <v>4</v>
      </c>
      <c r="F18" s="27" t="n">
        <f aca="false">IF('Indicator Data'!F18="",IF(Config!$C$15="Score as High (5)",5,0),IF(Indicators!$F18="Higher = riskier",1+('Indicator Data'!F18&gt;=Indicators!$G18)+('Indicator Data'!F18&gt;=Indicators!$H18)+('Indicator Data'!F18&gt;=Indicators!$I18)+('Indicator Data'!F18&gt;=Indicators!$J18),1+('Indicator Data'!F18&lt;=Indicators!$G18)+('Indicator Data'!F18&lt;=Indicators!$H18)+('Indicator Data'!F18&lt;=Indicators!$I18)+('Indicator Data'!F18&lt;=Indicators!$J18)))</f>
        <v>1</v>
      </c>
      <c r="G18" s="27" t="n">
        <f aca="false">IF('Indicator Data'!G18="",IF(Config!$C$15="Score as High (5)",5,0),IF(Indicators!$F18="Higher = riskier",1+('Indicator Data'!G18&gt;=Indicators!$G18)+('Indicator Data'!G18&gt;=Indicators!$H18)+('Indicator Data'!G18&gt;=Indicators!$I18)+('Indicator Data'!G18&gt;=Indicators!$J18),1+('Indicator Data'!G18&lt;=Indicators!$G18)+('Indicator Data'!G18&lt;=Indicators!$H18)+('Indicator Data'!G18&lt;=Indicators!$I18)+('Indicator Data'!G18&lt;=Indicators!$J18)))</f>
        <v>1</v>
      </c>
      <c r="H18" s="27" t="n">
        <f aca="false">IF('Indicator Data'!H18="",IF(Config!$C$15="Score as High (5)",5,0),IF(Indicators!$F18="Higher = riskier",1+('Indicator Data'!H18&gt;=Indicators!$G18)+('Indicator Data'!H18&gt;=Indicators!$H18)+('Indicator Data'!H18&gt;=Indicators!$I18)+('Indicator Data'!H18&gt;=Indicators!$J18),1+('Indicator Data'!H18&lt;=Indicators!$G18)+('Indicator Data'!H18&lt;=Indicators!$H18)+('Indicator Data'!H18&lt;=Indicators!$I18)+('Indicator Data'!H18&lt;=Indicators!$J18)))</f>
        <v>1</v>
      </c>
      <c r="I18" s="27" t="n">
        <f aca="false">IF('Indicator Data'!I18="",IF(Config!$C$15="Score as High (5)",5,0),IF(Indicators!$F18="Higher = riskier",1+('Indicator Data'!I18&gt;=Indicators!$G18)+('Indicator Data'!I18&gt;=Indicators!$H18)+('Indicator Data'!I18&gt;=Indicators!$I18)+('Indicator Data'!I18&gt;=Indicators!$J18),1+('Indicator Data'!I18&lt;=Indicators!$G18)+('Indicator Data'!I18&lt;=Indicators!$H18)+('Indicator Data'!I18&lt;=Indicators!$I18)+('Indicator Data'!I18&lt;=Indicators!$J18)))</f>
        <v>4</v>
      </c>
      <c r="J18" s="27" t="n">
        <f aca="false">IF('Indicator Data'!J18="",IF(Config!$C$15="Score as High (5)",5,0),IF(Indicators!$F18="Higher = riskier",1+('Indicator Data'!J18&gt;=Indicators!$G18)+('Indicator Data'!J18&gt;=Indicators!$H18)+('Indicator Data'!J18&gt;=Indicators!$I18)+('Indicator Data'!J18&gt;=Indicators!$J18),1+('Indicator Data'!J18&lt;=Indicators!$G18)+('Indicator Data'!J18&lt;=Indicators!$H18)+('Indicator Data'!J18&lt;=Indicators!$I18)+('Indicator Data'!J18&lt;=Indicators!$J18)))</f>
        <v>1</v>
      </c>
      <c r="K18" s="27" t="n">
        <f aca="false">IF('Indicator Data'!K18="",IF(Config!$C$15="Score as High (5)",5,0),IF(Indicators!$F18="Higher = riskier",1+('Indicator Data'!K18&gt;=Indicators!$G18)+('Indicator Data'!K18&gt;=Indicators!$H18)+('Indicator Data'!K18&gt;=Indicators!$I18)+('Indicator Data'!K18&gt;=Indicators!$J18),1+('Indicator Data'!K18&lt;=Indicators!$G18)+('Indicator Data'!K18&lt;=Indicators!$H18)+('Indicator Data'!K18&lt;=Indicators!$I18)+('Indicator Data'!K18&lt;=Indicators!$J18)))</f>
        <v>4</v>
      </c>
      <c r="L18" s="27" t="n">
        <f aca="false">IF('Indicator Data'!L18="",IF(Config!$C$15="Score as High (5)",5,0),IF(Indicators!$F18="Higher = riskier",1+('Indicator Data'!L18&gt;=Indicators!$G18)+('Indicator Data'!L18&gt;=Indicators!$H18)+('Indicator Data'!L18&gt;=Indicators!$I18)+('Indicator Data'!L18&gt;=Indicators!$J18),1+('Indicator Data'!L18&lt;=Indicators!$G18)+('Indicator Data'!L18&lt;=Indicators!$H18)+('Indicator Data'!L18&lt;=Indicators!$I18)+('Indicator Data'!L18&lt;=Indicators!$J18)))</f>
        <v>4</v>
      </c>
      <c r="M18" s="27" t="n">
        <f aca="false">IF('Indicator Data'!M18="",IF(Config!$C$15="Score as High (5)",5,0),IF(Indicators!$F18="Higher = riskier",1+('Indicator Data'!M18&gt;=Indicators!$G18)+('Indicator Data'!M18&gt;=Indicators!$H18)+('Indicator Data'!M18&gt;=Indicators!$I18)+('Indicator Data'!M18&gt;=Indicators!$J18),1+('Indicator Data'!M18&lt;=Indicators!$G18)+('Indicator Data'!M18&lt;=Indicators!$H18)+('Indicator Data'!M18&lt;=Indicators!$I18)+('Indicator Data'!M18&lt;=Indicators!$J18)))</f>
        <v>3</v>
      </c>
      <c r="N18" s="27" t="n">
        <f aca="false">IF('Indicator Data'!N18="",IF(Config!$C$15="Score as High (5)",5,0),IF(Indicators!$F18="Higher = riskier",1+('Indicator Data'!N18&gt;=Indicators!$G18)+('Indicator Data'!N18&gt;=Indicators!$H18)+('Indicator Data'!N18&gt;=Indicators!$I18)+('Indicator Data'!N18&gt;=Indicators!$J18),1+('Indicator Data'!N18&lt;=Indicators!$G18)+('Indicator Data'!N18&lt;=Indicators!$H18)+('Indicator Data'!N18&lt;=Indicators!$I18)+('Indicator Data'!N18&lt;=Indicators!$J18)))</f>
        <v>1</v>
      </c>
      <c r="O18" s="27" t="n">
        <f aca="false">IF('Indicator Data'!O18="",IF(Config!$C$15="Score as High (5)",5,0),IF(Indicators!$F18="Higher = riskier",1+('Indicator Data'!O18&gt;=Indicators!$G18)+('Indicator Data'!O18&gt;=Indicators!$H18)+('Indicator Data'!O18&gt;=Indicators!$I18)+('Indicator Data'!O18&gt;=Indicators!$J18),1+('Indicator Data'!O18&lt;=Indicators!$G18)+('Indicator Data'!O18&lt;=Indicators!$H18)+('Indicator Data'!O18&lt;=Indicators!$I18)+('Indicator Data'!O18&lt;=Indicators!$J18)))</f>
        <v>3</v>
      </c>
      <c r="P18" s="27" t="n">
        <f aca="false">IF('Indicator Data'!P18="",IF(Config!$C$15="Score as High (5)",5,0),IF(Indicators!$F18="Higher = riskier",1+('Indicator Data'!P18&gt;=Indicators!$G18)+('Indicator Data'!P18&gt;=Indicators!$H18)+('Indicator Data'!P18&gt;=Indicators!$I18)+('Indicator Data'!P18&gt;=Indicators!$J18),1+('Indicator Data'!P18&lt;=Indicators!$G18)+('Indicator Data'!P18&lt;=Indicators!$H18)+('Indicator Data'!P18&lt;=Indicators!$I18)+('Indicator Data'!P18&lt;=Indicators!$J18)))</f>
        <v>4</v>
      </c>
      <c r="Q18" s="27" t="n">
        <f aca="false">IF('Indicator Data'!Q18="",IF(Config!$C$15="Score as High (5)",5,0),IF(Indicators!$F18="Higher = riskier",1+('Indicator Data'!Q18&gt;=Indicators!$G18)+('Indicator Data'!Q18&gt;=Indicators!$H18)+('Indicator Data'!Q18&gt;=Indicators!$I18)+('Indicator Data'!Q18&gt;=Indicators!$J18),1+('Indicator Data'!Q18&lt;=Indicators!$G18)+('Indicator Data'!Q18&lt;=Indicators!$H18)+('Indicator Data'!Q18&lt;=Indicators!$I18)+('Indicator Data'!Q18&lt;=Indicators!$J18)))</f>
        <v>2</v>
      </c>
      <c r="R18" s="27" t="n">
        <f aca="false">IF('Indicator Data'!R18="",IF(Config!$C$15="Score as High (5)",5,0),IF(Indicators!$F18="Higher = riskier",1+('Indicator Data'!R18&gt;=Indicators!$G18)+('Indicator Data'!R18&gt;=Indicators!$H18)+('Indicator Data'!R18&gt;=Indicators!$I18)+('Indicator Data'!R18&gt;=Indicators!$J18),1+('Indicator Data'!R18&lt;=Indicators!$G18)+('Indicator Data'!R18&lt;=Indicators!$H18)+('Indicator Data'!R18&lt;=Indicators!$I18)+('Indicator Data'!R18&lt;=Indicators!$J18)))</f>
        <v>4</v>
      </c>
      <c r="S18" s="27" t="n">
        <f aca="false">IF('Indicator Data'!S18="",IF(Config!$C$15="Score as High (5)",5,0),IF(Indicators!$F18="Higher = riskier",1+('Indicator Data'!S18&gt;=Indicators!$G18)+('Indicator Data'!S18&gt;=Indicators!$H18)+('Indicator Data'!S18&gt;=Indicators!$I18)+('Indicator Data'!S18&gt;=Indicators!$J18),1+('Indicator Data'!S18&lt;=Indicators!$G18)+('Indicator Data'!S18&lt;=Indicators!$H18)+('Indicator Data'!S18&lt;=Indicators!$I18)+('Indicator Data'!S18&lt;=Indicators!$J18)))</f>
        <v>4</v>
      </c>
      <c r="T18" s="27" t="n">
        <f aca="false">IF('Indicator Data'!T18="",IF(Config!$C$15="Score as High (5)",5,0),IF(Indicators!$F18="Higher = riskier",1+('Indicator Data'!T18&gt;=Indicators!$G18)+('Indicator Data'!T18&gt;=Indicators!$H18)+('Indicator Data'!T18&gt;=Indicators!$I18)+('Indicator Data'!T18&gt;=Indicators!$J18),1+('Indicator Data'!T18&lt;=Indicators!$G18)+('Indicator Data'!T18&lt;=Indicators!$H18)+('Indicator Data'!T18&lt;=Indicators!$I18)+('Indicator Data'!T18&lt;=Indicators!$J18)))</f>
        <v>2</v>
      </c>
      <c r="U18" s="27" t="n">
        <f aca="false">IF('Indicator Data'!U18="",IF(Config!$C$15="Score as High (5)",5,0),IF(Indicators!$F18="Higher = riskier",1+('Indicator Data'!U18&gt;=Indicators!$G18)+('Indicator Data'!U18&gt;=Indicators!$H18)+('Indicator Data'!U18&gt;=Indicators!$I18)+('Indicator Data'!U18&gt;=Indicators!$J18),1+('Indicator Data'!U18&lt;=Indicators!$G18)+('Indicator Data'!U18&lt;=Indicators!$H18)+('Indicator Data'!U18&lt;=Indicators!$I18)+('Indicator Data'!U18&lt;=Indicators!$J18)))</f>
        <v>3</v>
      </c>
      <c r="V18" s="27" t="n">
        <f aca="false">IF('Indicator Data'!V18="",IF(Config!$C$15="Score as High (5)",5,0),IF(Indicators!$F18="Higher = riskier",1+('Indicator Data'!V18&gt;=Indicators!$G18)+('Indicator Data'!V18&gt;=Indicators!$H18)+('Indicator Data'!V18&gt;=Indicators!$I18)+('Indicator Data'!V18&gt;=Indicators!$J18),1+('Indicator Data'!V18&lt;=Indicators!$G18)+('Indicator Data'!V18&lt;=Indicators!$H18)+('Indicator Data'!V18&lt;=Indicators!$I18)+('Indicator Data'!V18&lt;=Indicators!$J18)))</f>
        <v>3</v>
      </c>
      <c r="W18" s="27" t="n">
        <f aca="false">IF('Indicator Data'!W18="",IF(Config!$C$15="Score as High (5)",5,0),IF(Indicators!$F18="Higher = riskier",1+('Indicator Data'!W18&gt;=Indicators!$G18)+('Indicator Data'!W18&gt;=Indicators!$H18)+('Indicator Data'!W18&gt;=Indicators!$I18)+('Indicator Data'!W18&gt;=Indicators!$J18),1+('Indicator Data'!W18&lt;=Indicators!$G18)+('Indicator Data'!W18&lt;=Indicators!$H18)+('Indicator Data'!W18&lt;=Indicators!$I18)+('Indicator Data'!W18&lt;=Indicators!$J18)))</f>
        <v>3</v>
      </c>
      <c r="X18" s="27" t="n">
        <f aca="false">IF('Indicator Data'!X18="",IF(Config!$C$15="Score as High (5)",5,0),IF(Indicators!$F18="Higher = riskier",1+('Indicator Data'!X18&gt;=Indicators!$G18)+('Indicator Data'!X18&gt;=Indicators!$H18)+('Indicator Data'!X18&gt;=Indicators!$I18)+('Indicator Data'!X18&gt;=Indicators!$J18),1+('Indicator Data'!X18&lt;=Indicators!$G18)+('Indicator Data'!X18&lt;=Indicators!$H18)+('Indicator Data'!X18&lt;=Indicators!$I18)+('Indicator Data'!X18&lt;=Indicators!$J18)))</f>
        <v>4</v>
      </c>
      <c r="Y18" s="27" t="n">
        <f aca="false">IF('Indicator Data'!Y18="",IF(Config!$C$15="Score as High (5)",5,0),IF(Indicators!$F18="Higher = riskier",1+('Indicator Data'!Y18&gt;=Indicators!$G18)+('Indicator Data'!Y18&gt;=Indicators!$H18)+('Indicator Data'!Y18&gt;=Indicators!$I18)+('Indicator Data'!Y18&gt;=Indicators!$J18),1+('Indicator Data'!Y18&lt;=Indicators!$G18)+('Indicator Data'!Y18&lt;=Indicators!$H18)+('Indicator Data'!Y18&lt;=Indicators!$I18)+('Indicator Data'!Y18&lt;=Indicators!$J18)))</f>
        <v>3</v>
      </c>
      <c r="Z18" s="27" t="n">
        <f aca="false">IF('Indicator Data'!Z18="",IF(Config!$C$15="Score as High (5)",5,0),IF(Indicators!$F18="Higher = riskier",1+('Indicator Data'!Z18&gt;=Indicators!$G18)+('Indicator Data'!Z18&gt;=Indicators!$H18)+('Indicator Data'!Z18&gt;=Indicators!$I18)+('Indicator Data'!Z18&gt;=Indicators!$J18),1+('Indicator Data'!Z18&lt;=Indicators!$G18)+('Indicator Data'!Z18&lt;=Indicators!$H18)+('Indicator Data'!Z18&lt;=Indicators!$I18)+('Indicator Data'!Z18&lt;=Indicators!$J18)))</f>
        <v>3</v>
      </c>
      <c r="AA18" s="27" t="n">
        <f aca="false">IF('Indicator Data'!AA18="",IF(Config!$C$15="Score as High (5)",5,0),IF(Indicators!$F18="Higher = riskier",1+('Indicator Data'!AA18&gt;=Indicators!$G18)+('Indicator Data'!AA18&gt;=Indicators!$H18)+('Indicator Data'!AA18&gt;=Indicators!$I18)+('Indicator Data'!AA18&gt;=Indicators!$J18),1+('Indicator Data'!AA18&lt;=Indicators!$G18)+('Indicator Data'!AA18&lt;=Indicators!$H18)+('Indicator Data'!AA18&lt;=Indicators!$I18)+('Indicator Data'!AA18&lt;=Indicators!$J18)))</f>
        <v>2</v>
      </c>
      <c r="AB18" s="27" t="n">
        <f aca="false">IF('Indicator Data'!AB18="",IF(Config!$C$15="Score as High (5)",5,0),IF(Indicators!$F18="Higher = riskier",1+('Indicator Data'!AB18&gt;=Indicators!$G18)+('Indicator Data'!AB18&gt;=Indicators!$H18)+('Indicator Data'!AB18&gt;=Indicators!$I18)+('Indicator Data'!AB18&gt;=Indicators!$J18),1+('Indicator Data'!AB18&lt;=Indicators!$G18)+('Indicator Data'!AB18&lt;=Indicators!$H18)+('Indicator Data'!AB18&lt;=Indicators!$I18)+('Indicator Data'!AB18&lt;=Indicators!$J18)))</f>
        <v>2</v>
      </c>
      <c r="AC18" s="27" t="n">
        <f aca="false">IF('Indicator Data'!AC18="",IF(Config!$C$15="Score as High (5)",5,0),IF(Indicators!$F18="Higher = riskier",1+('Indicator Data'!AC18&gt;=Indicators!$G18)+('Indicator Data'!AC18&gt;=Indicators!$H18)+('Indicator Data'!AC18&gt;=Indicators!$I18)+('Indicator Data'!AC18&gt;=Indicators!$J18),1+('Indicator Data'!AC18&lt;=Indicators!$G18)+('Indicator Data'!AC18&lt;=Indicators!$H18)+('Indicator Data'!AC18&lt;=Indicators!$I18)+('Indicator Data'!AC18&lt;=Indicators!$J18)))</f>
        <v>2</v>
      </c>
      <c r="AD18" s="27" t="n">
        <f aca="false">IF('Indicator Data'!AD18="",IF(Config!$C$15="Score as High (5)",5,0),IF(Indicators!$F18="Higher = riskier",1+('Indicator Data'!AD18&gt;=Indicators!$G18)+('Indicator Data'!AD18&gt;=Indicators!$H18)+('Indicator Data'!AD18&gt;=Indicators!$I18)+('Indicator Data'!AD18&gt;=Indicators!$J18),1+('Indicator Data'!AD18&lt;=Indicators!$G18)+('Indicator Data'!AD18&lt;=Indicators!$H18)+('Indicator Data'!AD18&lt;=Indicators!$I18)+('Indicator Data'!AD18&lt;=Indicators!$J18)))</f>
        <v>3</v>
      </c>
      <c r="AE18" s="27" t="n">
        <f aca="false">IF('Indicator Data'!AE18="",IF(Config!$C$15="Score as High (5)",5,0),IF(Indicators!$F18="Higher = riskier",1+('Indicator Data'!AE18&gt;=Indicators!$G18)+('Indicator Data'!AE18&gt;=Indicators!$H18)+('Indicator Data'!AE18&gt;=Indicators!$I18)+('Indicator Data'!AE18&gt;=Indicators!$J18),1+('Indicator Data'!AE18&lt;=Indicators!$G18)+('Indicator Data'!AE18&lt;=Indicators!$H18)+('Indicator Data'!AE18&lt;=Indicators!$I18)+('Indicator Data'!AE18&lt;=Indicators!$J18)))</f>
        <v>1</v>
      </c>
      <c r="AF18" s="27" t="n">
        <f aca="false">IF('Indicator Data'!AF18="",IF(Config!$C$15="Score as High (5)",5,0),IF(Indicators!$F18="Higher = riskier",1+('Indicator Data'!AF18&gt;=Indicators!$G18)+('Indicator Data'!AF18&gt;=Indicators!$H18)+('Indicator Data'!AF18&gt;=Indicators!$I18)+('Indicator Data'!AF18&gt;=Indicators!$J18),1+('Indicator Data'!AF18&lt;=Indicators!$G18)+('Indicator Data'!AF18&lt;=Indicators!$H18)+('Indicator Data'!AF18&lt;=Indicators!$I18)+('Indicator Data'!AF18&lt;=Indicators!$J18)))</f>
        <v>1</v>
      </c>
      <c r="AG18" s="27" t="n">
        <f aca="false">IF('Indicator Data'!AG18="",IF(Config!$C$15="Score as High (5)",5,0),IF(Indicators!$F18="Higher = riskier",1+('Indicator Data'!AG18&gt;=Indicators!$G18)+('Indicator Data'!AG18&gt;=Indicators!$H18)+('Indicator Data'!AG18&gt;=Indicators!$I18)+('Indicator Data'!AG18&gt;=Indicators!$J18),1+('Indicator Data'!AG18&lt;=Indicators!$G18)+('Indicator Data'!AG18&lt;=Indicators!$H18)+('Indicator Data'!AG18&lt;=Indicators!$I18)+('Indicator Data'!AG18&lt;=Indicators!$J18)))</f>
        <v>1</v>
      </c>
    </row>
    <row r="19" customFormat="false" ht="15" hidden="false" customHeight="false" outlineLevel="0" collapsed="false">
      <c r="A19" s="26" t="str">
        <f aca="false">Indicators!A19</f>
        <v>P02</v>
      </c>
      <c r="B19" s="26" t="str">
        <f aca="false">Indicators!C19</f>
        <v>Number of respondent (correspondent) bank relationships</v>
      </c>
      <c r="C19" s="26" t="str">
        <f aca="false">Indicators!D19</f>
        <v>count</v>
      </c>
      <c r="D19" s="27" t="n">
        <f aca="false">IF('Indicator Data'!D19="",IF(Config!$C$15="Score as High (5)",5,0),IF(Indicators!$F19="Higher = riskier",1+('Indicator Data'!D19&gt;=Indicators!$G19)+('Indicator Data'!D19&gt;=Indicators!$H19)+('Indicator Data'!D19&gt;=Indicators!$I19)+('Indicator Data'!D19&gt;=Indicators!$J19),1+('Indicator Data'!D19&lt;=Indicators!$G19)+('Indicator Data'!D19&lt;=Indicators!$H19)+('Indicator Data'!D19&lt;=Indicators!$I19)+('Indicator Data'!D19&lt;=Indicators!$J19)))</f>
        <v>4</v>
      </c>
      <c r="E19" s="27" t="n">
        <f aca="false">IF('Indicator Data'!E19="",IF(Config!$C$15="Score as High (5)",5,0),IF(Indicators!$F19="Higher = riskier",1+('Indicator Data'!E19&gt;=Indicators!$G19)+('Indicator Data'!E19&gt;=Indicators!$H19)+('Indicator Data'!E19&gt;=Indicators!$I19)+('Indicator Data'!E19&gt;=Indicators!$J19),1+('Indicator Data'!E19&lt;=Indicators!$G19)+('Indicator Data'!E19&lt;=Indicators!$H19)+('Indicator Data'!E19&lt;=Indicators!$I19)+('Indicator Data'!E19&lt;=Indicators!$J19)))</f>
        <v>3</v>
      </c>
      <c r="F19" s="27" t="n">
        <f aca="false">IF('Indicator Data'!F19="",IF(Config!$C$15="Score as High (5)",5,0),IF(Indicators!$F19="Higher = riskier",1+('Indicator Data'!F19&gt;=Indicators!$G19)+('Indicator Data'!F19&gt;=Indicators!$H19)+('Indicator Data'!F19&gt;=Indicators!$I19)+('Indicator Data'!F19&gt;=Indicators!$J19),1+('Indicator Data'!F19&lt;=Indicators!$G19)+('Indicator Data'!F19&lt;=Indicators!$H19)+('Indicator Data'!F19&lt;=Indicators!$I19)+('Indicator Data'!F19&lt;=Indicators!$J19)))</f>
        <v>1</v>
      </c>
      <c r="G19" s="27" t="n">
        <f aca="false">IF('Indicator Data'!G19="",IF(Config!$C$15="Score as High (5)",5,0),IF(Indicators!$F19="Higher = riskier",1+('Indicator Data'!G19&gt;=Indicators!$G19)+('Indicator Data'!G19&gt;=Indicators!$H19)+('Indicator Data'!G19&gt;=Indicators!$I19)+('Indicator Data'!G19&gt;=Indicators!$J19),1+('Indicator Data'!G19&lt;=Indicators!$G19)+('Indicator Data'!G19&lt;=Indicators!$H19)+('Indicator Data'!G19&lt;=Indicators!$I19)+('Indicator Data'!G19&lt;=Indicators!$J19)))</f>
        <v>1</v>
      </c>
      <c r="H19" s="27" t="n">
        <f aca="false">IF('Indicator Data'!H19="",IF(Config!$C$15="Score as High (5)",5,0),IF(Indicators!$F19="Higher = riskier",1+('Indicator Data'!H19&gt;=Indicators!$G19)+('Indicator Data'!H19&gt;=Indicators!$H19)+('Indicator Data'!H19&gt;=Indicators!$I19)+('Indicator Data'!H19&gt;=Indicators!$J19),1+('Indicator Data'!H19&lt;=Indicators!$G19)+('Indicator Data'!H19&lt;=Indicators!$H19)+('Indicator Data'!H19&lt;=Indicators!$I19)+('Indicator Data'!H19&lt;=Indicators!$J19)))</f>
        <v>1</v>
      </c>
      <c r="I19" s="27" t="n">
        <f aca="false">IF('Indicator Data'!I19="",IF(Config!$C$15="Score as High (5)",5,0),IF(Indicators!$F19="Higher = riskier",1+('Indicator Data'!I19&gt;=Indicators!$G19)+('Indicator Data'!I19&gt;=Indicators!$H19)+('Indicator Data'!I19&gt;=Indicators!$I19)+('Indicator Data'!I19&gt;=Indicators!$J19),1+('Indicator Data'!I19&lt;=Indicators!$G19)+('Indicator Data'!I19&lt;=Indicators!$H19)+('Indicator Data'!I19&lt;=Indicators!$I19)+('Indicator Data'!I19&lt;=Indicators!$J19)))</f>
        <v>5</v>
      </c>
      <c r="J19" s="27" t="n">
        <f aca="false">IF('Indicator Data'!J19="",IF(Config!$C$15="Score as High (5)",5,0),IF(Indicators!$F19="Higher = riskier",1+('Indicator Data'!J19&gt;=Indicators!$G19)+('Indicator Data'!J19&gt;=Indicators!$H19)+('Indicator Data'!J19&gt;=Indicators!$I19)+('Indicator Data'!J19&gt;=Indicators!$J19),1+('Indicator Data'!J19&lt;=Indicators!$G19)+('Indicator Data'!J19&lt;=Indicators!$H19)+('Indicator Data'!J19&lt;=Indicators!$I19)+('Indicator Data'!J19&lt;=Indicators!$J19)))</f>
        <v>1</v>
      </c>
      <c r="K19" s="27" t="n">
        <f aca="false">IF('Indicator Data'!K19="",IF(Config!$C$15="Score as High (5)",5,0),IF(Indicators!$F19="Higher = riskier",1+('Indicator Data'!K19&gt;=Indicators!$G19)+('Indicator Data'!K19&gt;=Indicators!$H19)+('Indicator Data'!K19&gt;=Indicators!$I19)+('Indicator Data'!K19&gt;=Indicators!$J19),1+('Indicator Data'!K19&lt;=Indicators!$G19)+('Indicator Data'!K19&lt;=Indicators!$H19)+('Indicator Data'!K19&lt;=Indicators!$I19)+('Indicator Data'!K19&lt;=Indicators!$J19)))</f>
        <v>3</v>
      </c>
      <c r="L19" s="27" t="n">
        <f aca="false">IF('Indicator Data'!L19="",IF(Config!$C$15="Score as High (5)",5,0),IF(Indicators!$F19="Higher = riskier",1+('Indicator Data'!L19&gt;=Indicators!$G19)+('Indicator Data'!L19&gt;=Indicators!$H19)+('Indicator Data'!L19&gt;=Indicators!$I19)+('Indicator Data'!L19&gt;=Indicators!$J19),1+('Indicator Data'!L19&lt;=Indicators!$G19)+('Indicator Data'!L19&lt;=Indicators!$H19)+('Indicator Data'!L19&lt;=Indicators!$I19)+('Indicator Data'!L19&lt;=Indicators!$J19)))</f>
        <v>3</v>
      </c>
      <c r="M19" s="27" t="n">
        <f aca="false">IF('Indicator Data'!M19="",IF(Config!$C$15="Score as High (5)",5,0),IF(Indicators!$F19="Higher = riskier",1+('Indicator Data'!M19&gt;=Indicators!$G19)+('Indicator Data'!M19&gt;=Indicators!$H19)+('Indicator Data'!M19&gt;=Indicators!$I19)+('Indicator Data'!M19&gt;=Indicators!$J19),1+('Indicator Data'!M19&lt;=Indicators!$G19)+('Indicator Data'!M19&lt;=Indicators!$H19)+('Indicator Data'!M19&lt;=Indicators!$I19)+('Indicator Data'!M19&lt;=Indicators!$J19)))</f>
        <v>3</v>
      </c>
      <c r="N19" s="27" t="n">
        <f aca="false">IF('Indicator Data'!N19="",IF(Config!$C$15="Score as High (5)",5,0),IF(Indicators!$F19="Higher = riskier",1+('Indicator Data'!N19&gt;=Indicators!$G19)+('Indicator Data'!N19&gt;=Indicators!$H19)+('Indicator Data'!N19&gt;=Indicators!$I19)+('Indicator Data'!N19&gt;=Indicators!$J19),1+('Indicator Data'!N19&lt;=Indicators!$G19)+('Indicator Data'!N19&lt;=Indicators!$H19)+('Indicator Data'!N19&lt;=Indicators!$I19)+('Indicator Data'!N19&lt;=Indicators!$J19)))</f>
        <v>4</v>
      </c>
      <c r="O19" s="27" t="n">
        <f aca="false">IF('Indicator Data'!O19="",IF(Config!$C$15="Score as High (5)",5,0),IF(Indicators!$F19="Higher = riskier",1+('Indicator Data'!O19&gt;=Indicators!$G19)+('Indicator Data'!O19&gt;=Indicators!$H19)+('Indicator Data'!O19&gt;=Indicators!$I19)+('Indicator Data'!O19&gt;=Indicators!$J19),1+('Indicator Data'!O19&lt;=Indicators!$G19)+('Indicator Data'!O19&lt;=Indicators!$H19)+('Indicator Data'!O19&lt;=Indicators!$I19)+('Indicator Data'!O19&lt;=Indicators!$J19)))</f>
        <v>3</v>
      </c>
      <c r="P19" s="27" t="n">
        <f aca="false">IF('Indicator Data'!P19="",IF(Config!$C$15="Score as High (5)",5,0),IF(Indicators!$F19="Higher = riskier",1+('Indicator Data'!P19&gt;=Indicators!$G19)+('Indicator Data'!P19&gt;=Indicators!$H19)+('Indicator Data'!P19&gt;=Indicators!$I19)+('Indicator Data'!P19&gt;=Indicators!$J19),1+('Indicator Data'!P19&lt;=Indicators!$G19)+('Indicator Data'!P19&lt;=Indicators!$H19)+('Indicator Data'!P19&lt;=Indicators!$I19)+('Indicator Data'!P19&lt;=Indicators!$J19)))</f>
        <v>4</v>
      </c>
      <c r="Q19" s="27" t="n">
        <f aca="false">IF('Indicator Data'!Q19="",IF(Config!$C$15="Score as High (5)",5,0),IF(Indicators!$F19="Higher = riskier",1+('Indicator Data'!Q19&gt;=Indicators!$G19)+('Indicator Data'!Q19&gt;=Indicators!$H19)+('Indicator Data'!Q19&gt;=Indicators!$I19)+('Indicator Data'!Q19&gt;=Indicators!$J19),1+('Indicator Data'!Q19&lt;=Indicators!$G19)+('Indicator Data'!Q19&lt;=Indicators!$H19)+('Indicator Data'!Q19&lt;=Indicators!$I19)+('Indicator Data'!Q19&lt;=Indicators!$J19)))</f>
        <v>2</v>
      </c>
      <c r="R19" s="27" t="n">
        <f aca="false">IF('Indicator Data'!R19="",IF(Config!$C$15="Score as High (5)",5,0),IF(Indicators!$F19="Higher = riskier",1+('Indicator Data'!R19&gt;=Indicators!$G19)+('Indicator Data'!R19&gt;=Indicators!$H19)+('Indicator Data'!R19&gt;=Indicators!$I19)+('Indicator Data'!R19&gt;=Indicators!$J19),1+('Indicator Data'!R19&lt;=Indicators!$G19)+('Indicator Data'!R19&lt;=Indicators!$H19)+('Indicator Data'!R19&lt;=Indicators!$I19)+('Indicator Data'!R19&lt;=Indicators!$J19)))</f>
        <v>4</v>
      </c>
      <c r="S19" s="27" t="n">
        <f aca="false">IF('Indicator Data'!S19="",IF(Config!$C$15="Score as High (5)",5,0),IF(Indicators!$F19="Higher = riskier",1+('Indicator Data'!S19&gt;=Indicators!$G19)+('Indicator Data'!S19&gt;=Indicators!$H19)+('Indicator Data'!S19&gt;=Indicators!$I19)+('Indicator Data'!S19&gt;=Indicators!$J19),1+('Indicator Data'!S19&lt;=Indicators!$G19)+('Indicator Data'!S19&lt;=Indicators!$H19)+('Indicator Data'!S19&lt;=Indicators!$I19)+('Indicator Data'!S19&lt;=Indicators!$J19)))</f>
        <v>5</v>
      </c>
      <c r="T19" s="27" t="n">
        <f aca="false">IF('Indicator Data'!T19="",IF(Config!$C$15="Score as High (5)",5,0),IF(Indicators!$F19="Higher = riskier",1+('Indicator Data'!T19&gt;=Indicators!$G19)+('Indicator Data'!T19&gt;=Indicators!$H19)+('Indicator Data'!T19&gt;=Indicators!$I19)+('Indicator Data'!T19&gt;=Indicators!$J19),1+('Indicator Data'!T19&lt;=Indicators!$G19)+('Indicator Data'!T19&lt;=Indicators!$H19)+('Indicator Data'!T19&lt;=Indicators!$I19)+('Indicator Data'!T19&lt;=Indicators!$J19)))</f>
        <v>1</v>
      </c>
      <c r="U19" s="27" t="n">
        <f aca="false">IF('Indicator Data'!U19="",IF(Config!$C$15="Score as High (5)",5,0),IF(Indicators!$F19="Higher = riskier",1+('Indicator Data'!U19&gt;=Indicators!$G19)+('Indicator Data'!U19&gt;=Indicators!$H19)+('Indicator Data'!U19&gt;=Indicators!$I19)+('Indicator Data'!U19&gt;=Indicators!$J19),1+('Indicator Data'!U19&lt;=Indicators!$G19)+('Indicator Data'!U19&lt;=Indicators!$H19)+('Indicator Data'!U19&lt;=Indicators!$I19)+('Indicator Data'!U19&lt;=Indicators!$J19)))</f>
        <v>3</v>
      </c>
      <c r="V19" s="27" t="n">
        <f aca="false">IF('Indicator Data'!V19="",IF(Config!$C$15="Score as High (5)",5,0),IF(Indicators!$F19="Higher = riskier",1+('Indicator Data'!V19&gt;=Indicators!$G19)+('Indicator Data'!V19&gt;=Indicators!$H19)+('Indicator Data'!V19&gt;=Indicators!$I19)+('Indicator Data'!V19&gt;=Indicators!$J19),1+('Indicator Data'!V19&lt;=Indicators!$G19)+('Indicator Data'!V19&lt;=Indicators!$H19)+('Indicator Data'!V19&lt;=Indicators!$I19)+('Indicator Data'!V19&lt;=Indicators!$J19)))</f>
        <v>2</v>
      </c>
      <c r="W19" s="27" t="n">
        <f aca="false">IF('Indicator Data'!W19="",IF(Config!$C$15="Score as High (5)",5,0),IF(Indicators!$F19="Higher = riskier",1+('Indicator Data'!W19&gt;=Indicators!$G19)+('Indicator Data'!W19&gt;=Indicators!$H19)+('Indicator Data'!W19&gt;=Indicators!$I19)+('Indicator Data'!W19&gt;=Indicators!$J19),1+('Indicator Data'!W19&lt;=Indicators!$G19)+('Indicator Data'!W19&lt;=Indicators!$H19)+('Indicator Data'!W19&lt;=Indicators!$I19)+('Indicator Data'!W19&lt;=Indicators!$J19)))</f>
        <v>4</v>
      </c>
      <c r="X19" s="27" t="n">
        <f aca="false">IF('Indicator Data'!X19="",IF(Config!$C$15="Score as High (5)",5,0),IF(Indicators!$F19="Higher = riskier",1+('Indicator Data'!X19&gt;=Indicators!$G19)+('Indicator Data'!X19&gt;=Indicators!$H19)+('Indicator Data'!X19&gt;=Indicators!$I19)+('Indicator Data'!X19&gt;=Indicators!$J19),1+('Indicator Data'!X19&lt;=Indicators!$G19)+('Indicator Data'!X19&lt;=Indicators!$H19)+('Indicator Data'!X19&lt;=Indicators!$I19)+('Indicator Data'!X19&lt;=Indicators!$J19)))</f>
        <v>4</v>
      </c>
      <c r="Y19" s="27" t="n">
        <f aca="false">IF('Indicator Data'!Y19="",IF(Config!$C$15="Score as High (5)",5,0),IF(Indicators!$F19="Higher = riskier",1+('Indicator Data'!Y19&gt;=Indicators!$G19)+('Indicator Data'!Y19&gt;=Indicators!$H19)+('Indicator Data'!Y19&gt;=Indicators!$I19)+('Indicator Data'!Y19&gt;=Indicators!$J19),1+('Indicator Data'!Y19&lt;=Indicators!$G19)+('Indicator Data'!Y19&lt;=Indicators!$H19)+('Indicator Data'!Y19&lt;=Indicators!$I19)+('Indicator Data'!Y19&lt;=Indicators!$J19)))</f>
        <v>1</v>
      </c>
      <c r="Z19" s="27" t="n">
        <f aca="false">IF('Indicator Data'!Z19="",IF(Config!$C$15="Score as High (5)",5,0),IF(Indicators!$F19="Higher = riskier",1+('Indicator Data'!Z19&gt;=Indicators!$G19)+('Indicator Data'!Z19&gt;=Indicators!$H19)+('Indicator Data'!Z19&gt;=Indicators!$I19)+('Indicator Data'!Z19&gt;=Indicators!$J19),1+('Indicator Data'!Z19&lt;=Indicators!$G19)+('Indicator Data'!Z19&lt;=Indicators!$H19)+('Indicator Data'!Z19&lt;=Indicators!$I19)+('Indicator Data'!Z19&lt;=Indicators!$J19)))</f>
        <v>1</v>
      </c>
      <c r="AA19" s="27" t="n">
        <f aca="false">IF('Indicator Data'!AA19="",IF(Config!$C$15="Score as High (5)",5,0),IF(Indicators!$F19="Higher = riskier",1+('Indicator Data'!AA19&gt;=Indicators!$G19)+('Indicator Data'!AA19&gt;=Indicators!$H19)+('Indicator Data'!AA19&gt;=Indicators!$I19)+('Indicator Data'!AA19&gt;=Indicators!$J19),1+('Indicator Data'!AA19&lt;=Indicators!$G19)+('Indicator Data'!AA19&lt;=Indicators!$H19)+('Indicator Data'!AA19&lt;=Indicators!$I19)+('Indicator Data'!AA19&lt;=Indicators!$J19)))</f>
        <v>2</v>
      </c>
      <c r="AB19" s="27" t="n">
        <f aca="false">IF('Indicator Data'!AB19="",IF(Config!$C$15="Score as High (5)",5,0),IF(Indicators!$F19="Higher = riskier",1+('Indicator Data'!AB19&gt;=Indicators!$G19)+('Indicator Data'!AB19&gt;=Indicators!$H19)+('Indicator Data'!AB19&gt;=Indicators!$I19)+('Indicator Data'!AB19&gt;=Indicators!$J19),1+('Indicator Data'!AB19&lt;=Indicators!$G19)+('Indicator Data'!AB19&lt;=Indicators!$H19)+('Indicator Data'!AB19&lt;=Indicators!$I19)+('Indicator Data'!AB19&lt;=Indicators!$J19)))</f>
        <v>1</v>
      </c>
      <c r="AC19" s="27" t="n">
        <f aca="false">IF('Indicator Data'!AC19="",IF(Config!$C$15="Score as High (5)",5,0),IF(Indicators!$F19="Higher = riskier",1+('Indicator Data'!AC19&gt;=Indicators!$G19)+('Indicator Data'!AC19&gt;=Indicators!$H19)+('Indicator Data'!AC19&gt;=Indicators!$I19)+('Indicator Data'!AC19&gt;=Indicators!$J19),1+('Indicator Data'!AC19&lt;=Indicators!$G19)+('Indicator Data'!AC19&lt;=Indicators!$H19)+('Indicator Data'!AC19&lt;=Indicators!$I19)+('Indicator Data'!AC19&lt;=Indicators!$J19)))</f>
        <v>2</v>
      </c>
      <c r="AD19" s="27" t="n">
        <f aca="false">IF('Indicator Data'!AD19="",IF(Config!$C$15="Score as High (5)",5,0),IF(Indicators!$F19="Higher = riskier",1+('Indicator Data'!AD19&gt;=Indicators!$G19)+('Indicator Data'!AD19&gt;=Indicators!$H19)+('Indicator Data'!AD19&gt;=Indicators!$I19)+('Indicator Data'!AD19&gt;=Indicators!$J19),1+('Indicator Data'!AD19&lt;=Indicators!$G19)+('Indicator Data'!AD19&lt;=Indicators!$H19)+('Indicator Data'!AD19&lt;=Indicators!$I19)+('Indicator Data'!AD19&lt;=Indicators!$J19)))</f>
        <v>2</v>
      </c>
      <c r="AE19" s="27" t="n">
        <f aca="false">IF('Indicator Data'!AE19="",IF(Config!$C$15="Score as High (5)",5,0),IF(Indicators!$F19="Higher = riskier",1+('Indicator Data'!AE19&gt;=Indicators!$G19)+('Indicator Data'!AE19&gt;=Indicators!$H19)+('Indicator Data'!AE19&gt;=Indicators!$I19)+('Indicator Data'!AE19&gt;=Indicators!$J19),1+('Indicator Data'!AE19&lt;=Indicators!$G19)+('Indicator Data'!AE19&lt;=Indicators!$H19)+('Indicator Data'!AE19&lt;=Indicators!$I19)+('Indicator Data'!AE19&lt;=Indicators!$J19)))</f>
        <v>1</v>
      </c>
      <c r="AF19" s="27" t="n">
        <f aca="false">IF('Indicator Data'!AF19="",IF(Config!$C$15="Score as High (5)",5,0),IF(Indicators!$F19="Higher = riskier",1+('Indicator Data'!AF19&gt;=Indicators!$G19)+('Indicator Data'!AF19&gt;=Indicators!$H19)+('Indicator Data'!AF19&gt;=Indicators!$I19)+('Indicator Data'!AF19&gt;=Indicators!$J19),1+('Indicator Data'!AF19&lt;=Indicators!$G19)+('Indicator Data'!AF19&lt;=Indicators!$H19)+('Indicator Data'!AF19&lt;=Indicators!$I19)+('Indicator Data'!AF19&lt;=Indicators!$J19)))</f>
        <v>2</v>
      </c>
      <c r="AG19" s="27" t="n">
        <f aca="false">IF('Indicator Data'!AG19="",IF(Config!$C$15="Score as High (5)",5,0),IF(Indicators!$F19="Higher = riskier",1+('Indicator Data'!AG19&gt;=Indicators!$G19)+('Indicator Data'!AG19&gt;=Indicators!$H19)+('Indicator Data'!AG19&gt;=Indicators!$I19)+('Indicator Data'!AG19&gt;=Indicators!$J19),1+('Indicator Data'!AG19&lt;=Indicators!$G19)+('Indicator Data'!AG19&lt;=Indicators!$H19)+('Indicator Data'!AG19&lt;=Indicators!$I19)+('Indicator Data'!AG19&lt;=Indicators!$J19)))</f>
        <v>2</v>
      </c>
    </row>
    <row r="20" customFormat="false" ht="15" hidden="false" customHeight="false" outlineLevel="0" collapsed="false">
      <c r="A20" s="26" t="str">
        <f aca="false">Indicators!A20</f>
        <v>P03</v>
      </c>
      <c r="B20" s="26" t="str">
        <f aca="false">Indicators!C20</f>
        <v>Private banking / wealth AUM (% of deposits)</v>
      </c>
      <c r="C20" s="26" t="str">
        <f aca="false">Indicators!D20</f>
        <v>%</v>
      </c>
      <c r="D20" s="27" t="n">
        <f aca="false">IF('Indicator Data'!D20="",IF(Config!$C$15="Score as High (5)",5,0),IF(Indicators!$F20="Higher = riskier",1+('Indicator Data'!D20&gt;=Indicators!$G20)+('Indicator Data'!D20&gt;=Indicators!$H20)+('Indicator Data'!D20&gt;=Indicators!$I20)+('Indicator Data'!D20&gt;=Indicators!$J20),1+('Indicator Data'!D20&lt;=Indicators!$G20)+('Indicator Data'!D20&lt;=Indicators!$H20)+('Indicator Data'!D20&lt;=Indicators!$I20)+('Indicator Data'!D20&lt;=Indicators!$J20)))</f>
        <v>1</v>
      </c>
      <c r="E20" s="27" t="n">
        <f aca="false">IF('Indicator Data'!E20="",IF(Config!$C$15="Score as High (5)",5,0),IF(Indicators!$F20="Higher = riskier",1+('Indicator Data'!E20&gt;=Indicators!$G20)+('Indicator Data'!E20&gt;=Indicators!$H20)+('Indicator Data'!E20&gt;=Indicators!$I20)+('Indicator Data'!E20&gt;=Indicators!$J20),1+('Indicator Data'!E20&lt;=Indicators!$G20)+('Indicator Data'!E20&lt;=Indicators!$H20)+('Indicator Data'!E20&lt;=Indicators!$I20)+('Indicator Data'!E20&lt;=Indicators!$J20)))</f>
        <v>2</v>
      </c>
      <c r="F20" s="27" t="n">
        <f aca="false">IF('Indicator Data'!F20="",IF(Config!$C$15="Score as High (5)",5,0),IF(Indicators!$F20="Higher = riskier",1+('Indicator Data'!F20&gt;=Indicators!$G20)+('Indicator Data'!F20&gt;=Indicators!$H20)+('Indicator Data'!F20&gt;=Indicators!$I20)+('Indicator Data'!F20&gt;=Indicators!$J20),1+('Indicator Data'!F20&lt;=Indicators!$G20)+('Indicator Data'!F20&lt;=Indicators!$H20)+('Indicator Data'!F20&lt;=Indicators!$I20)+('Indicator Data'!F20&lt;=Indicators!$J20)))</f>
        <v>2</v>
      </c>
      <c r="G20" s="27" t="n">
        <f aca="false">IF('Indicator Data'!G20="",IF(Config!$C$15="Score as High (5)",5,0),IF(Indicators!$F20="Higher = riskier",1+('Indicator Data'!G20&gt;=Indicators!$G20)+('Indicator Data'!G20&gt;=Indicators!$H20)+('Indicator Data'!G20&gt;=Indicators!$I20)+('Indicator Data'!G20&gt;=Indicators!$J20),1+('Indicator Data'!G20&lt;=Indicators!$G20)+('Indicator Data'!G20&lt;=Indicators!$H20)+('Indicator Data'!G20&lt;=Indicators!$I20)+('Indicator Data'!G20&lt;=Indicators!$J20)))</f>
        <v>4</v>
      </c>
      <c r="H20" s="27" t="n">
        <f aca="false">IF('Indicator Data'!H20="",IF(Config!$C$15="Score as High (5)",5,0),IF(Indicators!$F20="Higher = riskier",1+('Indicator Data'!H20&gt;=Indicators!$G20)+('Indicator Data'!H20&gt;=Indicators!$H20)+('Indicator Data'!H20&gt;=Indicators!$I20)+('Indicator Data'!H20&gt;=Indicators!$J20),1+('Indicator Data'!H20&lt;=Indicators!$G20)+('Indicator Data'!H20&lt;=Indicators!$H20)+('Indicator Data'!H20&lt;=Indicators!$I20)+('Indicator Data'!H20&lt;=Indicators!$J20)))</f>
        <v>3</v>
      </c>
      <c r="I20" s="27" t="n">
        <f aca="false">IF('Indicator Data'!I20="",IF(Config!$C$15="Score as High (5)",5,0),IF(Indicators!$F20="Higher = riskier",1+('Indicator Data'!I20&gt;=Indicators!$G20)+('Indicator Data'!I20&gt;=Indicators!$H20)+('Indicator Data'!I20&gt;=Indicators!$I20)+('Indicator Data'!I20&gt;=Indicators!$J20),1+('Indicator Data'!I20&lt;=Indicators!$G20)+('Indicator Data'!I20&lt;=Indicators!$H20)+('Indicator Data'!I20&lt;=Indicators!$I20)+('Indicator Data'!I20&lt;=Indicators!$J20)))</f>
        <v>4</v>
      </c>
      <c r="J20" s="27" t="n">
        <f aca="false">IF('Indicator Data'!J20="",IF(Config!$C$15="Score as High (5)",5,0),IF(Indicators!$F20="Higher = riskier",1+('Indicator Data'!J20&gt;=Indicators!$G20)+('Indicator Data'!J20&gt;=Indicators!$H20)+('Indicator Data'!J20&gt;=Indicators!$I20)+('Indicator Data'!J20&gt;=Indicators!$J20),1+('Indicator Data'!J20&lt;=Indicators!$G20)+('Indicator Data'!J20&lt;=Indicators!$H20)+('Indicator Data'!J20&lt;=Indicators!$I20)+('Indicator Data'!J20&lt;=Indicators!$J20)))</f>
        <v>4</v>
      </c>
      <c r="K20" s="27" t="n">
        <f aca="false">IF('Indicator Data'!K20="",IF(Config!$C$15="Score as High (5)",5,0),IF(Indicators!$F20="Higher = riskier",1+('Indicator Data'!K20&gt;=Indicators!$G20)+('Indicator Data'!K20&gt;=Indicators!$H20)+('Indicator Data'!K20&gt;=Indicators!$I20)+('Indicator Data'!K20&gt;=Indicators!$J20),1+('Indicator Data'!K20&lt;=Indicators!$G20)+('Indicator Data'!K20&lt;=Indicators!$H20)+('Indicator Data'!K20&lt;=Indicators!$I20)+('Indicator Data'!K20&lt;=Indicators!$J20)))</f>
        <v>3</v>
      </c>
      <c r="L20" s="27" t="n">
        <f aca="false">IF('Indicator Data'!L20="",IF(Config!$C$15="Score as High (5)",5,0),IF(Indicators!$F20="Higher = riskier",1+('Indicator Data'!L20&gt;=Indicators!$G20)+('Indicator Data'!L20&gt;=Indicators!$H20)+('Indicator Data'!L20&gt;=Indicators!$I20)+('Indicator Data'!L20&gt;=Indicators!$J20),1+('Indicator Data'!L20&lt;=Indicators!$G20)+('Indicator Data'!L20&lt;=Indicators!$H20)+('Indicator Data'!L20&lt;=Indicators!$I20)+('Indicator Data'!L20&lt;=Indicators!$J20)))</f>
        <v>5</v>
      </c>
      <c r="M20" s="27" t="n">
        <f aca="false">IF('Indicator Data'!M20="",IF(Config!$C$15="Score as High (5)",5,0),IF(Indicators!$F20="Higher = riskier",1+('Indicator Data'!M20&gt;=Indicators!$G20)+('Indicator Data'!M20&gt;=Indicators!$H20)+('Indicator Data'!M20&gt;=Indicators!$I20)+('Indicator Data'!M20&gt;=Indicators!$J20),1+('Indicator Data'!M20&lt;=Indicators!$G20)+('Indicator Data'!M20&lt;=Indicators!$H20)+('Indicator Data'!M20&lt;=Indicators!$I20)+('Indicator Data'!M20&lt;=Indicators!$J20)))</f>
        <v>3</v>
      </c>
      <c r="N20" s="27" t="n">
        <f aca="false">IF('Indicator Data'!N20="",IF(Config!$C$15="Score as High (5)",5,0),IF(Indicators!$F20="Higher = riskier",1+('Indicator Data'!N20&gt;=Indicators!$G20)+('Indicator Data'!N20&gt;=Indicators!$H20)+('Indicator Data'!N20&gt;=Indicators!$I20)+('Indicator Data'!N20&gt;=Indicators!$J20),1+('Indicator Data'!N20&lt;=Indicators!$G20)+('Indicator Data'!N20&lt;=Indicators!$H20)+('Indicator Data'!N20&lt;=Indicators!$I20)+('Indicator Data'!N20&lt;=Indicators!$J20)))</f>
        <v>3</v>
      </c>
      <c r="O20" s="27" t="n">
        <f aca="false">IF('Indicator Data'!O20="",IF(Config!$C$15="Score as High (5)",5,0),IF(Indicators!$F20="Higher = riskier",1+('Indicator Data'!O20&gt;=Indicators!$G20)+('Indicator Data'!O20&gt;=Indicators!$H20)+('Indicator Data'!O20&gt;=Indicators!$I20)+('Indicator Data'!O20&gt;=Indicators!$J20),1+('Indicator Data'!O20&lt;=Indicators!$G20)+('Indicator Data'!O20&lt;=Indicators!$H20)+('Indicator Data'!O20&lt;=Indicators!$I20)+('Indicator Data'!O20&lt;=Indicators!$J20)))</f>
        <v>2</v>
      </c>
      <c r="P20" s="27" t="n">
        <f aca="false">IF('Indicator Data'!P20="",IF(Config!$C$15="Score as High (5)",5,0),IF(Indicators!$F20="Higher = riskier",1+('Indicator Data'!P20&gt;=Indicators!$G20)+('Indicator Data'!P20&gt;=Indicators!$H20)+('Indicator Data'!P20&gt;=Indicators!$I20)+('Indicator Data'!P20&gt;=Indicators!$J20),1+('Indicator Data'!P20&lt;=Indicators!$G20)+('Indicator Data'!P20&lt;=Indicators!$H20)+('Indicator Data'!P20&lt;=Indicators!$I20)+('Indicator Data'!P20&lt;=Indicators!$J20)))</f>
        <v>2</v>
      </c>
      <c r="Q20" s="27" t="n">
        <f aca="false">IF('Indicator Data'!Q20="",IF(Config!$C$15="Score as High (5)",5,0),IF(Indicators!$F20="Higher = riskier",1+('Indicator Data'!Q20&gt;=Indicators!$G20)+('Indicator Data'!Q20&gt;=Indicators!$H20)+('Indicator Data'!Q20&gt;=Indicators!$I20)+('Indicator Data'!Q20&gt;=Indicators!$J20),1+('Indicator Data'!Q20&lt;=Indicators!$G20)+('Indicator Data'!Q20&lt;=Indicators!$H20)+('Indicator Data'!Q20&lt;=Indicators!$I20)+('Indicator Data'!Q20&lt;=Indicators!$J20)))</f>
        <v>2</v>
      </c>
      <c r="R20" s="27" t="n">
        <f aca="false">IF('Indicator Data'!R20="",IF(Config!$C$15="Score as High (5)",5,0),IF(Indicators!$F20="Higher = riskier",1+('Indicator Data'!R20&gt;=Indicators!$G20)+('Indicator Data'!R20&gt;=Indicators!$H20)+('Indicator Data'!R20&gt;=Indicators!$I20)+('Indicator Data'!R20&gt;=Indicators!$J20),1+('Indicator Data'!R20&lt;=Indicators!$G20)+('Indicator Data'!R20&lt;=Indicators!$H20)+('Indicator Data'!R20&lt;=Indicators!$I20)+('Indicator Data'!R20&lt;=Indicators!$J20)))</f>
        <v>4</v>
      </c>
      <c r="S20" s="27" t="n">
        <f aca="false">IF('Indicator Data'!S20="",IF(Config!$C$15="Score as High (5)",5,0),IF(Indicators!$F20="Higher = riskier",1+('Indicator Data'!S20&gt;=Indicators!$G20)+('Indicator Data'!S20&gt;=Indicators!$H20)+('Indicator Data'!S20&gt;=Indicators!$I20)+('Indicator Data'!S20&gt;=Indicators!$J20),1+('Indicator Data'!S20&lt;=Indicators!$G20)+('Indicator Data'!S20&lt;=Indicators!$H20)+('Indicator Data'!S20&lt;=Indicators!$I20)+('Indicator Data'!S20&lt;=Indicators!$J20)))</f>
        <v>4</v>
      </c>
      <c r="T20" s="27" t="n">
        <f aca="false">IF('Indicator Data'!T20="",IF(Config!$C$15="Score as High (5)",5,0),IF(Indicators!$F20="Higher = riskier",1+('Indicator Data'!T20&gt;=Indicators!$G20)+('Indicator Data'!T20&gt;=Indicators!$H20)+('Indicator Data'!T20&gt;=Indicators!$I20)+('Indicator Data'!T20&gt;=Indicators!$J20),1+('Indicator Data'!T20&lt;=Indicators!$G20)+('Indicator Data'!T20&lt;=Indicators!$H20)+('Indicator Data'!T20&lt;=Indicators!$I20)+('Indicator Data'!T20&lt;=Indicators!$J20)))</f>
        <v>2</v>
      </c>
      <c r="U20" s="27" t="n">
        <f aca="false">IF('Indicator Data'!U20="",IF(Config!$C$15="Score as High (5)",5,0),IF(Indicators!$F20="Higher = riskier",1+('Indicator Data'!U20&gt;=Indicators!$G20)+('Indicator Data'!U20&gt;=Indicators!$H20)+('Indicator Data'!U20&gt;=Indicators!$I20)+('Indicator Data'!U20&gt;=Indicators!$J20),1+('Indicator Data'!U20&lt;=Indicators!$G20)+('Indicator Data'!U20&lt;=Indicators!$H20)+('Indicator Data'!U20&lt;=Indicators!$I20)+('Indicator Data'!U20&lt;=Indicators!$J20)))</f>
        <v>4</v>
      </c>
      <c r="V20" s="27" t="n">
        <f aca="false">IF('Indicator Data'!V20="",IF(Config!$C$15="Score as High (5)",5,0),IF(Indicators!$F20="Higher = riskier",1+('Indicator Data'!V20&gt;=Indicators!$G20)+('Indicator Data'!V20&gt;=Indicators!$H20)+('Indicator Data'!V20&gt;=Indicators!$I20)+('Indicator Data'!V20&gt;=Indicators!$J20),1+('Indicator Data'!V20&lt;=Indicators!$G20)+('Indicator Data'!V20&lt;=Indicators!$H20)+('Indicator Data'!V20&lt;=Indicators!$I20)+('Indicator Data'!V20&lt;=Indicators!$J20)))</f>
        <v>4</v>
      </c>
      <c r="W20" s="27" t="n">
        <f aca="false">IF('Indicator Data'!W20="",IF(Config!$C$15="Score as High (5)",5,0),IF(Indicators!$F20="Higher = riskier",1+('Indicator Data'!W20&gt;=Indicators!$G20)+('Indicator Data'!W20&gt;=Indicators!$H20)+('Indicator Data'!W20&gt;=Indicators!$I20)+('Indicator Data'!W20&gt;=Indicators!$J20),1+('Indicator Data'!W20&lt;=Indicators!$G20)+('Indicator Data'!W20&lt;=Indicators!$H20)+('Indicator Data'!W20&lt;=Indicators!$I20)+('Indicator Data'!W20&lt;=Indicators!$J20)))</f>
        <v>3</v>
      </c>
      <c r="X20" s="27" t="n">
        <f aca="false">IF('Indicator Data'!X20="",IF(Config!$C$15="Score as High (5)",5,0),IF(Indicators!$F20="Higher = riskier",1+('Indicator Data'!X20&gt;=Indicators!$G20)+('Indicator Data'!X20&gt;=Indicators!$H20)+('Indicator Data'!X20&gt;=Indicators!$I20)+('Indicator Data'!X20&gt;=Indicators!$J20),1+('Indicator Data'!X20&lt;=Indicators!$G20)+('Indicator Data'!X20&lt;=Indicators!$H20)+('Indicator Data'!X20&lt;=Indicators!$I20)+('Indicator Data'!X20&lt;=Indicators!$J20)))</f>
        <v>4</v>
      </c>
      <c r="Y20" s="27" t="n">
        <f aca="false">IF('Indicator Data'!Y20="",IF(Config!$C$15="Score as High (5)",5,0),IF(Indicators!$F20="Higher = riskier",1+('Indicator Data'!Y20&gt;=Indicators!$G20)+('Indicator Data'!Y20&gt;=Indicators!$H20)+('Indicator Data'!Y20&gt;=Indicators!$I20)+('Indicator Data'!Y20&gt;=Indicators!$J20),1+('Indicator Data'!Y20&lt;=Indicators!$G20)+('Indicator Data'!Y20&lt;=Indicators!$H20)+('Indicator Data'!Y20&lt;=Indicators!$I20)+('Indicator Data'!Y20&lt;=Indicators!$J20)))</f>
        <v>1</v>
      </c>
      <c r="Z20" s="27" t="n">
        <f aca="false">IF('Indicator Data'!Z20="",IF(Config!$C$15="Score as High (5)",5,0),IF(Indicators!$F20="Higher = riskier",1+('Indicator Data'!Z20&gt;=Indicators!$G20)+('Indicator Data'!Z20&gt;=Indicators!$H20)+('Indicator Data'!Z20&gt;=Indicators!$I20)+('Indicator Data'!Z20&gt;=Indicators!$J20),1+('Indicator Data'!Z20&lt;=Indicators!$G20)+('Indicator Data'!Z20&lt;=Indicators!$H20)+('Indicator Data'!Z20&lt;=Indicators!$I20)+('Indicator Data'!Z20&lt;=Indicators!$J20)))</f>
        <v>3</v>
      </c>
      <c r="AA20" s="27" t="n">
        <f aca="false">IF('Indicator Data'!AA20="",IF(Config!$C$15="Score as High (5)",5,0),IF(Indicators!$F20="Higher = riskier",1+('Indicator Data'!AA20&gt;=Indicators!$G20)+('Indicator Data'!AA20&gt;=Indicators!$H20)+('Indicator Data'!AA20&gt;=Indicators!$I20)+('Indicator Data'!AA20&gt;=Indicators!$J20),1+('Indicator Data'!AA20&lt;=Indicators!$G20)+('Indicator Data'!AA20&lt;=Indicators!$H20)+('Indicator Data'!AA20&lt;=Indicators!$I20)+('Indicator Data'!AA20&lt;=Indicators!$J20)))</f>
        <v>2</v>
      </c>
      <c r="AB20" s="27" t="n">
        <f aca="false">IF('Indicator Data'!AB20="",IF(Config!$C$15="Score as High (5)",5,0),IF(Indicators!$F20="Higher = riskier",1+('Indicator Data'!AB20&gt;=Indicators!$G20)+('Indicator Data'!AB20&gt;=Indicators!$H20)+('Indicator Data'!AB20&gt;=Indicators!$I20)+('Indicator Data'!AB20&gt;=Indicators!$J20),1+('Indicator Data'!AB20&lt;=Indicators!$G20)+('Indicator Data'!AB20&lt;=Indicators!$H20)+('Indicator Data'!AB20&lt;=Indicators!$I20)+('Indicator Data'!AB20&lt;=Indicators!$J20)))</f>
        <v>1</v>
      </c>
      <c r="AC20" s="27" t="n">
        <f aca="false">IF('Indicator Data'!AC20="",IF(Config!$C$15="Score as High (5)",5,0),IF(Indicators!$F20="Higher = riskier",1+('Indicator Data'!AC20&gt;=Indicators!$G20)+('Indicator Data'!AC20&gt;=Indicators!$H20)+('Indicator Data'!AC20&gt;=Indicators!$I20)+('Indicator Data'!AC20&gt;=Indicators!$J20),1+('Indicator Data'!AC20&lt;=Indicators!$G20)+('Indicator Data'!AC20&lt;=Indicators!$H20)+('Indicator Data'!AC20&lt;=Indicators!$I20)+('Indicator Data'!AC20&lt;=Indicators!$J20)))</f>
        <v>2</v>
      </c>
      <c r="AD20" s="27" t="n">
        <f aca="false">IF('Indicator Data'!AD20="",IF(Config!$C$15="Score as High (5)",5,0),IF(Indicators!$F20="Higher = riskier",1+('Indicator Data'!AD20&gt;=Indicators!$G20)+('Indicator Data'!AD20&gt;=Indicators!$H20)+('Indicator Data'!AD20&gt;=Indicators!$I20)+('Indicator Data'!AD20&gt;=Indicators!$J20),1+('Indicator Data'!AD20&lt;=Indicators!$G20)+('Indicator Data'!AD20&lt;=Indicators!$H20)+('Indicator Data'!AD20&lt;=Indicators!$I20)+('Indicator Data'!AD20&lt;=Indicators!$J20)))</f>
        <v>3</v>
      </c>
      <c r="AE20" s="27" t="n">
        <f aca="false">IF('Indicator Data'!AE20="",IF(Config!$C$15="Score as High (5)",5,0),IF(Indicators!$F20="Higher = riskier",1+('Indicator Data'!AE20&gt;=Indicators!$G20)+('Indicator Data'!AE20&gt;=Indicators!$H20)+('Indicator Data'!AE20&gt;=Indicators!$I20)+('Indicator Data'!AE20&gt;=Indicators!$J20),1+('Indicator Data'!AE20&lt;=Indicators!$G20)+('Indicator Data'!AE20&lt;=Indicators!$H20)+('Indicator Data'!AE20&lt;=Indicators!$I20)+('Indicator Data'!AE20&lt;=Indicators!$J20)))</f>
        <v>1</v>
      </c>
      <c r="AF20" s="27" t="n">
        <f aca="false">IF('Indicator Data'!AF20="",IF(Config!$C$15="Score as High (5)",5,0),IF(Indicators!$F20="Higher = riskier",1+('Indicator Data'!AF20&gt;=Indicators!$G20)+('Indicator Data'!AF20&gt;=Indicators!$H20)+('Indicator Data'!AF20&gt;=Indicators!$I20)+('Indicator Data'!AF20&gt;=Indicators!$J20),1+('Indicator Data'!AF20&lt;=Indicators!$G20)+('Indicator Data'!AF20&lt;=Indicators!$H20)+('Indicator Data'!AF20&lt;=Indicators!$I20)+('Indicator Data'!AF20&lt;=Indicators!$J20)))</f>
        <v>3</v>
      </c>
      <c r="AG20" s="27" t="n">
        <f aca="false">IF('Indicator Data'!AG20="",IF(Config!$C$15="Score as High (5)",5,0),IF(Indicators!$F20="Higher = riskier",1+('Indicator Data'!AG20&gt;=Indicators!$G20)+('Indicator Data'!AG20&gt;=Indicators!$H20)+('Indicator Data'!AG20&gt;=Indicators!$I20)+('Indicator Data'!AG20&gt;=Indicators!$J20),1+('Indicator Data'!AG20&lt;=Indicators!$G20)+('Indicator Data'!AG20&lt;=Indicators!$H20)+('Indicator Data'!AG20&lt;=Indicators!$I20)+('Indicator Data'!AG20&lt;=Indicators!$J20)))</f>
        <v>1</v>
      </c>
    </row>
    <row r="21" customFormat="false" ht="15" hidden="false" customHeight="false" outlineLevel="0" collapsed="false">
      <c r="A21" s="26" t="str">
        <f aca="false">Indicators!A21</f>
        <v>P04</v>
      </c>
      <c r="B21" s="26" t="str">
        <f aca="false">Indicators!C21</f>
        <v>Prepaid / stored-value cards (% of cards issued)</v>
      </c>
      <c r="C21" s="26" t="str">
        <f aca="false">Indicators!D21</f>
        <v>%</v>
      </c>
      <c r="D21" s="27" t="n">
        <f aca="false">IF('Indicator Data'!D21="",IF(Config!$C$15="Score as High (5)",5,0),IF(Indicators!$F21="Higher = riskier",1+('Indicator Data'!D21&gt;=Indicators!$G21)+('Indicator Data'!D21&gt;=Indicators!$H21)+('Indicator Data'!D21&gt;=Indicators!$I21)+('Indicator Data'!D21&gt;=Indicators!$J21),1+('Indicator Data'!D21&lt;=Indicators!$G21)+('Indicator Data'!D21&lt;=Indicators!$H21)+('Indicator Data'!D21&lt;=Indicators!$I21)+('Indicator Data'!D21&lt;=Indicators!$J21)))</f>
        <v>2</v>
      </c>
      <c r="E21" s="27" t="n">
        <f aca="false">IF('Indicator Data'!E21="",IF(Config!$C$15="Score as High (5)",5,0),IF(Indicators!$F21="Higher = riskier",1+('Indicator Data'!E21&gt;=Indicators!$G21)+('Indicator Data'!E21&gt;=Indicators!$H21)+('Indicator Data'!E21&gt;=Indicators!$I21)+('Indicator Data'!E21&gt;=Indicators!$J21),1+('Indicator Data'!E21&lt;=Indicators!$G21)+('Indicator Data'!E21&lt;=Indicators!$H21)+('Indicator Data'!E21&lt;=Indicators!$I21)+('Indicator Data'!E21&lt;=Indicators!$J21)))</f>
        <v>3</v>
      </c>
      <c r="F21" s="27" t="n">
        <f aca="false">IF('Indicator Data'!F21="",IF(Config!$C$15="Score as High (5)",5,0),IF(Indicators!$F21="Higher = riskier",1+('Indicator Data'!F21&gt;=Indicators!$G21)+('Indicator Data'!F21&gt;=Indicators!$H21)+('Indicator Data'!F21&gt;=Indicators!$I21)+('Indicator Data'!F21&gt;=Indicators!$J21),1+('Indicator Data'!F21&lt;=Indicators!$G21)+('Indicator Data'!F21&lt;=Indicators!$H21)+('Indicator Data'!F21&lt;=Indicators!$I21)+('Indicator Data'!F21&lt;=Indicators!$J21)))</f>
        <v>1</v>
      </c>
      <c r="G21" s="27" t="n">
        <f aca="false">IF('Indicator Data'!G21="",IF(Config!$C$15="Score as High (5)",5,0),IF(Indicators!$F21="Higher = riskier",1+('Indicator Data'!G21&gt;=Indicators!$G21)+('Indicator Data'!G21&gt;=Indicators!$H21)+('Indicator Data'!G21&gt;=Indicators!$I21)+('Indicator Data'!G21&gt;=Indicators!$J21),1+('Indicator Data'!G21&lt;=Indicators!$G21)+('Indicator Data'!G21&lt;=Indicators!$H21)+('Indicator Data'!G21&lt;=Indicators!$I21)+('Indicator Data'!G21&lt;=Indicators!$J21)))</f>
        <v>1</v>
      </c>
      <c r="H21" s="27" t="n">
        <f aca="false">IF('Indicator Data'!H21="",IF(Config!$C$15="Score as High (5)",5,0),IF(Indicators!$F21="Higher = riskier",1+('Indicator Data'!H21&gt;=Indicators!$G21)+('Indicator Data'!H21&gt;=Indicators!$H21)+('Indicator Data'!H21&gt;=Indicators!$I21)+('Indicator Data'!H21&gt;=Indicators!$J21),1+('Indicator Data'!H21&lt;=Indicators!$G21)+('Indicator Data'!H21&lt;=Indicators!$H21)+('Indicator Data'!H21&lt;=Indicators!$I21)+('Indicator Data'!H21&lt;=Indicators!$J21)))</f>
        <v>1</v>
      </c>
      <c r="I21" s="27" t="n">
        <f aca="false">IF('Indicator Data'!I21="",IF(Config!$C$15="Score as High (5)",5,0),IF(Indicators!$F21="Higher = riskier",1+('Indicator Data'!I21&gt;=Indicators!$G21)+('Indicator Data'!I21&gt;=Indicators!$H21)+('Indicator Data'!I21&gt;=Indicators!$I21)+('Indicator Data'!I21&gt;=Indicators!$J21),1+('Indicator Data'!I21&lt;=Indicators!$G21)+('Indicator Data'!I21&lt;=Indicators!$H21)+('Indicator Data'!I21&lt;=Indicators!$I21)+('Indicator Data'!I21&lt;=Indicators!$J21)))</f>
        <v>4</v>
      </c>
      <c r="J21" s="27" t="n">
        <f aca="false">IF('Indicator Data'!J21="",IF(Config!$C$15="Score as High (5)",5,0),IF(Indicators!$F21="Higher = riskier",1+('Indicator Data'!J21&gt;=Indicators!$G21)+('Indicator Data'!J21&gt;=Indicators!$H21)+('Indicator Data'!J21&gt;=Indicators!$I21)+('Indicator Data'!J21&gt;=Indicators!$J21),1+('Indicator Data'!J21&lt;=Indicators!$G21)+('Indicator Data'!J21&lt;=Indicators!$H21)+('Indicator Data'!J21&lt;=Indicators!$I21)+('Indicator Data'!J21&lt;=Indicators!$J21)))</f>
        <v>1</v>
      </c>
      <c r="K21" s="27" t="n">
        <f aca="false">IF('Indicator Data'!K21="",IF(Config!$C$15="Score as High (5)",5,0),IF(Indicators!$F21="Higher = riskier",1+('Indicator Data'!K21&gt;=Indicators!$G21)+('Indicator Data'!K21&gt;=Indicators!$H21)+('Indicator Data'!K21&gt;=Indicators!$I21)+('Indicator Data'!K21&gt;=Indicators!$J21),1+('Indicator Data'!K21&lt;=Indicators!$G21)+('Indicator Data'!K21&lt;=Indicators!$H21)+('Indicator Data'!K21&lt;=Indicators!$I21)+('Indicator Data'!K21&lt;=Indicators!$J21)))</f>
        <v>3</v>
      </c>
      <c r="L21" s="27" t="n">
        <f aca="false">IF('Indicator Data'!L21="",IF(Config!$C$15="Score as High (5)",5,0),IF(Indicators!$F21="Higher = riskier",1+('Indicator Data'!L21&gt;=Indicators!$G21)+('Indicator Data'!L21&gt;=Indicators!$H21)+('Indicator Data'!L21&gt;=Indicators!$I21)+('Indicator Data'!L21&gt;=Indicators!$J21),1+('Indicator Data'!L21&lt;=Indicators!$G21)+('Indicator Data'!L21&lt;=Indicators!$H21)+('Indicator Data'!L21&lt;=Indicators!$I21)+('Indicator Data'!L21&lt;=Indicators!$J21)))</f>
        <v>4</v>
      </c>
      <c r="M21" s="27" t="n">
        <f aca="false">IF('Indicator Data'!M21="",IF(Config!$C$15="Score as High (5)",5,0),IF(Indicators!$F21="Higher = riskier",1+('Indicator Data'!M21&gt;=Indicators!$G21)+('Indicator Data'!M21&gt;=Indicators!$H21)+('Indicator Data'!M21&gt;=Indicators!$I21)+('Indicator Data'!M21&gt;=Indicators!$J21),1+('Indicator Data'!M21&lt;=Indicators!$G21)+('Indicator Data'!M21&lt;=Indicators!$H21)+('Indicator Data'!M21&lt;=Indicators!$I21)+('Indicator Data'!M21&lt;=Indicators!$J21)))</f>
        <v>2</v>
      </c>
      <c r="N21" s="27" t="n">
        <f aca="false">IF('Indicator Data'!N21="",IF(Config!$C$15="Score as High (5)",5,0),IF(Indicators!$F21="Higher = riskier",1+('Indicator Data'!N21&gt;=Indicators!$G21)+('Indicator Data'!N21&gt;=Indicators!$H21)+('Indicator Data'!N21&gt;=Indicators!$I21)+('Indicator Data'!N21&gt;=Indicators!$J21),1+('Indicator Data'!N21&lt;=Indicators!$G21)+('Indicator Data'!N21&lt;=Indicators!$H21)+('Indicator Data'!N21&lt;=Indicators!$I21)+('Indicator Data'!N21&lt;=Indicators!$J21)))</f>
        <v>2</v>
      </c>
      <c r="O21" s="27" t="n">
        <f aca="false">IF('Indicator Data'!O21="",IF(Config!$C$15="Score as High (5)",5,0),IF(Indicators!$F21="Higher = riskier",1+('Indicator Data'!O21&gt;=Indicators!$G21)+('Indicator Data'!O21&gt;=Indicators!$H21)+('Indicator Data'!O21&gt;=Indicators!$I21)+('Indicator Data'!O21&gt;=Indicators!$J21),1+('Indicator Data'!O21&lt;=Indicators!$G21)+('Indicator Data'!O21&lt;=Indicators!$H21)+('Indicator Data'!O21&lt;=Indicators!$I21)+('Indicator Data'!O21&lt;=Indicators!$J21)))</f>
        <v>3</v>
      </c>
      <c r="P21" s="27" t="n">
        <f aca="false">IF('Indicator Data'!P21="",IF(Config!$C$15="Score as High (5)",5,0),IF(Indicators!$F21="Higher = riskier",1+('Indicator Data'!P21&gt;=Indicators!$G21)+('Indicator Data'!P21&gt;=Indicators!$H21)+('Indicator Data'!P21&gt;=Indicators!$I21)+('Indicator Data'!P21&gt;=Indicators!$J21),1+('Indicator Data'!P21&lt;=Indicators!$G21)+('Indicator Data'!P21&lt;=Indicators!$H21)+('Indicator Data'!P21&lt;=Indicators!$I21)+('Indicator Data'!P21&lt;=Indicators!$J21)))</f>
        <v>3</v>
      </c>
      <c r="Q21" s="27" t="n">
        <f aca="false">IF('Indicator Data'!Q21="",IF(Config!$C$15="Score as High (5)",5,0),IF(Indicators!$F21="Higher = riskier",1+('Indicator Data'!Q21&gt;=Indicators!$G21)+('Indicator Data'!Q21&gt;=Indicators!$H21)+('Indicator Data'!Q21&gt;=Indicators!$I21)+('Indicator Data'!Q21&gt;=Indicators!$J21),1+('Indicator Data'!Q21&lt;=Indicators!$G21)+('Indicator Data'!Q21&lt;=Indicators!$H21)+('Indicator Data'!Q21&lt;=Indicators!$I21)+('Indicator Data'!Q21&lt;=Indicators!$J21)))</f>
        <v>2</v>
      </c>
      <c r="R21" s="27" t="n">
        <f aca="false">IF('Indicator Data'!R21="",IF(Config!$C$15="Score as High (5)",5,0),IF(Indicators!$F21="Higher = riskier",1+('Indicator Data'!R21&gt;=Indicators!$G21)+('Indicator Data'!R21&gt;=Indicators!$H21)+('Indicator Data'!R21&gt;=Indicators!$I21)+('Indicator Data'!R21&gt;=Indicators!$J21),1+('Indicator Data'!R21&lt;=Indicators!$G21)+('Indicator Data'!R21&lt;=Indicators!$H21)+('Indicator Data'!R21&lt;=Indicators!$I21)+('Indicator Data'!R21&lt;=Indicators!$J21)))</f>
        <v>5</v>
      </c>
      <c r="S21" s="27" t="n">
        <f aca="false">IF('Indicator Data'!S21="",IF(Config!$C$15="Score as High (5)",5,0),IF(Indicators!$F21="Higher = riskier",1+('Indicator Data'!S21&gt;=Indicators!$G21)+('Indicator Data'!S21&gt;=Indicators!$H21)+('Indicator Data'!S21&gt;=Indicators!$I21)+('Indicator Data'!S21&gt;=Indicators!$J21),1+('Indicator Data'!S21&lt;=Indicators!$G21)+('Indicator Data'!S21&lt;=Indicators!$H21)+('Indicator Data'!S21&lt;=Indicators!$I21)+('Indicator Data'!S21&lt;=Indicators!$J21)))</f>
        <v>5</v>
      </c>
      <c r="T21" s="27" t="n">
        <f aca="false">IF('Indicator Data'!T21="",IF(Config!$C$15="Score as High (5)",5,0),IF(Indicators!$F21="Higher = riskier",1+('Indicator Data'!T21&gt;=Indicators!$G21)+('Indicator Data'!T21&gt;=Indicators!$H21)+('Indicator Data'!T21&gt;=Indicators!$I21)+('Indicator Data'!T21&gt;=Indicators!$J21),1+('Indicator Data'!T21&lt;=Indicators!$G21)+('Indicator Data'!T21&lt;=Indicators!$H21)+('Indicator Data'!T21&lt;=Indicators!$I21)+('Indicator Data'!T21&lt;=Indicators!$J21)))</f>
        <v>3</v>
      </c>
      <c r="U21" s="27" t="n">
        <f aca="false">IF('Indicator Data'!U21="",IF(Config!$C$15="Score as High (5)",5,0),IF(Indicators!$F21="Higher = riskier",1+('Indicator Data'!U21&gt;=Indicators!$G21)+('Indicator Data'!U21&gt;=Indicators!$H21)+('Indicator Data'!U21&gt;=Indicators!$I21)+('Indicator Data'!U21&gt;=Indicators!$J21),1+('Indicator Data'!U21&lt;=Indicators!$G21)+('Indicator Data'!U21&lt;=Indicators!$H21)+('Indicator Data'!U21&lt;=Indicators!$I21)+('Indicator Data'!U21&lt;=Indicators!$J21)))</f>
        <v>3</v>
      </c>
      <c r="V21" s="27" t="n">
        <f aca="false">IF('Indicator Data'!V21="",IF(Config!$C$15="Score as High (5)",5,0),IF(Indicators!$F21="Higher = riskier",1+('Indicator Data'!V21&gt;=Indicators!$G21)+('Indicator Data'!V21&gt;=Indicators!$H21)+('Indicator Data'!V21&gt;=Indicators!$I21)+('Indicator Data'!V21&gt;=Indicators!$J21),1+('Indicator Data'!V21&lt;=Indicators!$G21)+('Indicator Data'!V21&lt;=Indicators!$H21)+('Indicator Data'!V21&lt;=Indicators!$I21)+('Indicator Data'!V21&lt;=Indicators!$J21)))</f>
        <v>3</v>
      </c>
      <c r="W21" s="27" t="n">
        <f aca="false">IF('Indicator Data'!W21="",IF(Config!$C$15="Score as High (5)",5,0),IF(Indicators!$F21="Higher = riskier",1+('Indicator Data'!W21&gt;=Indicators!$G21)+('Indicator Data'!W21&gt;=Indicators!$H21)+('Indicator Data'!W21&gt;=Indicators!$I21)+('Indicator Data'!W21&gt;=Indicators!$J21),1+('Indicator Data'!W21&lt;=Indicators!$G21)+('Indicator Data'!W21&lt;=Indicators!$H21)+('Indicator Data'!W21&lt;=Indicators!$I21)+('Indicator Data'!W21&lt;=Indicators!$J21)))</f>
        <v>3</v>
      </c>
      <c r="X21" s="27" t="n">
        <f aca="false">IF('Indicator Data'!X21="",IF(Config!$C$15="Score as High (5)",5,0),IF(Indicators!$F21="Higher = riskier",1+('Indicator Data'!X21&gt;=Indicators!$G21)+('Indicator Data'!X21&gt;=Indicators!$H21)+('Indicator Data'!X21&gt;=Indicators!$I21)+('Indicator Data'!X21&gt;=Indicators!$J21),1+('Indicator Data'!X21&lt;=Indicators!$G21)+('Indicator Data'!X21&lt;=Indicators!$H21)+('Indicator Data'!X21&lt;=Indicators!$I21)+('Indicator Data'!X21&lt;=Indicators!$J21)))</f>
        <v>5</v>
      </c>
      <c r="Y21" s="27" t="n">
        <f aca="false">IF('Indicator Data'!Y21="",IF(Config!$C$15="Score as High (5)",5,0),IF(Indicators!$F21="Higher = riskier",1+('Indicator Data'!Y21&gt;=Indicators!$G21)+('Indicator Data'!Y21&gt;=Indicators!$H21)+('Indicator Data'!Y21&gt;=Indicators!$I21)+('Indicator Data'!Y21&gt;=Indicators!$J21),1+('Indicator Data'!Y21&lt;=Indicators!$G21)+('Indicator Data'!Y21&lt;=Indicators!$H21)+('Indicator Data'!Y21&lt;=Indicators!$I21)+('Indicator Data'!Y21&lt;=Indicators!$J21)))</f>
        <v>3</v>
      </c>
      <c r="Z21" s="27" t="n">
        <f aca="false">IF('Indicator Data'!Z21="",IF(Config!$C$15="Score as High (5)",5,0),IF(Indicators!$F21="Higher = riskier",1+('Indicator Data'!Z21&gt;=Indicators!$G21)+('Indicator Data'!Z21&gt;=Indicators!$H21)+('Indicator Data'!Z21&gt;=Indicators!$I21)+('Indicator Data'!Z21&gt;=Indicators!$J21),1+('Indicator Data'!Z21&lt;=Indicators!$G21)+('Indicator Data'!Z21&lt;=Indicators!$H21)+('Indicator Data'!Z21&lt;=Indicators!$I21)+('Indicator Data'!Z21&lt;=Indicators!$J21)))</f>
        <v>1</v>
      </c>
      <c r="AA21" s="27" t="n">
        <f aca="false">IF('Indicator Data'!AA21="",IF(Config!$C$15="Score as High (5)",5,0),IF(Indicators!$F21="Higher = riskier",1+('Indicator Data'!AA21&gt;=Indicators!$G21)+('Indicator Data'!AA21&gt;=Indicators!$H21)+('Indicator Data'!AA21&gt;=Indicators!$I21)+('Indicator Data'!AA21&gt;=Indicators!$J21),1+('Indicator Data'!AA21&lt;=Indicators!$G21)+('Indicator Data'!AA21&lt;=Indicators!$H21)+('Indicator Data'!AA21&lt;=Indicators!$I21)+('Indicator Data'!AA21&lt;=Indicators!$J21)))</f>
        <v>3</v>
      </c>
      <c r="AB21" s="27" t="n">
        <f aca="false">IF('Indicator Data'!AB21="",IF(Config!$C$15="Score as High (5)",5,0),IF(Indicators!$F21="Higher = riskier",1+('Indicator Data'!AB21&gt;=Indicators!$G21)+('Indicator Data'!AB21&gt;=Indicators!$H21)+('Indicator Data'!AB21&gt;=Indicators!$I21)+('Indicator Data'!AB21&gt;=Indicators!$J21),1+('Indicator Data'!AB21&lt;=Indicators!$G21)+('Indicator Data'!AB21&lt;=Indicators!$H21)+('Indicator Data'!AB21&lt;=Indicators!$I21)+('Indicator Data'!AB21&lt;=Indicators!$J21)))</f>
        <v>2</v>
      </c>
      <c r="AC21" s="27" t="n">
        <f aca="false">IF('Indicator Data'!AC21="",IF(Config!$C$15="Score as High (5)",5,0),IF(Indicators!$F21="Higher = riskier",1+('Indicator Data'!AC21&gt;=Indicators!$G21)+('Indicator Data'!AC21&gt;=Indicators!$H21)+('Indicator Data'!AC21&gt;=Indicators!$I21)+('Indicator Data'!AC21&gt;=Indicators!$J21),1+('Indicator Data'!AC21&lt;=Indicators!$G21)+('Indicator Data'!AC21&lt;=Indicators!$H21)+('Indicator Data'!AC21&lt;=Indicators!$I21)+('Indicator Data'!AC21&lt;=Indicators!$J21)))</f>
        <v>2</v>
      </c>
      <c r="AD21" s="27" t="n">
        <f aca="false">IF('Indicator Data'!AD21="",IF(Config!$C$15="Score as High (5)",5,0),IF(Indicators!$F21="Higher = riskier",1+('Indicator Data'!AD21&gt;=Indicators!$G21)+('Indicator Data'!AD21&gt;=Indicators!$H21)+('Indicator Data'!AD21&gt;=Indicators!$I21)+('Indicator Data'!AD21&gt;=Indicators!$J21),1+('Indicator Data'!AD21&lt;=Indicators!$G21)+('Indicator Data'!AD21&lt;=Indicators!$H21)+('Indicator Data'!AD21&lt;=Indicators!$I21)+('Indicator Data'!AD21&lt;=Indicators!$J21)))</f>
        <v>1</v>
      </c>
      <c r="AE21" s="27" t="n">
        <f aca="false">IF('Indicator Data'!AE21="",IF(Config!$C$15="Score as High (5)",5,0),IF(Indicators!$F21="Higher = riskier",1+('Indicator Data'!AE21&gt;=Indicators!$G21)+('Indicator Data'!AE21&gt;=Indicators!$H21)+('Indicator Data'!AE21&gt;=Indicators!$I21)+('Indicator Data'!AE21&gt;=Indicators!$J21),1+('Indicator Data'!AE21&lt;=Indicators!$G21)+('Indicator Data'!AE21&lt;=Indicators!$H21)+('Indicator Data'!AE21&lt;=Indicators!$I21)+('Indicator Data'!AE21&lt;=Indicators!$J21)))</f>
        <v>1</v>
      </c>
      <c r="AF21" s="27" t="n">
        <f aca="false">IF('Indicator Data'!AF21="",IF(Config!$C$15="Score as High (5)",5,0),IF(Indicators!$F21="Higher = riskier",1+('Indicator Data'!AF21&gt;=Indicators!$G21)+('Indicator Data'!AF21&gt;=Indicators!$H21)+('Indicator Data'!AF21&gt;=Indicators!$I21)+('Indicator Data'!AF21&gt;=Indicators!$J21),1+('Indicator Data'!AF21&lt;=Indicators!$G21)+('Indicator Data'!AF21&lt;=Indicators!$H21)+('Indicator Data'!AF21&lt;=Indicators!$I21)+('Indicator Data'!AF21&lt;=Indicators!$J21)))</f>
        <v>3</v>
      </c>
      <c r="AG21" s="27" t="n">
        <f aca="false">IF('Indicator Data'!AG21="",IF(Config!$C$15="Score as High (5)",5,0),IF(Indicators!$F21="Higher = riskier",1+('Indicator Data'!AG21&gt;=Indicators!$G21)+('Indicator Data'!AG21&gt;=Indicators!$H21)+('Indicator Data'!AG21&gt;=Indicators!$I21)+('Indicator Data'!AG21&gt;=Indicators!$J21),1+('Indicator Data'!AG21&lt;=Indicators!$G21)+('Indicator Data'!AG21&lt;=Indicators!$H21)+('Indicator Data'!AG21&lt;=Indicators!$I21)+('Indicator Data'!AG21&lt;=Indicators!$J21)))</f>
        <v>2</v>
      </c>
    </row>
    <row r="22" customFormat="false" ht="15" hidden="false" customHeight="false" outlineLevel="0" collapsed="false">
      <c r="A22" s="26" t="str">
        <f aca="false">Indicators!A22</f>
        <v>P05</v>
      </c>
      <c r="B22" s="26" t="str">
        <f aca="false">Indicators!C22</f>
        <v>Dual-use or strategic goods (% of trade transactions)</v>
      </c>
      <c r="C22" s="26" t="str">
        <f aca="false">Indicators!D22</f>
        <v>%</v>
      </c>
      <c r="D22" s="27" t="n">
        <f aca="false">IF('Indicator Data'!D22="",IF(Config!$C$15="Score as High (5)",5,0),IF(Indicators!$F22="Higher = riskier",1+('Indicator Data'!D22&gt;=Indicators!$G22)+('Indicator Data'!D22&gt;=Indicators!$H22)+('Indicator Data'!D22&gt;=Indicators!$I22)+('Indicator Data'!D22&gt;=Indicators!$J22),1+('Indicator Data'!D22&lt;=Indicators!$G22)+('Indicator Data'!D22&lt;=Indicators!$H22)+('Indicator Data'!D22&lt;=Indicators!$I22)+('Indicator Data'!D22&lt;=Indicators!$J22)))</f>
        <v>4</v>
      </c>
      <c r="E22" s="27" t="n">
        <f aca="false">IF('Indicator Data'!E22="",IF(Config!$C$15="Score as High (5)",5,0),IF(Indicators!$F22="Higher = riskier",1+('Indicator Data'!E22&gt;=Indicators!$G22)+('Indicator Data'!E22&gt;=Indicators!$H22)+('Indicator Data'!E22&gt;=Indicators!$I22)+('Indicator Data'!E22&gt;=Indicators!$J22),1+('Indicator Data'!E22&lt;=Indicators!$G22)+('Indicator Data'!E22&lt;=Indicators!$H22)+('Indicator Data'!E22&lt;=Indicators!$I22)+('Indicator Data'!E22&lt;=Indicators!$J22)))</f>
        <v>2</v>
      </c>
      <c r="F22" s="27" t="n">
        <f aca="false">IF('Indicator Data'!F22="",IF(Config!$C$15="Score as High (5)",5,0),IF(Indicators!$F22="Higher = riskier",1+('Indicator Data'!F22&gt;=Indicators!$G22)+('Indicator Data'!F22&gt;=Indicators!$H22)+('Indicator Data'!F22&gt;=Indicators!$I22)+('Indicator Data'!F22&gt;=Indicators!$J22),1+('Indicator Data'!F22&lt;=Indicators!$G22)+('Indicator Data'!F22&lt;=Indicators!$H22)+('Indicator Data'!F22&lt;=Indicators!$I22)+('Indicator Data'!F22&lt;=Indicators!$J22)))</f>
        <v>1</v>
      </c>
      <c r="G22" s="27" t="n">
        <f aca="false">IF('Indicator Data'!G22="",IF(Config!$C$15="Score as High (5)",5,0),IF(Indicators!$F22="Higher = riskier",1+('Indicator Data'!G22&gt;=Indicators!$G22)+('Indicator Data'!G22&gt;=Indicators!$H22)+('Indicator Data'!G22&gt;=Indicators!$I22)+('Indicator Data'!G22&gt;=Indicators!$J22),1+('Indicator Data'!G22&lt;=Indicators!$G22)+('Indicator Data'!G22&lt;=Indicators!$H22)+('Indicator Data'!G22&lt;=Indicators!$I22)+('Indicator Data'!G22&lt;=Indicators!$J22)))</f>
        <v>1</v>
      </c>
      <c r="H22" s="27" t="n">
        <f aca="false">IF('Indicator Data'!H22="",IF(Config!$C$15="Score as High (5)",5,0),IF(Indicators!$F22="Higher = riskier",1+('Indicator Data'!H22&gt;=Indicators!$G22)+('Indicator Data'!H22&gt;=Indicators!$H22)+('Indicator Data'!H22&gt;=Indicators!$I22)+('Indicator Data'!H22&gt;=Indicators!$J22),1+('Indicator Data'!H22&lt;=Indicators!$G22)+('Indicator Data'!H22&lt;=Indicators!$H22)+('Indicator Data'!H22&lt;=Indicators!$I22)+('Indicator Data'!H22&lt;=Indicators!$J22)))</f>
        <v>1</v>
      </c>
      <c r="I22" s="27" t="n">
        <f aca="false">IF('Indicator Data'!I22="",IF(Config!$C$15="Score as High (5)",5,0),IF(Indicators!$F22="Higher = riskier",1+('Indicator Data'!I22&gt;=Indicators!$G22)+('Indicator Data'!I22&gt;=Indicators!$H22)+('Indicator Data'!I22&gt;=Indicators!$I22)+('Indicator Data'!I22&gt;=Indicators!$J22),1+('Indicator Data'!I22&lt;=Indicators!$G22)+('Indicator Data'!I22&lt;=Indicators!$H22)+('Indicator Data'!I22&lt;=Indicators!$I22)+('Indicator Data'!I22&lt;=Indicators!$J22)))</f>
        <v>4</v>
      </c>
      <c r="J22" s="27" t="n">
        <f aca="false">IF('Indicator Data'!J22="",IF(Config!$C$15="Score as High (5)",5,0),IF(Indicators!$F22="Higher = riskier",1+('Indicator Data'!J22&gt;=Indicators!$G22)+('Indicator Data'!J22&gt;=Indicators!$H22)+('Indicator Data'!J22&gt;=Indicators!$I22)+('Indicator Data'!J22&gt;=Indicators!$J22),1+('Indicator Data'!J22&lt;=Indicators!$G22)+('Indicator Data'!J22&lt;=Indicators!$H22)+('Indicator Data'!J22&lt;=Indicators!$I22)+('Indicator Data'!J22&lt;=Indicators!$J22)))</f>
        <v>1</v>
      </c>
      <c r="K22" s="27" t="n">
        <f aca="false">IF('Indicator Data'!K22="",IF(Config!$C$15="Score as High (5)",5,0),IF(Indicators!$F22="Higher = riskier",1+('Indicator Data'!K22&gt;=Indicators!$G22)+('Indicator Data'!K22&gt;=Indicators!$H22)+('Indicator Data'!K22&gt;=Indicators!$I22)+('Indicator Data'!K22&gt;=Indicators!$J22),1+('Indicator Data'!K22&lt;=Indicators!$G22)+('Indicator Data'!K22&lt;=Indicators!$H22)+('Indicator Data'!K22&lt;=Indicators!$I22)+('Indicator Data'!K22&lt;=Indicators!$J22)))</f>
        <v>3</v>
      </c>
      <c r="L22" s="27" t="n">
        <f aca="false">IF('Indicator Data'!L22="",IF(Config!$C$15="Score as High (5)",5,0),IF(Indicators!$F22="Higher = riskier",1+('Indicator Data'!L22&gt;=Indicators!$G22)+('Indicator Data'!L22&gt;=Indicators!$H22)+('Indicator Data'!L22&gt;=Indicators!$I22)+('Indicator Data'!L22&gt;=Indicators!$J22),1+('Indicator Data'!L22&lt;=Indicators!$G22)+('Indicator Data'!L22&lt;=Indicators!$H22)+('Indicator Data'!L22&lt;=Indicators!$I22)+('Indicator Data'!L22&lt;=Indicators!$J22)))</f>
        <v>5</v>
      </c>
      <c r="M22" s="27" t="n">
        <f aca="false">IF('Indicator Data'!M22="",IF(Config!$C$15="Score as High (5)",5,0),IF(Indicators!$F22="Higher = riskier",1+('Indicator Data'!M22&gt;=Indicators!$G22)+('Indicator Data'!M22&gt;=Indicators!$H22)+('Indicator Data'!M22&gt;=Indicators!$I22)+('Indicator Data'!M22&gt;=Indicators!$J22),1+('Indicator Data'!M22&lt;=Indicators!$G22)+('Indicator Data'!M22&lt;=Indicators!$H22)+('Indicator Data'!M22&lt;=Indicators!$I22)+('Indicator Data'!M22&lt;=Indicators!$J22)))</f>
        <v>2</v>
      </c>
      <c r="N22" s="27" t="n">
        <f aca="false">IF('Indicator Data'!N22="",IF(Config!$C$15="Score as High (5)",5,0),IF(Indicators!$F22="Higher = riskier",1+('Indicator Data'!N22&gt;=Indicators!$G22)+('Indicator Data'!N22&gt;=Indicators!$H22)+('Indicator Data'!N22&gt;=Indicators!$I22)+('Indicator Data'!N22&gt;=Indicators!$J22),1+('Indicator Data'!N22&lt;=Indicators!$G22)+('Indicator Data'!N22&lt;=Indicators!$H22)+('Indicator Data'!N22&lt;=Indicators!$I22)+('Indicator Data'!N22&lt;=Indicators!$J22)))</f>
        <v>4</v>
      </c>
      <c r="O22" s="27" t="n">
        <f aca="false">IF('Indicator Data'!O22="",IF(Config!$C$15="Score as High (5)",5,0),IF(Indicators!$F22="Higher = riskier",1+('Indicator Data'!O22&gt;=Indicators!$G22)+('Indicator Data'!O22&gt;=Indicators!$H22)+('Indicator Data'!O22&gt;=Indicators!$I22)+('Indicator Data'!O22&gt;=Indicators!$J22),1+('Indicator Data'!O22&lt;=Indicators!$G22)+('Indicator Data'!O22&lt;=Indicators!$H22)+('Indicator Data'!O22&lt;=Indicators!$I22)+('Indicator Data'!O22&lt;=Indicators!$J22)))</f>
        <v>2</v>
      </c>
      <c r="P22" s="27" t="n">
        <f aca="false">IF('Indicator Data'!P22="",IF(Config!$C$15="Score as High (5)",5,0),IF(Indicators!$F22="Higher = riskier",1+('Indicator Data'!P22&gt;=Indicators!$G22)+('Indicator Data'!P22&gt;=Indicators!$H22)+('Indicator Data'!P22&gt;=Indicators!$I22)+('Indicator Data'!P22&gt;=Indicators!$J22),1+('Indicator Data'!P22&lt;=Indicators!$G22)+('Indicator Data'!P22&lt;=Indicators!$H22)+('Indicator Data'!P22&lt;=Indicators!$I22)+('Indicator Data'!P22&lt;=Indicators!$J22)))</f>
        <v>2</v>
      </c>
      <c r="Q22" s="27" t="n">
        <f aca="false">IF('Indicator Data'!Q22="",IF(Config!$C$15="Score as High (5)",5,0),IF(Indicators!$F22="Higher = riskier",1+('Indicator Data'!Q22&gt;=Indicators!$G22)+('Indicator Data'!Q22&gt;=Indicators!$H22)+('Indicator Data'!Q22&gt;=Indicators!$I22)+('Indicator Data'!Q22&gt;=Indicators!$J22),1+('Indicator Data'!Q22&lt;=Indicators!$G22)+('Indicator Data'!Q22&lt;=Indicators!$H22)+('Indicator Data'!Q22&lt;=Indicators!$I22)+('Indicator Data'!Q22&lt;=Indicators!$J22)))</f>
        <v>3</v>
      </c>
      <c r="R22" s="27" t="n">
        <f aca="false">IF('Indicator Data'!R22="",IF(Config!$C$15="Score as High (5)",5,0),IF(Indicators!$F22="Higher = riskier",1+('Indicator Data'!R22&gt;=Indicators!$G22)+('Indicator Data'!R22&gt;=Indicators!$H22)+('Indicator Data'!R22&gt;=Indicators!$I22)+('Indicator Data'!R22&gt;=Indicators!$J22),1+('Indicator Data'!R22&lt;=Indicators!$G22)+('Indicator Data'!R22&lt;=Indicators!$H22)+('Indicator Data'!R22&lt;=Indicators!$I22)+('Indicator Data'!R22&lt;=Indicators!$J22)))</f>
        <v>4</v>
      </c>
      <c r="S22" s="27" t="n">
        <f aca="false">IF('Indicator Data'!S22="",IF(Config!$C$15="Score as High (5)",5,0),IF(Indicators!$F22="Higher = riskier",1+('Indicator Data'!S22&gt;=Indicators!$G22)+('Indicator Data'!S22&gt;=Indicators!$H22)+('Indicator Data'!S22&gt;=Indicators!$I22)+('Indicator Data'!S22&gt;=Indicators!$J22),1+('Indicator Data'!S22&lt;=Indicators!$G22)+('Indicator Data'!S22&lt;=Indicators!$H22)+('Indicator Data'!S22&lt;=Indicators!$I22)+('Indicator Data'!S22&lt;=Indicators!$J22)))</f>
        <v>4</v>
      </c>
      <c r="T22" s="27" t="n">
        <f aca="false">IF('Indicator Data'!T22="",IF(Config!$C$15="Score as High (5)",5,0),IF(Indicators!$F22="Higher = riskier",1+('Indicator Data'!T22&gt;=Indicators!$G22)+('Indicator Data'!T22&gt;=Indicators!$H22)+('Indicator Data'!T22&gt;=Indicators!$I22)+('Indicator Data'!T22&gt;=Indicators!$J22),1+('Indicator Data'!T22&lt;=Indicators!$G22)+('Indicator Data'!T22&lt;=Indicators!$H22)+('Indicator Data'!T22&lt;=Indicators!$I22)+('Indicator Data'!T22&lt;=Indicators!$J22)))</f>
        <v>2</v>
      </c>
      <c r="U22" s="27" t="n">
        <f aca="false">IF('Indicator Data'!U22="",IF(Config!$C$15="Score as High (5)",5,0),IF(Indicators!$F22="Higher = riskier",1+('Indicator Data'!U22&gt;=Indicators!$G22)+('Indicator Data'!U22&gt;=Indicators!$H22)+('Indicator Data'!U22&gt;=Indicators!$I22)+('Indicator Data'!U22&gt;=Indicators!$J22),1+('Indicator Data'!U22&lt;=Indicators!$G22)+('Indicator Data'!U22&lt;=Indicators!$H22)+('Indicator Data'!U22&lt;=Indicators!$I22)+('Indicator Data'!U22&lt;=Indicators!$J22)))</f>
        <v>3</v>
      </c>
      <c r="V22" s="27" t="n">
        <f aca="false">IF('Indicator Data'!V22="",IF(Config!$C$15="Score as High (5)",5,0),IF(Indicators!$F22="Higher = riskier",1+('Indicator Data'!V22&gt;=Indicators!$G22)+('Indicator Data'!V22&gt;=Indicators!$H22)+('Indicator Data'!V22&gt;=Indicators!$I22)+('Indicator Data'!V22&gt;=Indicators!$J22),1+('Indicator Data'!V22&lt;=Indicators!$G22)+('Indicator Data'!V22&lt;=Indicators!$H22)+('Indicator Data'!V22&lt;=Indicators!$I22)+('Indicator Data'!V22&lt;=Indicators!$J22)))</f>
        <v>2</v>
      </c>
      <c r="W22" s="27" t="n">
        <f aca="false">IF('Indicator Data'!W22="",IF(Config!$C$15="Score as High (5)",5,0),IF(Indicators!$F22="Higher = riskier",1+('Indicator Data'!W22&gt;=Indicators!$G22)+('Indicator Data'!W22&gt;=Indicators!$H22)+('Indicator Data'!W22&gt;=Indicators!$I22)+('Indicator Data'!W22&gt;=Indicators!$J22),1+('Indicator Data'!W22&lt;=Indicators!$G22)+('Indicator Data'!W22&lt;=Indicators!$H22)+('Indicator Data'!W22&lt;=Indicators!$I22)+('Indicator Data'!W22&lt;=Indicators!$J22)))</f>
        <v>2</v>
      </c>
      <c r="X22" s="27" t="n">
        <f aca="false">IF('Indicator Data'!X22="",IF(Config!$C$15="Score as High (5)",5,0),IF(Indicators!$F22="Higher = riskier",1+('Indicator Data'!X22&gt;=Indicators!$G22)+('Indicator Data'!X22&gt;=Indicators!$H22)+('Indicator Data'!X22&gt;=Indicators!$I22)+('Indicator Data'!X22&gt;=Indicators!$J22),1+('Indicator Data'!X22&lt;=Indicators!$G22)+('Indicator Data'!X22&lt;=Indicators!$H22)+('Indicator Data'!X22&lt;=Indicators!$I22)+('Indicator Data'!X22&lt;=Indicators!$J22)))</f>
        <v>5</v>
      </c>
      <c r="Y22" s="27" t="n">
        <f aca="false">IF('Indicator Data'!Y22="",IF(Config!$C$15="Score as High (5)",5,0),IF(Indicators!$F22="Higher = riskier",1+('Indicator Data'!Y22&gt;=Indicators!$G22)+('Indicator Data'!Y22&gt;=Indicators!$H22)+('Indicator Data'!Y22&gt;=Indicators!$I22)+('Indicator Data'!Y22&gt;=Indicators!$J22),1+('Indicator Data'!Y22&lt;=Indicators!$G22)+('Indicator Data'!Y22&lt;=Indicators!$H22)+('Indicator Data'!Y22&lt;=Indicators!$I22)+('Indicator Data'!Y22&lt;=Indicators!$J22)))</f>
        <v>2</v>
      </c>
      <c r="Z22" s="27" t="n">
        <f aca="false">IF('Indicator Data'!Z22="",IF(Config!$C$15="Score as High (5)",5,0),IF(Indicators!$F22="Higher = riskier",1+('Indicator Data'!Z22&gt;=Indicators!$G22)+('Indicator Data'!Z22&gt;=Indicators!$H22)+('Indicator Data'!Z22&gt;=Indicators!$I22)+('Indicator Data'!Z22&gt;=Indicators!$J22),1+('Indicator Data'!Z22&lt;=Indicators!$G22)+('Indicator Data'!Z22&lt;=Indicators!$H22)+('Indicator Data'!Z22&lt;=Indicators!$I22)+('Indicator Data'!Z22&lt;=Indicators!$J22)))</f>
        <v>1</v>
      </c>
      <c r="AA22" s="27" t="n">
        <f aca="false">IF('Indicator Data'!AA22="",IF(Config!$C$15="Score as High (5)",5,0),IF(Indicators!$F22="Higher = riskier",1+('Indicator Data'!AA22&gt;=Indicators!$G22)+('Indicator Data'!AA22&gt;=Indicators!$H22)+('Indicator Data'!AA22&gt;=Indicators!$I22)+('Indicator Data'!AA22&gt;=Indicators!$J22),1+('Indicator Data'!AA22&lt;=Indicators!$G22)+('Indicator Data'!AA22&lt;=Indicators!$H22)+('Indicator Data'!AA22&lt;=Indicators!$I22)+('Indicator Data'!AA22&lt;=Indicators!$J22)))</f>
        <v>3</v>
      </c>
      <c r="AB22" s="27" t="n">
        <f aca="false">IF('Indicator Data'!AB22="",IF(Config!$C$15="Score as High (5)",5,0),IF(Indicators!$F22="Higher = riskier",1+('Indicator Data'!AB22&gt;=Indicators!$G22)+('Indicator Data'!AB22&gt;=Indicators!$H22)+('Indicator Data'!AB22&gt;=Indicators!$I22)+('Indicator Data'!AB22&gt;=Indicators!$J22),1+('Indicator Data'!AB22&lt;=Indicators!$G22)+('Indicator Data'!AB22&lt;=Indicators!$H22)+('Indicator Data'!AB22&lt;=Indicators!$I22)+('Indicator Data'!AB22&lt;=Indicators!$J22)))</f>
        <v>2</v>
      </c>
      <c r="AC22" s="27" t="n">
        <f aca="false">IF('Indicator Data'!AC22="",IF(Config!$C$15="Score as High (5)",5,0),IF(Indicators!$F22="Higher = riskier",1+('Indicator Data'!AC22&gt;=Indicators!$G22)+('Indicator Data'!AC22&gt;=Indicators!$H22)+('Indicator Data'!AC22&gt;=Indicators!$I22)+('Indicator Data'!AC22&gt;=Indicators!$J22),1+('Indicator Data'!AC22&lt;=Indicators!$G22)+('Indicator Data'!AC22&lt;=Indicators!$H22)+('Indicator Data'!AC22&lt;=Indicators!$I22)+('Indicator Data'!AC22&lt;=Indicators!$J22)))</f>
        <v>3</v>
      </c>
      <c r="AD22" s="27" t="n">
        <f aca="false">IF('Indicator Data'!AD22="",IF(Config!$C$15="Score as High (5)",5,0),IF(Indicators!$F22="Higher = riskier",1+('Indicator Data'!AD22&gt;=Indicators!$G22)+('Indicator Data'!AD22&gt;=Indicators!$H22)+('Indicator Data'!AD22&gt;=Indicators!$I22)+('Indicator Data'!AD22&gt;=Indicators!$J22),1+('Indicator Data'!AD22&lt;=Indicators!$G22)+('Indicator Data'!AD22&lt;=Indicators!$H22)+('Indicator Data'!AD22&lt;=Indicators!$I22)+('Indicator Data'!AD22&lt;=Indicators!$J22)))</f>
        <v>1</v>
      </c>
      <c r="AE22" s="27" t="n">
        <f aca="false">IF('Indicator Data'!AE22="",IF(Config!$C$15="Score as High (5)",5,0),IF(Indicators!$F22="Higher = riskier",1+('Indicator Data'!AE22&gt;=Indicators!$G22)+('Indicator Data'!AE22&gt;=Indicators!$H22)+('Indicator Data'!AE22&gt;=Indicators!$I22)+('Indicator Data'!AE22&gt;=Indicators!$J22),1+('Indicator Data'!AE22&lt;=Indicators!$G22)+('Indicator Data'!AE22&lt;=Indicators!$H22)+('Indicator Data'!AE22&lt;=Indicators!$I22)+('Indicator Data'!AE22&lt;=Indicators!$J22)))</f>
        <v>2</v>
      </c>
      <c r="AF22" s="27" t="n">
        <f aca="false">IF('Indicator Data'!AF22="",IF(Config!$C$15="Score as High (5)",5,0),IF(Indicators!$F22="Higher = riskier",1+('Indicator Data'!AF22&gt;=Indicators!$G22)+('Indicator Data'!AF22&gt;=Indicators!$H22)+('Indicator Data'!AF22&gt;=Indicators!$I22)+('Indicator Data'!AF22&gt;=Indicators!$J22),1+('Indicator Data'!AF22&lt;=Indicators!$G22)+('Indicator Data'!AF22&lt;=Indicators!$H22)+('Indicator Data'!AF22&lt;=Indicators!$I22)+('Indicator Data'!AF22&lt;=Indicators!$J22)))</f>
        <v>2</v>
      </c>
      <c r="AG22" s="27" t="n">
        <f aca="false">IF('Indicator Data'!AG22="",IF(Config!$C$15="Score as High (5)",5,0),IF(Indicators!$F22="Higher = riskier",1+('Indicator Data'!AG22&gt;=Indicators!$G22)+('Indicator Data'!AG22&gt;=Indicators!$H22)+('Indicator Data'!AG22&gt;=Indicators!$I22)+('Indicator Data'!AG22&gt;=Indicators!$J22),1+('Indicator Data'!AG22&lt;=Indicators!$G22)+('Indicator Data'!AG22&lt;=Indicators!$H22)+('Indicator Data'!AG22&lt;=Indicators!$I22)+('Indicator Data'!AG22&lt;=Indicators!$J22)))</f>
        <v>1</v>
      </c>
    </row>
    <row r="23" customFormat="false" ht="15" hidden="false" customHeight="false" outlineLevel="0" collapsed="false">
      <c r="A23" s="26" t="str">
        <f aca="false">Indicators!A23</f>
        <v>P06</v>
      </c>
      <c r="B23" s="26" t="str">
        <f aca="false">Indicators!C23</f>
        <v>Higher-risk product exposure: bearer, safe deposit, virtual assets (1–5)</v>
      </c>
      <c r="C23" s="26" t="str">
        <f aca="false">Indicators!D23</f>
        <v>score 1–5</v>
      </c>
      <c r="D23" s="27" t="n">
        <f aca="false">IF('Indicator Data'!D23="",IF(Config!$C$15="Score as High (5)",5,0),IF(Indicators!$F23="Higher = riskier",1+('Indicator Data'!D23&gt;=Indicators!$G23)+('Indicator Data'!D23&gt;=Indicators!$H23)+('Indicator Data'!D23&gt;=Indicators!$I23)+('Indicator Data'!D23&gt;=Indicators!$J23),1+('Indicator Data'!D23&lt;=Indicators!$G23)+('Indicator Data'!D23&lt;=Indicators!$H23)+('Indicator Data'!D23&lt;=Indicators!$I23)+('Indicator Data'!D23&lt;=Indicators!$J23)))</f>
        <v>4</v>
      </c>
      <c r="E23" s="27" t="n">
        <f aca="false">IF('Indicator Data'!E23="",IF(Config!$C$15="Score as High (5)",5,0),IF(Indicators!$F23="Higher = riskier",1+('Indicator Data'!E23&gt;=Indicators!$G23)+('Indicator Data'!E23&gt;=Indicators!$H23)+('Indicator Data'!E23&gt;=Indicators!$I23)+('Indicator Data'!E23&gt;=Indicators!$J23),1+('Indicator Data'!E23&lt;=Indicators!$G23)+('Indicator Data'!E23&lt;=Indicators!$H23)+('Indicator Data'!E23&lt;=Indicators!$I23)+('Indicator Data'!E23&lt;=Indicators!$J23)))</f>
        <v>3</v>
      </c>
      <c r="F23" s="27" t="n">
        <f aca="false">IF('Indicator Data'!F23="",IF(Config!$C$15="Score as High (5)",5,0),IF(Indicators!$F23="Higher = riskier",1+('Indicator Data'!F23&gt;=Indicators!$G23)+('Indicator Data'!F23&gt;=Indicators!$H23)+('Indicator Data'!F23&gt;=Indicators!$I23)+('Indicator Data'!F23&gt;=Indicators!$J23),1+('Indicator Data'!F23&lt;=Indicators!$G23)+('Indicator Data'!F23&lt;=Indicators!$H23)+('Indicator Data'!F23&lt;=Indicators!$I23)+('Indicator Data'!F23&lt;=Indicators!$J23)))</f>
        <v>3</v>
      </c>
      <c r="G23" s="27" t="n">
        <f aca="false">IF('Indicator Data'!G23="",IF(Config!$C$15="Score as High (5)",5,0),IF(Indicators!$F23="Higher = riskier",1+('Indicator Data'!G23&gt;=Indicators!$G23)+('Indicator Data'!G23&gt;=Indicators!$H23)+('Indicator Data'!G23&gt;=Indicators!$I23)+('Indicator Data'!G23&gt;=Indicators!$J23),1+('Indicator Data'!G23&lt;=Indicators!$G23)+('Indicator Data'!G23&lt;=Indicators!$H23)+('Indicator Data'!G23&lt;=Indicators!$I23)+('Indicator Data'!G23&lt;=Indicators!$J23)))</f>
        <v>3</v>
      </c>
      <c r="H23" s="27" t="n">
        <f aca="false">IF('Indicator Data'!H23="",IF(Config!$C$15="Score as High (5)",5,0),IF(Indicators!$F23="Higher = riskier",1+('Indicator Data'!H23&gt;=Indicators!$G23)+('Indicator Data'!H23&gt;=Indicators!$H23)+('Indicator Data'!H23&gt;=Indicators!$I23)+('Indicator Data'!H23&gt;=Indicators!$J23),1+('Indicator Data'!H23&lt;=Indicators!$G23)+('Indicator Data'!H23&lt;=Indicators!$H23)+('Indicator Data'!H23&lt;=Indicators!$I23)+('Indicator Data'!H23&lt;=Indicators!$J23)))</f>
        <v>4</v>
      </c>
      <c r="I23" s="27" t="n">
        <f aca="false">IF('Indicator Data'!I23="",IF(Config!$C$15="Score as High (5)",5,0),IF(Indicators!$F23="Higher = riskier",1+('Indicator Data'!I23&gt;=Indicators!$G23)+('Indicator Data'!I23&gt;=Indicators!$H23)+('Indicator Data'!I23&gt;=Indicators!$I23)+('Indicator Data'!I23&gt;=Indicators!$J23),1+('Indicator Data'!I23&lt;=Indicators!$G23)+('Indicator Data'!I23&lt;=Indicators!$H23)+('Indicator Data'!I23&lt;=Indicators!$I23)+('Indicator Data'!I23&lt;=Indicators!$J23)))</f>
        <v>5</v>
      </c>
      <c r="J23" s="27" t="n">
        <f aca="false">IF('Indicator Data'!J23="",IF(Config!$C$15="Score as High (5)",5,0),IF(Indicators!$F23="Higher = riskier",1+('Indicator Data'!J23&gt;=Indicators!$G23)+('Indicator Data'!J23&gt;=Indicators!$H23)+('Indicator Data'!J23&gt;=Indicators!$I23)+('Indicator Data'!J23&gt;=Indicators!$J23),1+('Indicator Data'!J23&lt;=Indicators!$G23)+('Indicator Data'!J23&lt;=Indicators!$H23)+('Indicator Data'!J23&lt;=Indicators!$I23)+('Indicator Data'!J23&lt;=Indicators!$J23)))</f>
        <v>5</v>
      </c>
      <c r="K23" s="27" t="n">
        <f aca="false">IF('Indicator Data'!K23="",IF(Config!$C$15="Score as High (5)",5,0),IF(Indicators!$F23="Higher = riskier",1+('Indicator Data'!K23&gt;=Indicators!$G23)+('Indicator Data'!K23&gt;=Indicators!$H23)+('Indicator Data'!K23&gt;=Indicators!$I23)+('Indicator Data'!K23&gt;=Indicators!$J23),1+('Indicator Data'!K23&lt;=Indicators!$G23)+('Indicator Data'!K23&lt;=Indicators!$H23)+('Indicator Data'!K23&lt;=Indicators!$I23)+('Indicator Data'!K23&lt;=Indicators!$J23)))</f>
        <v>4</v>
      </c>
      <c r="L23" s="27" t="n">
        <f aca="false">IF('Indicator Data'!L23="",IF(Config!$C$15="Score as High (5)",5,0),IF(Indicators!$F23="Higher = riskier",1+('Indicator Data'!L23&gt;=Indicators!$G23)+('Indicator Data'!L23&gt;=Indicators!$H23)+('Indicator Data'!L23&gt;=Indicators!$I23)+('Indicator Data'!L23&gt;=Indicators!$J23),1+('Indicator Data'!L23&lt;=Indicators!$G23)+('Indicator Data'!L23&lt;=Indicators!$H23)+('Indicator Data'!L23&lt;=Indicators!$I23)+('Indicator Data'!L23&lt;=Indicators!$J23)))</f>
        <v>4</v>
      </c>
      <c r="M23" s="27" t="n">
        <f aca="false">IF('Indicator Data'!M23="",IF(Config!$C$15="Score as High (5)",5,0),IF(Indicators!$F23="Higher = riskier",1+('Indicator Data'!M23&gt;=Indicators!$G23)+('Indicator Data'!M23&gt;=Indicators!$H23)+('Indicator Data'!M23&gt;=Indicators!$I23)+('Indicator Data'!M23&gt;=Indicators!$J23),1+('Indicator Data'!M23&lt;=Indicators!$G23)+('Indicator Data'!M23&lt;=Indicators!$H23)+('Indicator Data'!M23&lt;=Indicators!$I23)+('Indicator Data'!M23&lt;=Indicators!$J23)))</f>
        <v>3</v>
      </c>
      <c r="N23" s="27" t="n">
        <f aca="false">IF('Indicator Data'!N23="",IF(Config!$C$15="Score as High (5)",5,0),IF(Indicators!$F23="Higher = riskier",1+('Indicator Data'!N23&gt;=Indicators!$G23)+('Indicator Data'!N23&gt;=Indicators!$H23)+('Indicator Data'!N23&gt;=Indicators!$I23)+('Indicator Data'!N23&gt;=Indicators!$J23),1+('Indicator Data'!N23&lt;=Indicators!$G23)+('Indicator Data'!N23&lt;=Indicators!$H23)+('Indicator Data'!N23&lt;=Indicators!$I23)+('Indicator Data'!N23&lt;=Indicators!$J23)))</f>
        <v>3</v>
      </c>
      <c r="O23" s="27" t="n">
        <f aca="false">IF('Indicator Data'!O23="",IF(Config!$C$15="Score as High (5)",5,0),IF(Indicators!$F23="Higher = riskier",1+('Indicator Data'!O23&gt;=Indicators!$G23)+('Indicator Data'!O23&gt;=Indicators!$H23)+('Indicator Data'!O23&gt;=Indicators!$I23)+('Indicator Data'!O23&gt;=Indicators!$J23),1+('Indicator Data'!O23&lt;=Indicators!$G23)+('Indicator Data'!O23&lt;=Indicators!$H23)+('Indicator Data'!O23&lt;=Indicators!$I23)+('Indicator Data'!O23&lt;=Indicators!$J23)))</f>
        <v>4</v>
      </c>
      <c r="P23" s="27" t="n">
        <f aca="false">IF('Indicator Data'!P23="",IF(Config!$C$15="Score as High (5)",5,0),IF(Indicators!$F23="Higher = riskier",1+('Indicator Data'!P23&gt;=Indicators!$G23)+('Indicator Data'!P23&gt;=Indicators!$H23)+('Indicator Data'!P23&gt;=Indicators!$I23)+('Indicator Data'!P23&gt;=Indicators!$J23),1+('Indicator Data'!P23&lt;=Indicators!$G23)+('Indicator Data'!P23&lt;=Indicators!$H23)+('Indicator Data'!P23&lt;=Indicators!$I23)+('Indicator Data'!P23&lt;=Indicators!$J23)))</f>
        <v>2</v>
      </c>
      <c r="Q23" s="27" t="n">
        <f aca="false">IF('Indicator Data'!Q23="",IF(Config!$C$15="Score as High (5)",5,0),IF(Indicators!$F23="Higher = riskier",1+('Indicator Data'!Q23&gt;=Indicators!$G23)+('Indicator Data'!Q23&gt;=Indicators!$H23)+('Indicator Data'!Q23&gt;=Indicators!$I23)+('Indicator Data'!Q23&gt;=Indicators!$J23),1+('Indicator Data'!Q23&lt;=Indicators!$G23)+('Indicator Data'!Q23&lt;=Indicators!$H23)+('Indicator Data'!Q23&lt;=Indicators!$I23)+('Indicator Data'!Q23&lt;=Indicators!$J23)))</f>
        <v>3</v>
      </c>
      <c r="R23" s="27" t="n">
        <f aca="false">IF('Indicator Data'!R23="",IF(Config!$C$15="Score as High (5)",5,0),IF(Indicators!$F23="Higher = riskier",1+('Indicator Data'!R23&gt;=Indicators!$G23)+('Indicator Data'!R23&gt;=Indicators!$H23)+('Indicator Data'!R23&gt;=Indicators!$I23)+('Indicator Data'!R23&gt;=Indicators!$J23),1+('Indicator Data'!R23&lt;=Indicators!$G23)+('Indicator Data'!R23&lt;=Indicators!$H23)+('Indicator Data'!R23&lt;=Indicators!$I23)+('Indicator Data'!R23&lt;=Indicators!$J23)))</f>
        <v>4</v>
      </c>
      <c r="S23" s="27" t="n">
        <f aca="false">IF('Indicator Data'!S23="",IF(Config!$C$15="Score as High (5)",5,0),IF(Indicators!$F23="Higher = riskier",1+('Indicator Data'!S23&gt;=Indicators!$G23)+('Indicator Data'!S23&gt;=Indicators!$H23)+('Indicator Data'!S23&gt;=Indicators!$I23)+('Indicator Data'!S23&gt;=Indicators!$J23),1+('Indicator Data'!S23&lt;=Indicators!$G23)+('Indicator Data'!S23&lt;=Indicators!$H23)+('Indicator Data'!S23&lt;=Indicators!$I23)+('Indicator Data'!S23&lt;=Indicators!$J23)))</f>
        <v>4</v>
      </c>
      <c r="T23" s="27" t="n">
        <f aca="false">IF('Indicator Data'!T23="",IF(Config!$C$15="Score as High (5)",5,0),IF(Indicators!$F23="Higher = riskier",1+('Indicator Data'!T23&gt;=Indicators!$G23)+('Indicator Data'!T23&gt;=Indicators!$H23)+('Indicator Data'!T23&gt;=Indicators!$I23)+('Indicator Data'!T23&gt;=Indicators!$J23),1+('Indicator Data'!T23&lt;=Indicators!$G23)+('Indicator Data'!T23&lt;=Indicators!$H23)+('Indicator Data'!T23&lt;=Indicators!$I23)+('Indicator Data'!T23&lt;=Indicators!$J23)))</f>
        <v>3</v>
      </c>
      <c r="U23" s="27" t="n">
        <f aca="false">IF('Indicator Data'!U23="",IF(Config!$C$15="Score as High (5)",5,0),IF(Indicators!$F23="Higher = riskier",1+('Indicator Data'!U23&gt;=Indicators!$G23)+('Indicator Data'!U23&gt;=Indicators!$H23)+('Indicator Data'!U23&gt;=Indicators!$I23)+('Indicator Data'!U23&gt;=Indicators!$J23),1+('Indicator Data'!U23&lt;=Indicators!$G23)+('Indicator Data'!U23&lt;=Indicators!$H23)+('Indicator Data'!U23&lt;=Indicators!$I23)+('Indicator Data'!U23&lt;=Indicators!$J23)))</f>
        <v>3</v>
      </c>
      <c r="V23" s="27" t="n">
        <f aca="false">IF('Indicator Data'!V23="",IF(Config!$C$15="Score as High (5)",5,0),IF(Indicators!$F23="Higher = riskier",1+('Indicator Data'!V23&gt;=Indicators!$G23)+('Indicator Data'!V23&gt;=Indicators!$H23)+('Indicator Data'!V23&gt;=Indicators!$I23)+('Indicator Data'!V23&gt;=Indicators!$J23),1+('Indicator Data'!V23&lt;=Indicators!$G23)+('Indicator Data'!V23&lt;=Indicators!$H23)+('Indicator Data'!V23&lt;=Indicators!$I23)+('Indicator Data'!V23&lt;=Indicators!$J23)))</f>
        <v>4</v>
      </c>
      <c r="W23" s="27" t="n">
        <f aca="false">IF('Indicator Data'!W23="",IF(Config!$C$15="Score as High (5)",5,0),IF(Indicators!$F23="Higher = riskier",1+('Indicator Data'!W23&gt;=Indicators!$G23)+('Indicator Data'!W23&gt;=Indicators!$H23)+('Indicator Data'!W23&gt;=Indicators!$I23)+('Indicator Data'!W23&gt;=Indicators!$J23),1+('Indicator Data'!W23&lt;=Indicators!$G23)+('Indicator Data'!W23&lt;=Indicators!$H23)+('Indicator Data'!W23&lt;=Indicators!$I23)+('Indicator Data'!W23&lt;=Indicators!$J23)))</f>
        <v>2</v>
      </c>
      <c r="X23" s="27" t="n">
        <f aca="false">IF('Indicator Data'!X23="",IF(Config!$C$15="Score as High (5)",5,0),IF(Indicators!$F23="Higher = riskier",1+('Indicator Data'!X23&gt;=Indicators!$G23)+('Indicator Data'!X23&gt;=Indicators!$H23)+('Indicator Data'!X23&gt;=Indicators!$I23)+('Indicator Data'!X23&gt;=Indicators!$J23),1+('Indicator Data'!X23&lt;=Indicators!$G23)+('Indicator Data'!X23&lt;=Indicators!$H23)+('Indicator Data'!X23&lt;=Indicators!$I23)+('Indicator Data'!X23&lt;=Indicators!$J23)))</f>
        <v>4</v>
      </c>
      <c r="Y23" s="27" t="n">
        <f aca="false">IF('Indicator Data'!Y23="",IF(Config!$C$15="Score as High (5)",5,0),IF(Indicators!$F23="Higher = riskier",1+('Indicator Data'!Y23&gt;=Indicators!$G23)+('Indicator Data'!Y23&gt;=Indicators!$H23)+('Indicator Data'!Y23&gt;=Indicators!$I23)+('Indicator Data'!Y23&gt;=Indicators!$J23),1+('Indicator Data'!Y23&lt;=Indicators!$G23)+('Indicator Data'!Y23&lt;=Indicators!$H23)+('Indicator Data'!Y23&lt;=Indicators!$I23)+('Indicator Data'!Y23&lt;=Indicators!$J23)))</f>
        <v>2</v>
      </c>
      <c r="Z23" s="27" t="n">
        <f aca="false">IF('Indicator Data'!Z23="",IF(Config!$C$15="Score as High (5)",5,0),IF(Indicators!$F23="Higher = riskier",1+('Indicator Data'!Z23&gt;=Indicators!$G23)+('Indicator Data'!Z23&gt;=Indicators!$H23)+('Indicator Data'!Z23&gt;=Indicators!$I23)+('Indicator Data'!Z23&gt;=Indicators!$J23),1+('Indicator Data'!Z23&lt;=Indicators!$G23)+('Indicator Data'!Z23&lt;=Indicators!$H23)+('Indicator Data'!Z23&lt;=Indicators!$I23)+('Indicator Data'!Z23&lt;=Indicators!$J23)))</f>
        <v>2</v>
      </c>
      <c r="AA23" s="27" t="n">
        <f aca="false">IF('Indicator Data'!AA23="",IF(Config!$C$15="Score as High (5)",5,0),IF(Indicators!$F23="Higher = riskier",1+('Indicator Data'!AA23&gt;=Indicators!$G23)+('Indicator Data'!AA23&gt;=Indicators!$H23)+('Indicator Data'!AA23&gt;=Indicators!$I23)+('Indicator Data'!AA23&gt;=Indicators!$J23),1+('Indicator Data'!AA23&lt;=Indicators!$G23)+('Indicator Data'!AA23&lt;=Indicators!$H23)+('Indicator Data'!AA23&lt;=Indicators!$I23)+('Indicator Data'!AA23&lt;=Indicators!$J23)))</f>
        <v>2</v>
      </c>
      <c r="AB23" s="27" t="n">
        <f aca="false">IF('Indicator Data'!AB23="",IF(Config!$C$15="Score as High (5)",5,0),IF(Indicators!$F23="Higher = riskier",1+('Indicator Data'!AB23&gt;=Indicators!$G23)+('Indicator Data'!AB23&gt;=Indicators!$H23)+('Indicator Data'!AB23&gt;=Indicators!$I23)+('Indicator Data'!AB23&gt;=Indicators!$J23),1+('Indicator Data'!AB23&lt;=Indicators!$G23)+('Indicator Data'!AB23&lt;=Indicators!$H23)+('Indicator Data'!AB23&lt;=Indicators!$I23)+('Indicator Data'!AB23&lt;=Indicators!$J23)))</f>
        <v>2</v>
      </c>
      <c r="AC23" s="27" t="n">
        <f aca="false">IF('Indicator Data'!AC23="",IF(Config!$C$15="Score as High (5)",5,0),IF(Indicators!$F23="Higher = riskier",1+('Indicator Data'!AC23&gt;=Indicators!$G23)+('Indicator Data'!AC23&gt;=Indicators!$H23)+('Indicator Data'!AC23&gt;=Indicators!$I23)+('Indicator Data'!AC23&gt;=Indicators!$J23),1+('Indicator Data'!AC23&lt;=Indicators!$G23)+('Indicator Data'!AC23&lt;=Indicators!$H23)+('Indicator Data'!AC23&lt;=Indicators!$I23)+('Indicator Data'!AC23&lt;=Indicators!$J23)))</f>
        <v>2</v>
      </c>
      <c r="AD23" s="27" t="n">
        <f aca="false">IF('Indicator Data'!AD23="",IF(Config!$C$15="Score as High (5)",5,0),IF(Indicators!$F23="Higher = riskier",1+('Indicator Data'!AD23&gt;=Indicators!$G23)+('Indicator Data'!AD23&gt;=Indicators!$H23)+('Indicator Data'!AD23&gt;=Indicators!$I23)+('Indicator Data'!AD23&gt;=Indicators!$J23),1+('Indicator Data'!AD23&lt;=Indicators!$G23)+('Indicator Data'!AD23&lt;=Indicators!$H23)+('Indicator Data'!AD23&lt;=Indicators!$I23)+('Indicator Data'!AD23&lt;=Indicators!$J23)))</f>
        <v>3</v>
      </c>
      <c r="AE23" s="27" t="n">
        <f aca="false">IF('Indicator Data'!AE23="",IF(Config!$C$15="Score as High (5)",5,0),IF(Indicators!$F23="Higher = riskier",1+('Indicator Data'!AE23&gt;=Indicators!$G23)+('Indicator Data'!AE23&gt;=Indicators!$H23)+('Indicator Data'!AE23&gt;=Indicators!$I23)+('Indicator Data'!AE23&gt;=Indicators!$J23),1+('Indicator Data'!AE23&lt;=Indicators!$G23)+('Indicator Data'!AE23&lt;=Indicators!$H23)+('Indicator Data'!AE23&lt;=Indicators!$I23)+('Indicator Data'!AE23&lt;=Indicators!$J23)))</f>
        <v>2</v>
      </c>
      <c r="AF23" s="27" t="n">
        <f aca="false">IF('Indicator Data'!AF23="",IF(Config!$C$15="Score as High (5)",5,0),IF(Indicators!$F23="Higher = riskier",1+('Indicator Data'!AF23&gt;=Indicators!$G23)+('Indicator Data'!AF23&gt;=Indicators!$H23)+('Indicator Data'!AF23&gt;=Indicators!$I23)+('Indicator Data'!AF23&gt;=Indicators!$J23),1+('Indicator Data'!AF23&lt;=Indicators!$G23)+('Indicator Data'!AF23&lt;=Indicators!$H23)+('Indicator Data'!AF23&lt;=Indicators!$I23)+('Indicator Data'!AF23&lt;=Indicators!$J23)))</f>
        <v>2</v>
      </c>
      <c r="AG23" s="27" t="n">
        <f aca="false">IF('Indicator Data'!AG23="",IF(Config!$C$15="Score as High (5)",5,0),IF(Indicators!$F23="Higher = riskier",1+('Indicator Data'!AG23&gt;=Indicators!$G23)+('Indicator Data'!AG23&gt;=Indicators!$H23)+('Indicator Data'!AG23&gt;=Indicators!$I23)+('Indicator Data'!AG23&gt;=Indicators!$J23),1+('Indicator Data'!AG23&lt;=Indicators!$G23)+('Indicator Data'!AG23&lt;=Indicators!$H23)+('Indicator Data'!AG23&lt;=Indicators!$I23)+('Indicator Data'!AG23&lt;=Indicators!$J23)))</f>
        <v>1</v>
      </c>
    </row>
    <row r="24" customFormat="false" ht="15" hidden="false" customHeight="false" outlineLevel="0" collapsed="false">
      <c r="A24" s="26" t="str">
        <f aca="false">Indicators!A24</f>
        <v>D01</v>
      </c>
      <c r="B24" s="26" t="str">
        <f aca="false">Indicators!C24</f>
        <v>% accounts opened non-face-to-face</v>
      </c>
      <c r="C24" s="26" t="str">
        <f aca="false">Indicators!D24</f>
        <v>%</v>
      </c>
      <c r="D24" s="27" t="n">
        <f aca="false">IF('Indicator Data'!D24="",IF(Config!$C$15="Score as High (5)",5,0),IF(Indicators!$F24="Higher = riskier",1+('Indicator Data'!D24&gt;=Indicators!$G24)+('Indicator Data'!D24&gt;=Indicators!$H24)+('Indicator Data'!D24&gt;=Indicators!$I24)+('Indicator Data'!D24&gt;=Indicators!$J24),1+('Indicator Data'!D24&lt;=Indicators!$G24)+('Indicator Data'!D24&lt;=Indicators!$H24)+('Indicator Data'!D24&lt;=Indicators!$I24)+('Indicator Data'!D24&lt;=Indicators!$J24)))</f>
        <v>2</v>
      </c>
      <c r="E24" s="27" t="n">
        <f aca="false">IF('Indicator Data'!E24="",IF(Config!$C$15="Score as High (5)",5,0),IF(Indicators!$F24="Higher = riskier",1+('Indicator Data'!E24&gt;=Indicators!$G24)+('Indicator Data'!E24&gt;=Indicators!$H24)+('Indicator Data'!E24&gt;=Indicators!$I24)+('Indicator Data'!E24&gt;=Indicators!$J24),1+('Indicator Data'!E24&lt;=Indicators!$G24)+('Indicator Data'!E24&lt;=Indicators!$H24)+('Indicator Data'!E24&lt;=Indicators!$I24)+('Indicator Data'!E24&lt;=Indicators!$J24)))</f>
        <v>3</v>
      </c>
      <c r="F24" s="27" t="n">
        <f aca="false">IF('Indicator Data'!F24="",IF(Config!$C$15="Score as High (5)",5,0),IF(Indicators!$F24="Higher = riskier",1+('Indicator Data'!F24&gt;=Indicators!$G24)+('Indicator Data'!F24&gt;=Indicators!$H24)+('Indicator Data'!F24&gt;=Indicators!$I24)+('Indicator Data'!F24&gt;=Indicators!$J24),1+('Indicator Data'!F24&lt;=Indicators!$G24)+('Indicator Data'!F24&lt;=Indicators!$H24)+('Indicator Data'!F24&lt;=Indicators!$I24)+('Indicator Data'!F24&lt;=Indicators!$J24)))</f>
        <v>4</v>
      </c>
      <c r="G24" s="27" t="n">
        <f aca="false">IF('Indicator Data'!G24="",IF(Config!$C$15="Score as High (5)",5,0),IF(Indicators!$F24="Higher = riskier",1+('Indicator Data'!G24&gt;=Indicators!$G24)+('Indicator Data'!G24&gt;=Indicators!$H24)+('Indicator Data'!G24&gt;=Indicators!$I24)+('Indicator Data'!G24&gt;=Indicators!$J24),1+('Indicator Data'!G24&lt;=Indicators!$G24)+('Indicator Data'!G24&lt;=Indicators!$H24)+('Indicator Data'!G24&lt;=Indicators!$I24)+('Indicator Data'!G24&lt;=Indicators!$J24)))</f>
        <v>1</v>
      </c>
      <c r="H24" s="27" t="n">
        <f aca="false">IF('Indicator Data'!H24="",IF(Config!$C$15="Score as High (5)",5,0),IF(Indicators!$F24="Higher = riskier",1+('Indicator Data'!H24&gt;=Indicators!$G24)+('Indicator Data'!H24&gt;=Indicators!$H24)+('Indicator Data'!H24&gt;=Indicators!$I24)+('Indicator Data'!H24&gt;=Indicators!$J24),1+('Indicator Data'!H24&lt;=Indicators!$G24)+('Indicator Data'!H24&lt;=Indicators!$H24)+('Indicator Data'!H24&lt;=Indicators!$I24)+('Indicator Data'!H24&lt;=Indicators!$J24)))</f>
        <v>3</v>
      </c>
      <c r="I24" s="27" t="n">
        <f aca="false">IF('Indicator Data'!I24="",IF(Config!$C$15="Score as High (5)",5,0),IF(Indicators!$F24="Higher = riskier",1+('Indicator Data'!I24&gt;=Indicators!$G24)+('Indicator Data'!I24&gt;=Indicators!$H24)+('Indicator Data'!I24&gt;=Indicators!$I24)+('Indicator Data'!I24&gt;=Indicators!$J24),1+('Indicator Data'!I24&lt;=Indicators!$G24)+('Indicator Data'!I24&lt;=Indicators!$H24)+('Indicator Data'!I24&lt;=Indicators!$I24)+('Indicator Data'!I24&lt;=Indicators!$J24)))</f>
        <v>4</v>
      </c>
      <c r="J24" s="27" t="n">
        <f aca="false">IF('Indicator Data'!J24="",IF(Config!$C$15="Score as High (5)",5,0),IF(Indicators!$F24="Higher = riskier",1+('Indicator Data'!J24&gt;=Indicators!$G24)+('Indicator Data'!J24&gt;=Indicators!$H24)+('Indicator Data'!J24&gt;=Indicators!$I24)+('Indicator Data'!J24&gt;=Indicators!$J24),1+('Indicator Data'!J24&lt;=Indicators!$G24)+('Indicator Data'!J24&lt;=Indicators!$H24)+('Indicator Data'!J24&lt;=Indicators!$I24)+('Indicator Data'!J24&lt;=Indicators!$J24)))</f>
        <v>3</v>
      </c>
      <c r="K24" s="27" t="n">
        <f aca="false">IF('Indicator Data'!K24="",IF(Config!$C$15="Score as High (5)",5,0),IF(Indicators!$F24="Higher = riskier",1+('Indicator Data'!K24&gt;=Indicators!$G24)+('Indicator Data'!K24&gt;=Indicators!$H24)+('Indicator Data'!K24&gt;=Indicators!$I24)+('Indicator Data'!K24&gt;=Indicators!$J24),1+('Indicator Data'!K24&lt;=Indicators!$G24)+('Indicator Data'!K24&lt;=Indicators!$H24)+('Indicator Data'!K24&lt;=Indicators!$I24)+('Indicator Data'!K24&lt;=Indicators!$J24)))</f>
        <v>5</v>
      </c>
      <c r="L24" s="27" t="n">
        <f aca="false">IF('Indicator Data'!L24="",IF(Config!$C$15="Score as High (5)",5,0),IF(Indicators!$F24="Higher = riskier",1+('Indicator Data'!L24&gt;=Indicators!$G24)+('Indicator Data'!L24&gt;=Indicators!$H24)+('Indicator Data'!L24&gt;=Indicators!$I24)+('Indicator Data'!L24&gt;=Indicators!$J24),1+('Indicator Data'!L24&lt;=Indicators!$G24)+('Indicator Data'!L24&lt;=Indicators!$H24)+('Indicator Data'!L24&lt;=Indicators!$I24)+('Indicator Data'!L24&lt;=Indicators!$J24)))</f>
        <v>3</v>
      </c>
      <c r="M24" s="27" t="n">
        <f aca="false">IF('Indicator Data'!M24="",IF(Config!$C$15="Score as High (5)",5,0),IF(Indicators!$F24="Higher = riskier",1+('Indicator Data'!M24&gt;=Indicators!$G24)+('Indicator Data'!M24&gt;=Indicators!$H24)+('Indicator Data'!M24&gt;=Indicators!$I24)+('Indicator Data'!M24&gt;=Indicators!$J24),1+('Indicator Data'!M24&lt;=Indicators!$G24)+('Indicator Data'!M24&lt;=Indicators!$H24)+('Indicator Data'!M24&lt;=Indicators!$I24)+('Indicator Data'!M24&lt;=Indicators!$J24)))</f>
        <v>4</v>
      </c>
      <c r="N24" s="27" t="n">
        <f aca="false">IF('Indicator Data'!N24="",IF(Config!$C$15="Score as High (5)",5,0),IF(Indicators!$F24="Higher = riskier",1+('Indicator Data'!N24&gt;=Indicators!$G24)+('Indicator Data'!N24&gt;=Indicators!$H24)+('Indicator Data'!N24&gt;=Indicators!$I24)+('Indicator Data'!N24&gt;=Indicators!$J24),1+('Indicator Data'!N24&lt;=Indicators!$G24)+('Indicator Data'!N24&lt;=Indicators!$H24)+('Indicator Data'!N24&lt;=Indicators!$I24)+('Indicator Data'!N24&lt;=Indicators!$J24)))</f>
        <v>2</v>
      </c>
      <c r="O24" s="27" t="n">
        <f aca="false">IF('Indicator Data'!O24="",IF(Config!$C$15="Score as High (5)",5,0),IF(Indicators!$F24="Higher = riskier",1+('Indicator Data'!O24&gt;=Indicators!$G24)+('Indicator Data'!O24&gt;=Indicators!$H24)+('Indicator Data'!O24&gt;=Indicators!$I24)+('Indicator Data'!O24&gt;=Indicators!$J24),1+('Indicator Data'!O24&lt;=Indicators!$G24)+('Indicator Data'!O24&lt;=Indicators!$H24)+('Indicator Data'!O24&lt;=Indicators!$I24)+('Indicator Data'!O24&lt;=Indicators!$J24)))</f>
        <v>3</v>
      </c>
      <c r="P24" s="27" t="n">
        <f aca="false">IF('Indicator Data'!P24="",IF(Config!$C$15="Score as High (5)",5,0),IF(Indicators!$F24="Higher = riskier",1+('Indicator Data'!P24&gt;=Indicators!$G24)+('Indicator Data'!P24&gt;=Indicators!$H24)+('Indicator Data'!P24&gt;=Indicators!$I24)+('Indicator Data'!P24&gt;=Indicators!$J24),1+('Indicator Data'!P24&lt;=Indicators!$G24)+('Indicator Data'!P24&lt;=Indicators!$H24)+('Indicator Data'!P24&lt;=Indicators!$I24)+('Indicator Data'!P24&lt;=Indicators!$J24)))</f>
        <v>2</v>
      </c>
      <c r="Q24" s="27" t="n">
        <f aca="false">IF('Indicator Data'!Q24="",IF(Config!$C$15="Score as High (5)",5,0),IF(Indicators!$F24="Higher = riskier",1+('Indicator Data'!Q24&gt;=Indicators!$G24)+('Indicator Data'!Q24&gt;=Indicators!$H24)+('Indicator Data'!Q24&gt;=Indicators!$I24)+('Indicator Data'!Q24&gt;=Indicators!$J24),1+('Indicator Data'!Q24&lt;=Indicators!$G24)+('Indicator Data'!Q24&lt;=Indicators!$H24)+('Indicator Data'!Q24&lt;=Indicators!$I24)+('Indicator Data'!Q24&lt;=Indicators!$J24)))</f>
        <v>3</v>
      </c>
      <c r="R24" s="27" t="n">
        <f aca="false">IF('Indicator Data'!R24="",IF(Config!$C$15="Score as High (5)",5,0),IF(Indicators!$F24="Higher = riskier",1+('Indicator Data'!R24&gt;=Indicators!$G24)+('Indicator Data'!R24&gt;=Indicators!$H24)+('Indicator Data'!R24&gt;=Indicators!$I24)+('Indicator Data'!R24&gt;=Indicators!$J24),1+('Indicator Data'!R24&lt;=Indicators!$G24)+('Indicator Data'!R24&lt;=Indicators!$H24)+('Indicator Data'!R24&lt;=Indicators!$I24)+('Indicator Data'!R24&lt;=Indicators!$J24)))</f>
        <v>4</v>
      </c>
      <c r="S24" s="27" t="n">
        <f aca="false">IF('Indicator Data'!S24="",IF(Config!$C$15="Score as High (5)",5,0),IF(Indicators!$F24="Higher = riskier",1+('Indicator Data'!S24&gt;=Indicators!$G24)+('Indicator Data'!S24&gt;=Indicators!$H24)+('Indicator Data'!S24&gt;=Indicators!$I24)+('Indicator Data'!S24&gt;=Indicators!$J24),1+('Indicator Data'!S24&lt;=Indicators!$G24)+('Indicator Data'!S24&lt;=Indicators!$H24)+('Indicator Data'!S24&lt;=Indicators!$I24)+('Indicator Data'!S24&lt;=Indicators!$J24)))</f>
        <v>4</v>
      </c>
      <c r="T24" s="27" t="n">
        <f aca="false">IF('Indicator Data'!T24="",IF(Config!$C$15="Score as High (5)",5,0),IF(Indicators!$F24="Higher = riskier",1+('Indicator Data'!T24&gt;=Indicators!$G24)+('Indicator Data'!T24&gt;=Indicators!$H24)+('Indicator Data'!T24&gt;=Indicators!$I24)+('Indicator Data'!T24&gt;=Indicators!$J24),1+('Indicator Data'!T24&lt;=Indicators!$G24)+('Indicator Data'!T24&lt;=Indicators!$H24)+('Indicator Data'!T24&lt;=Indicators!$I24)+('Indicator Data'!T24&lt;=Indicators!$J24)))</f>
        <v>2</v>
      </c>
      <c r="U24" s="27" t="n">
        <f aca="false">IF('Indicator Data'!U24="",IF(Config!$C$15="Score as High (5)",5,0),IF(Indicators!$F24="Higher = riskier",1+('Indicator Data'!U24&gt;=Indicators!$G24)+('Indicator Data'!U24&gt;=Indicators!$H24)+('Indicator Data'!U24&gt;=Indicators!$I24)+('Indicator Data'!U24&gt;=Indicators!$J24),1+('Indicator Data'!U24&lt;=Indicators!$G24)+('Indicator Data'!U24&lt;=Indicators!$H24)+('Indicator Data'!U24&lt;=Indicators!$I24)+('Indicator Data'!U24&lt;=Indicators!$J24)))</f>
        <v>3</v>
      </c>
      <c r="V24" s="27" t="n">
        <f aca="false">IF('Indicator Data'!V24="",IF(Config!$C$15="Score as High (5)",5,0),IF(Indicators!$F24="Higher = riskier",1+('Indicator Data'!V24&gt;=Indicators!$G24)+('Indicator Data'!V24&gt;=Indicators!$H24)+('Indicator Data'!V24&gt;=Indicators!$I24)+('Indicator Data'!V24&gt;=Indicators!$J24),1+('Indicator Data'!V24&lt;=Indicators!$G24)+('Indicator Data'!V24&lt;=Indicators!$H24)+('Indicator Data'!V24&lt;=Indicators!$I24)+('Indicator Data'!V24&lt;=Indicators!$J24)))</f>
        <v>3</v>
      </c>
      <c r="W24" s="27" t="n">
        <f aca="false">IF('Indicator Data'!W24="",IF(Config!$C$15="Score as High (5)",5,0),IF(Indicators!$F24="Higher = riskier",1+('Indicator Data'!W24&gt;=Indicators!$G24)+('Indicator Data'!W24&gt;=Indicators!$H24)+('Indicator Data'!W24&gt;=Indicators!$I24)+('Indicator Data'!W24&gt;=Indicators!$J24),1+('Indicator Data'!W24&lt;=Indicators!$G24)+('Indicator Data'!W24&lt;=Indicators!$H24)+('Indicator Data'!W24&lt;=Indicators!$I24)+('Indicator Data'!W24&lt;=Indicators!$J24)))</f>
        <v>2</v>
      </c>
      <c r="X24" s="27" t="n">
        <f aca="false">IF('Indicator Data'!X24="",IF(Config!$C$15="Score as High (5)",5,0),IF(Indicators!$F24="Higher = riskier",1+('Indicator Data'!X24&gt;=Indicators!$G24)+('Indicator Data'!X24&gt;=Indicators!$H24)+('Indicator Data'!X24&gt;=Indicators!$I24)+('Indicator Data'!X24&gt;=Indicators!$J24),1+('Indicator Data'!X24&lt;=Indicators!$G24)+('Indicator Data'!X24&lt;=Indicators!$H24)+('Indicator Data'!X24&lt;=Indicators!$I24)+('Indicator Data'!X24&lt;=Indicators!$J24)))</f>
        <v>5</v>
      </c>
      <c r="Y24" s="27" t="n">
        <f aca="false">IF('Indicator Data'!Y24="",IF(Config!$C$15="Score as High (5)",5,0),IF(Indicators!$F24="Higher = riskier",1+('Indicator Data'!Y24&gt;=Indicators!$G24)+('Indicator Data'!Y24&gt;=Indicators!$H24)+('Indicator Data'!Y24&gt;=Indicators!$I24)+('Indicator Data'!Y24&gt;=Indicators!$J24),1+('Indicator Data'!Y24&lt;=Indicators!$G24)+('Indicator Data'!Y24&lt;=Indicators!$H24)+('Indicator Data'!Y24&lt;=Indicators!$I24)+('Indicator Data'!Y24&lt;=Indicators!$J24)))</f>
        <v>2</v>
      </c>
      <c r="Z24" s="27" t="n">
        <f aca="false">IF('Indicator Data'!Z24="",IF(Config!$C$15="Score as High (5)",5,0),IF(Indicators!$F24="Higher = riskier",1+('Indicator Data'!Z24&gt;=Indicators!$G24)+('Indicator Data'!Z24&gt;=Indicators!$H24)+('Indicator Data'!Z24&gt;=Indicators!$I24)+('Indicator Data'!Z24&gt;=Indicators!$J24),1+('Indicator Data'!Z24&lt;=Indicators!$G24)+('Indicator Data'!Z24&lt;=Indicators!$H24)+('Indicator Data'!Z24&lt;=Indicators!$I24)+('Indicator Data'!Z24&lt;=Indicators!$J24)))</f>
        <v>2</v>
      </c>
      <c r="AA24" s="27" t="n">
        <f aca="false">IF('Indicator Data'!AA24="",IF(Config!$C$15="Score as High (5)",5,0),IF(Indicators!$F24="Higher = riskier",1+('Indicator Data'!AA24&gt;=Indicators!$G24)+('Indicator Data'!AA24&gt;=Indicators!$H24)+('Indicator Data'!AA24&gt;=Indicators!$I24)+('Indicator Data'!AA24&gt;=Indicators!$J24),1+('Indicator Data'!AA24&lt;=Indicators!$G24)+('Indicator Data'!AA24&lt;=Indicators!$H24)+('Indicator Data'!AA24&lt;=Indicators!$I24)+('Indicator Data'!AA24&lt;=Indicators!$J24)))</f>
        <v>1</v>
      </c>
      <c r="AB24" s="27" t="n">
        <f aca="false">IF('Indicator Data'!AB24="",IF(Config!$C$15="Score as High (5)",5,0),IF(Indicators!$F24="Higher = riskier",1+('Indicator Data'!AB24&gt;=Indicators!$G24)+('Indicator Data'!AB24&gt;=Indicators!$H24)+('Indicator Data'!AB24&gt;=Indicators!$I24)+('Indicator Data'!AB24&gt;=Indicators!$J24),1+('Indicator Data'!AB24&lt;=Indicators!$G24)+('Indicator Data'!AB24&lt;=Indicators!$H24)+('Indicator Data'!AB24&lt;=Indicators!$I24)+('Indicator Data'!AB24&lt;=Indicators!$J24)))</f>
        <v>3</v>
      </c>
      <c r="AC24" s="27" t="n">
        <f aca="false">IF('Indicator Data'!AC24="",IF(Config!$C$15="Score as High (5)",5,0),IF(Indicators!$F24="Higher = riskier",1+('Indicator Data'!AC24&gt;=Indicators!$G24)+('Indicator Data'!AC24&gt;=Indicators!$H24)+('Indicator Data'!AC24&gt;=Indicators!$I24)+('Indicator Data'!AC24&gt;=Indicators!$J24),1+('Indicator Data'!AC24&lt;=Indicators!$G24)+('Indicator Data'!AC24&lt;=Indicators!$H24)+('Indicator Data'!AC24&lt;=Indicators!$I24)+('Indicator Data'!AC24&lt;=Indicators!$J24)))</f>
        <v>2</v>
      </c>
      <c r="AD24" s="27" t="n">
        <f aca="false">IF('Indicator Data'!AD24="",IF(Config!$C$15="Score as High (5)",5,0),IF(Indicators!$F24="Higher = riskier",1+('Indicator Data'!AD24&gt;=Indicators!$G24)+('Indicator Data'!AD24&gt;=Indicators!$H24)+('Indicator Data'!AD24&gt;=Indicators!$I24)+('Indicator Data'!AD24&gt;=Indicators!$J24),1+('Indicator Data'!AD24&lt;=Indicators!$G24)+('Indicator Data'!AD24&lt;=Indicators!$H24)+('Indicator Data'!AD24&lt;=Indicators!$I24)+('Indicator Data'!AD24&lt;=Indicators!$J24)))</f>
        <v>2</v>
      </c>
      <c r="AE24" s="27" t="n">
        <f aca="false">IF('Indicator Data'!AE24="",IF(Config!$C$15="Score as High (5)",5,0),IF(Indicators!$F24="Higher = riskier",1+('Indicator Data'!AE24&gt;=Indicators!$G24)+('Indicator Data'!AE24&gt;=Indicators!$H24)+('Indicator Data'!AE24&gt;=Indicators!$I24)+('Indicator Data'!AE24&gt;=Indicators!$J24),1+('Indicator Data'!AE24&lt;=Indicators!$G24)+('Indicator Data'!AE24&lt;=Indicators!$H24)+('Indicator Data'!AE24&lt;=Indicators!$I24)+('Indicator Data'!AE24&lt;=Indicators!$J24)))</f>
        <v>1</v>
      </c>
      <c r="AF24" s="27" t="n">
        <f aca="false">IF('Indicator Data'!AF24="",IF(Config!$C$15="Score as High (5)",5,0),IF(Indicators!$F24="Higher = riskier",1+('Indicator Data'!AF24&gt;=Indicators!$G24)+('Indicator Data'!AF24&gt;=Indicators!$H24)+('Indicator Data'!AF24&gt;=Indicators!$I24)+('Indicator Data'!AF24&gt;=Indicators!$J24),1+('Indicator Data'!AF24&lt;=Indicators!$G24)+('Indicator Data'!AF24&lt;=Indicators!$H24)+('Indicator Data'!AF24&lt;=Indicators!$I24)+('Indicator Data'!AF24&lt;=Indicators!$J24)))</f>
        <v>1</v>
      </c>
      <c r="AG24" s="27" t="n">
        <f aca="false">IF('Indicator Data'!AG24="",IF(Config!$C$15="Score as High (5)",5,0),IF(Indicators!$F24="Higher = riskier",1+('Indicator Data'!AG24&gt;=Indicators!$G24)+('Indicator Data'!AG24&gt;=Indicators!$H24)+('Indicator Data'!AG24&gt;=Indicators!$I24)+('Indicator Data'!AG24&gt;=Indicators!$J24),1+('Indicator Data'!AG24&lt;=Indicators!$G24)+('Indicator Data'!AG24&lt;=Indicators!$H24)+('Indicator Data'!AG24&lt;=Indicators!$I24)+('Indicator Data'!AG24&lt;=Indicators!$J24)))</f>
        <v>2</v>
      </c>
    </row>
    <row r="25" customFormat="false" ht="15" hidden="false" customHeight="false" outlineLevel="0" collapsed="false">
      <c r="A25" s="26" t="str">
        <f aca="false">Indicators!A25</f>
        <v>D02</v>
      </c>
      <c r="B25" s="26" t="str">
        <f aca="false">Indicators!C25</f>
        <v>% customers introduced via agents or intermediaries</v>
      </c>
      <c r="C25" s="26" t="str">
        <f aca="false">Indicators!D25</f>
        <v>%</v>
      </c>
      <c r="D25" s="27" t="n">
        <f aca="false">IF('Indicator Data'!D25="",IF(Config!$C$15="Score as High (5)",5,0),IF(Indicators!$F25="Higher = riskier",1+('Indicator Data'!D25&gt;=Indicators!$G25)+('Indicator Data'!D25&gt;=Indicators!$H25)+('Indicator Data'!D25&gt;=Indicators!$I25)+('Indicator Data'!D25&gt;=Indicators!$J25),1+('Indicator Data'!D25&lt;=Indicators!$G25)+('Indicator Data'!D25&lt;=Indicators!$H25)+('Indicator Data'!D25&lt;=Indicators!$I25)+('Indicator Data'!D25&lt;=Indicators!$J25)))</f>
        <v>4</v>
      </c>
      <c r="E25" s="27" t="n">
        <f aca="false">IF('Indicator Data'!E25="",IF(Config!$C$15="Score as High (5)",5,0),IF(Indicators!$F25="Higher = riskier",1+('Indicator Data'!E25&gt;=Indicators!$G25)+('Indicator Data'!E25&gt;=Indicators!$H25)+('Indicator Data'!E25&gt;=Indicators!$I25)+('Indicator Data'!E25&gt;=Indicators!$J25),1+('Indicator Data'!E25&lt;=Indicators!$G25)+('Indicator Data'!E25&lt;=Indicators!$H25)+('Indicator Data'!E25&lt;=Indicators!$I25)+('Indicator Data'!E25&lt;=Indicators!$J25)))</f>
        <v>2</v>
      </c>
      <c r="F25" s="27" t="n">
        <f aca="false">IF('Indicator Data'!F25="",IF(Config!$C$15="Score as High (5)",5,0),IF(Indicators!$F25="Higher = riskier",1+('Indicator Data'!F25&gt;=Indicators!$G25)+('Indicator Data'!F25&gt;=Indicators!$H25)+('Indicator Data'!F25&gt;=Indicators!$I25)+('Indicator Data'!F25&gt;=Indicators!$J25),1+('Indicator Data'!F25&lt;=Indicators!$G25)+('Indicator Data'!F25&lt;=Indicators!$H25)+('Indicator Data'!F25&lt;=Indicators!$I25)+('Indicator Data'!F25&lt;=Indicators!$J25)))</f>
        <v>2</v>
      </c>
      <c r="G25" s="27" t="n">
        <f aca="false">IF('Indicator Data'!G25="",IF(Config!$C$15="Score as High (5)",5,0),IF(Indicators!$F25="Higher = riskier",1+('Indicator Data'!G25&gt;=Indicators!$G25)+('Indicator Data'!G25&gt;=Indicators!$H25)+('Indicator Data'!G25&gt;=Indicators!$I25)+('Indicator Data'!G25&gt;=Indicators!$J25),1+('Indicator Data'!G25&lt;=Indicators!$G25)+('Indicator Data'!G25&lt;=Indicators!$H25)+('Indicator Data'!G25&lt;=Indicators!$I25)+('Indicator Data'!G25&lt;=Indicators!$J25)))</f>
        <v>3</v>
      </c>
      <c r="H25" s="27" t="n">
        <f aca="false">IF('Indicator Data'!H25="",IF(Config!$C$15="Score as High (5)",5,0),IF(Indicators!$F25="Higher = riskier",1+('Indicator Data'!H25&gt;=Indicators!$G25)+('Indicator Data'!H25&gt;=Indicators!$H25)+('Indicator Data'!H25&gt;=Indicators!$I25)+('Indicator Data'!H25&gt;=Indicators!$J25),1+('Indicator Data'!H25&lt;=Indicators!$G25)+('Indicator Data'!H25&lt;=Indicators!$H25)+('Indicator Data'!H25&lt;=Indicators!$I25)+('Indicator Data'!H25&lt;=Indicators!$J25)))</f>
        <v>5</v>
      </c>
      <c r="I25" s="27" t="n">
        <f aca="false">IF('Indicator Data'!I25="",IF(Config!$C$15="Score as High (5)",5,0),IF(Indicators!$F25="Higher = riskier",1+('Indicator Data'!I25&gt;=Indicators!$G25)+('Indicator Data'!I25&gt;=Indicators!$H25)+('Indicator Data'!I25&gt;=Indicators!$I25)+('Indicator Data'!I25&gt;=Indicators!$J25),1+('Indicator Data'!I25&lt;=Indicators!$G25)+('Indicator Data'!I25&lt;=Indicators!$H25)+('Indicator Data'!I25&lt;=Indicators!$I25)+('Indicator Data'!I25&lt;=Indicators!$J25)))</f>
        <v>3</v>
      </c>
      <c r="J25" s="27" t="n">
        <f aca="false">IF('Indicator Data'!J25="",IF(Config!$C$15="Score as High (5)",5,0),IF(Indicators!$F25="Higher = riskier",1+('Indicator Data'!J25&gt;=Indicators!$G25)+('Indicator Data'!J25&gt;=Indicators!$H25)+('Indicator Data'!J25&gt;=Indicators!$I25)+('Indicator Data'!J25&gt;=Indicators!$J25),1+('Indicator Data'!J25&lt;=Indicators!$G25)+('Indicator Data'!J25&lt;=Indicators!$H25)+('Indicator Data'!J25&lt;=Indicators!$I25)+('Indicator Data'!J25&lt;=Indicators!$J25)))</f>
        <v>2</v>
      </c>
      <c r="K25" s="27" t="n">
        <f aca="false">IF('Indicator Data'!K25="",IF(Config!$C$15="Score as High (5)",5,0),IF(Indicators!$F25="Higher = riskier",1+('Indicator Data'!K25&gt;=Indicators!$G25)+('Indicator Data'!K25&gt;=Indicators!$H25)+('Indicator Data'!K25&gt;=Indicators!$I25)+('Indicator Data'!K25&gt;=Indicators!$J25),1+('Indicator Data'!K25&lt;=Indicators!$G25)+('Indicator Data'!K25&lt;=Indicators!$H25)+('Indicator Data'!K25&lt;=Indicators!$I25)+('Indicator Data'!K25&lt;=Indicators!$J25)))</f>
        <v>5</v>
      </c>
      <c r="L25" s="27" t="n">
        <f aca="false">IF('Indicator Data'!L25="",IF(Config!$C$15="Score as High (5)",5,0),IF(Indicators!$F25="Higher = riskier",1+('Indicator Data'!L25&gt;=Indicators!$G25)+('Indicator Data'!L25&gt;=Indicators!$H25)+('Indicator Data'!L25&gt;=Indicators!$I25)+('Indicator Data'!L25&gt;=Indicators!$J25),1+('Indicator Data'!L25&lt;=Indicators!$G25)+('Indicator Data'!L25&lt;=Indicators!$H25)+('Indicator Data'!L25&lt;=Indicators!$I25)+('Indicator Data'!L25&lt;=Indicators!$J25)))</f>
        <v>3</v>
      </c>
      <c r="M25" s="27" t="n">
        <f aca="false">IF('Indicator Data'!M25="",IF(Config!$C$15="Score as High (5)",5,0),IF(Indicators!$F25="Higher = riskier",1+('Indicator Data'!M25&gt;=Indicators!$G25)+('Indicator Data'!M25&gt;=Indicators!$H25)+('Indicator Data'!M25&gt;=Indicators!$I25)+('Indicator Data'!M25&gt;=Indicators!$J25),1+('Indicator Data'!M25&lt;=Indicators!$G25)+('Indicator Data'!M25&lt;=Indicators!$H25)+('Indicator Data'!M25&lt;=Indicators!$I25)+('Indicator Data'!M25&lt;=Indicators!$J25)))</f>
        <v>3</v>
      </c>
      <c r="N25" s="27" t="n">
        <f aca="false">IF('Indicator Data'!N25="",IF(Config!$C$15="Score as High (5)",5,0),IF(Indicators!$F25="Higher = riskier",1+('Indicator Data'!N25&gt;=Indicators!$G25)+('Indicator Data'!N25&gt;=Indicators!$H25)+('Indicator Data'!N25&gt;=Indicators!$I25)+('Indicator Data'!N25&gt;=Indicators!$J25),1+('Indicator Data'!N25&lt;=Indicators!$G25)+('Indicator Data'!N25&lt;=Indicators!$H25)+('Indicator Data'!N25&lt;=Indicators!$I25)+('Indicator Data'!N25&lt;=Indicators!$J25)))</f>
        <v>5</v>
      </c>
      <c r="O25" s="27" t="n">
        <f aca="false">IF('Indicator Data'!O25="",IF(Config!$C$15="Score as High (5)",5,0),IF(Indicators!$F25="Higher = riskier",1+('Indicator Data'!O25&gt;=Indicators!$G25)+('Indicator Data'!O25&gt;=Indicators!$H25)+('Indicator Data'!O25&gt;=Indicators!$I25)+('Indicator Data'!O25&gt;=Indicators!$J25),1+('Indicator Data'!O25&lt;=Indicators!$G25)+('Indicator Data'!O25&lt;=Indicators!$H25)+('Indicator Data'!O25&lt;=Indicators!$I25)+('Indicator Data'!O25&lt;=Indicators!$J25)))</f>
        <v>3</v>
      </c>
      <c r="P25" s="27" t="n">
        <f aca="false">IF('Indicator Data'!P25="",IF(Config!$C$15="Score as High (5)",5,0),IF(Indicators!$F25="Higher = riskier",1+('Indicator Data'!P25&gt;=Indicators!$G25)+('Indicator Data'!P25&gt;=Indicators!$H25)+('Indicator Data'!P25&gt;=Indicators!$I25)+('Indicator Data'!P25&gt;=Indicators!$J25),1+('Indicator Data'!P25&lt;=Indicators!$G25)+('Indicator Data'!P25&lt;=Indicators!$H25)+('Indicator Data'!P25&lt;=Indicators!$I25)+('Indicator Data'!P25&lt;=Indicators!$J25)))</f>
        <v>2</v>
      </c>
      <c r="Q25" s="27" t="n">
        <f aca="false">IF('Indicator Data'!Q25="",IF(Config!$C$15="Score as High (5)",5,0),IF(Indicators!$F25="Higher = riskier",1+('Indicator Data'!Q25&gt;=Indicators!$G25)+('Indicator Data'!Q25&gt;=Indicators!$H25)+('Indicator Data'!Q25&gt;=Indicators!$I25)+('Indicator Data'!Q25&gt;=Indicators!$J25),1+('Indicator Data'!Q25&lt;=Indicators!$G25)+('Indicator Data'!Q25&lt;=Indicators!$H25)+('Indicator Data'!Q25&lt;=Indicators!$I25)+('Indicator Data'!Q25&lt;=Indicators!$J25)))</f>
        <v>3</v>
      </c>
      <c r="R25" s="27" t="n">
        <f aca="false">IF('Indicator Data'!R25="",IF(Config!$C$15="Score as High (5)",5,0),IF(Indicators!$F25="Higher = riskier",1+('Indicator Data'!R25&gt;=Indicators!$G25)+('Indicator Data'!R25&gt;=Indicators!$H25)+('Indicator Data'!R25&gt;=Indicators!$I25)+('Indicator Data'!R25&gt;=Indicators!$J25),1+('Indicator Data'!R25&lt;=Indicators!$G25)+('Indicator Data'!R25&lt;=Indicators!$H25)+('Indicator Data'!R25&lt;=Indicators!$I25)+('Indicator Data'!R25&lt;=Indicators!$J25)))</f>
        <v>4</v>
      </c>
      <c r="S25" s="27" t="n">
        <f aca="false">IF('Indicator Data'!S25="",IF(Config!$C$15="Score as High (5)",5,0),IF(Indicators!$F25="Higher = riskier",1+('Indicator Data'!S25&gt;=Indicators!$G25)+('Indicator Data'!S25&gt;=Indicators!$H25)+('Indicator Data'!S25&gt;=Indicators!$I25)+('Indicator Data'!S25&gt;=Indicators!$J25),1+('Indicator Data'!S25&lt;=Indicators!$G25)+('Indicator Data'!S25&lt;=Indicators!$H25)+('Indicator Data'!S25&lt;=Indicators!$I25)+('Indicator Data'!S25&lt;=Indicators!$J25)))</f>
        <v>5</v>
      </c>
      <c r="T25" s="27" t="n">
        <f aca="false">IF('Indicator Data'!T25="",IF(Config!$C$15="Score as High (5)",5,0),IF(Indicators!$F25="Higher = riskier",1+('Indicator Data'!T25&gt;=Indicators!$G25)+('Indicator Data'!T25&gt;=Indicators!$H25)+('Indicator Data'!T25&gt;=Indicators!$I25)+('Indicator Data'!T25&gt;=Indicators!$J25),1+('Indicator Data'!T25&lt;=Indicators!$G25)+('Indicator Data'!T25&lt;=Indicators!$H25)+('Indicator Data'!T25&lt;=Indicators!$I25)+('Indicator Data'!T25&lt;=Indicators!$J25)))</f>
        <v>2</v>
      </c>
      <c r="U25" s="27" t="n">
        <f aca="false">IF('Indicator Data'!U25="",IF(Config!$C$15="Score as High (5)",5,0),IF(Indicators!$F25="Higher = riskier",1+('Indicator Data'!U25&gt;=Indicators!$G25)+('Indicator Data'!U25&gt;=Indicators!$H25)+('Indicator Data'!U25&gt;=Indicators!$I25)+('Indicator Data'!U25&gt;=Indicators!$J25),1+('Indicator Data'!U25&lt;=Indicators!$G25)+('Indicator Data'!U25&lt;=Indicators!$H25)+('Indicator Data'!U25&lt;=Indicators!$I25)+('Indicator Data'!U25&lt;=Indicators!$J25)))</f>
        <v>3</v>
      </c>
      <c r="V25" s="27" t="n">
        <f aca="false">IF('Indicator Data'!V25="",IF(Config!$C$15="Score as High (5)",5,0),IF(Indicators!$F25="Higher = riskier",1+('Indicator Data'!V25&gt;=Indicators!$G25)+('Indicator Data'!V25&gt;=Indicators!$H25)+('Indicator Data'!V25&gt;=Indicators!$I25)+('Indicator Data'!V25&gt;=Indicators!$J25),1+('Indicator Data'!V25&lt;=Indicators!$G25)+('Indicator Data'!V25&lt;=Indicators!$H25)+('Indicator Data'!V25&lt;=Indicators!$I25)+('Indicator Data'!V25&lt;=Indicators!$J25)))</f>
        <v>2</v>
      </c>
      <c r="W25" s="27" t="n">
        <f aca="false">IF('Indicator Data'!W25="",IF(Config!$C$15="Score as High (5)",5,0),IF(Indicators!$F25="Higher = riskier",1+('Indicator Data'!W25&gt;=Indicators!$G25)+('Indicator Data'!W25&gt;=Indicators!$H25)+('Indicator Data'!W25&gt;=Indicators!$I25)+('Indicator Data'!W25&gt;=Indicators!$J25),1+('Indicator Data'!W25&lt;=Indicators!$G25)+('Indicator Data'!W25&lt;=Indicators!$H25)+('Indicator Data'!W25&lt;=Indicators!$I25)+('Indicator Data'!W25&lt;=Indicators!$J25)))</f>
        <v>3</v>
      </c>
      <c r="X25" s="27" t="n">
        <f aca="false">IF('Indicator Data'!X25="",IF(Config!$C$15="Score as High (5)",5,0),IF(Indicators!$F25="Higher = riskier",1+('Indicator Data'!X25&gt;=Indicators!$G25)+('Indicator Data'!X25&gt;=Indicators!$H25)+('Indicator Data'!X25&gt;=Indicators!$I25)+('Indicator Data'!X25&gt;=Indicators!$J25),1+('Indicator Data'!X25&lt;=Indicators!$G25)+('Indicator Data'!X25&lt;=Indicators!$H25)+('Indicator Data'!X25&lt;=Indicators!$I25)+('Indicator Data'!X25&lt;=Indicators!$J25)))</f>
        <v>4</v>
      </c>
      <c r="Y25" s="27" t="n">
        <f aca="false">IF('Indicator Data'!Y25="",IF(Config!$C$15="Score as High (5)",5,0),IF(Indicators!$F25="Higher = riskier",1+('Indicator Data'!Y25&gt;=Indicators!$G25)+('Indicator Data'!Y25&gt;=Indicators!$H25)+('Indicator Data'!Y25&gt;=Indicators!$I25)+('Indicator Data'!Y25&gt;=Indicators!$J25),1+('Indicator Data'!Y25&lt;=Indicators!$G25)+('Indicator Data'!Y25&lt;=Indicators!$H25)+('Indicator Data'!Y25&lt;=Indicators!$I25)+('Indicator Data'!Y25&lt;=Indicators!$J25)))</f>
        <v>3</v>
      </c>
      <c r="Z25" s="27" t="n">
        <f aca="false">IF('Indicator Data'!Z25="",IF(Config!$C$15="Score as High (5)",5,0),IF(Indicators!$F25="Higher = riskier",1+('Indicator Data'!Z25&gt;=Indicators!$G25)+('Indicator Data'!Z25&gt;=Indicators!$H25)+('Indicator Data'!Z25&gt;=Indicators!$I25)+('Indicator Data'!Z25&gt;=Indicators!$J25),1+('Indicator Data'!Z25&lt;=Indicators!$G25)+('Indicator Data'!Z25&lt;=Indicators!$H25)+('Indicator Data'!Z25&lt;=Indicators!$I25)+('Indicator Data'!Z25&lt;=Indicators!$J25)))</f>
        <v>2</v>
      </c>
      <c r="AA25" s="27" t="n">
        <f aca="false">IF('Indicator Data'!AA25="",IF(Config!$C$15="Score as High (5)",5,0),IF(Indicators!$F25="Higher = riskier",1+('Indicator Data'!AA25&gt;=Indicators!$G25)+('Indicator Data'!AA25&gt;=Indicators!$H25)+('Indicator Data'!AA25&gt;=Indicators!$I25)+('Indicator Data'!AA25&gt;=Indicators!$J25),1+('Indicator Data'!AA25&lt;=Indicators!$G25)+('Indicator Data'!AA25&lt;=Indicators!$H25)+('Indicator Data'!AA25&lt;=Indicators!$I25)+('Indicator Data'!AA25&lt;=Indicators!$J25)))</f>
        <v>2</v>
      </c>
      <c r="AB25" s="27" t="n">
        <f aca="false">IF('Indicator Data'!AB25="",IF(Config!$C$15="Score as High (5)",5,0),IF(Indicators!$F25="Higher = riskier",1+('Indicator Data'!AB25&gt;=Indicators!$G25)+('Indicator Data'!AB25&gt;=Indicators!$H25)+('Indicator Data'!AB25&gt;=Indicators!$I25)+('Indicator Data'!AB25&gt;=Indicators!$J25),1+('Indicator Data'!AB25&lt;=Indicators!$G25)+('Indicator Data'!AB25&lt;=Indicators!$H25)+('Indicator Data'!AB25&lt;=Indicators!$I25)+('Indicator Data'!AB25&lt;=Indicators!$J25)))</f>
        <v>1</v>
      </c>
      <c r="AC25" s="27" t="n">
        <f aca="false">IF('Indicator Data'!AC25="",IF(Config!$C$15="Score as High (5)",5,0),IF(Indicators!$F25="Higher = riskier",1+('Indicator Data'!AC25&gt;=Indicators!$G25)+('Indicator Data'!AC25&gt;=Indicators!$H25)+('Indicator Data'!AC25&gt;=Indicators!$I25)+('Indicator Data'!AC25&gt;=Indicators!$J25),1+('Indicator Data'!AC25&lt;=Indicators!$G25)+('Indicator Data'!AC25&lt;=Indicators!$H25)+('Indicator Data'!AC25&lt;=Indicators!$I25)+('Indicator Data'!AC25&lt;=Indicators!$J25)))</f>
        <v>3</v>
      </c>
      <c r="AD25" s="27" t="n">
        <f aca="false">IF('Indicator Data'!AD25="",IF(Config!$C$15="Score as High (5)",5,0),IF(Indicators!$F25="Higher = riskier",1+('Indicator Data'!AD25&gt;=Indicators!$G25)+('Indicator Data'!AD25&gt;=Indicators!$H25)+('Indicator Data'!AD25&gt;=Indicators!$I25)+('Indicator Data'!AD25&gt;=Indicators!$J25),1+('Indicator Data'!AD25&lt;=Indicators!$G25)+('Indicator Data'!AD25&lt;=Indicators!$H25)+('Indicator Data'!AD25&lt;=Indicators!$I25)+('Indicator Data'!AD25&lt;=Indicators!$J25)))</f>
        <v>2</v>
      </c>
      <c r="AE25" s="27" t="n">
        <f aca="false">IF('Indicator Data'!AE25="",IF(Config!$C$15="Score as High (5)",5,0),IF(Indicators!$F25="Higher = riskier",1+('Indicator Data'!AE25&gt;=Indicators!$G25)+('Indicator Data'!AE25&gt;=Indicators!$H25)+('Indicator Data'!AE25&gt;=Indicators!$I25)+('Indicator Data'!AE25&gt;=Indicators!$J25),1+('Indicator Data'!AE25&lt;=Indicators!$G25)+('Indicator Data'!AE25&lt;=Indicators!$H25)+('Indicator Data'!AE25&lt;=Indicators!$I25)+('Indicator Data'!AE25&lt;=Indicators!$J25)))</f>
        <v>2</v>
      </c>
      <c r="AF25" s="27" t="n">
        <f aca="false">IF('Indicator Data'!AF25="",IF(Config!$C$15="Score as High (5)",5,0),IF(Indicators!$F25="Higher = riskier",1+('Indicator Data'!AF25&gt;=Indicators!$G25)+('Indicator Data'!AF25&gt;=Indicators!$H25)+('Indicator Data'!AF25&gt;=Indicators!$I25)+('Indicator Data'!AF25&gt;=Indicators!$J25),1+('Indicator Data'!AF25&lt;=Indicators!$G25)+('Indicator Data'!AF25&lt;=Indicators!$H25)+('Indicator Data'!AF25&lt;=Indicators!$I25)+('Indicator Data'!AF25&lt;=Indicators!$J25)))</f>
        <v>1</v>
      </c>
      <c r="AG25" s="27" t="n">
        <f aca="false">IF('Indicator Data'!AG25="",IF(Config!$C$15="Score as High (5)",5,0),IF(Indicators!$F25="Higher = riskier",1+('Indicator Data'!AG25&gt;=Indicators!$G25)+('Indicator Data'!AG25&gt;=Indicators!$H25)+('Indicator Data'!AG25&gt;=Indicators!$I25)+('Indicator Data'!AG25&gt;=Indicators!$J25),1+('Indicator Data'!AG25&lt;=Indicators!$G25)+('Indicator Data'!AG25&lt;=Indicators!$H25)+('Indicator Data'!AG25&lt;=Indicators!$I25)+('Indicator Data'!AG25&lt;=Indicators!$J25)))</f>
        <v>2</v>
      </c>
    </row>
    <row r="26" customFormat="false" ht="15" hidden="false" customHeight="false" outlineLevel="0" collapsed="false">
      <c r="A26" s="26" t="str">
        <f aca="false">Indicators!A26</f>
        <v>D03</v>
      </c>
      <c r="B26" s="26" t="str">
        <f aca="false">Indicators!C26</f>
        <v>Real-time / digital payments (% of payment value)</v>
      </c>
      <c r="C26" s="26" t="str">
        <f aca="false">Indicators!D26</f>
        <v>%</v>
      </c>
      <c r="D26" s="27" t="n">
        <f aca="false">IF('Indicator Data'!D26="",IF(Config!$C$15="Score as High (5)",5,0),IF(Indicators!$F26="Higher = riskier",1+('Indicator Data'!D26&gt;=Indicators!$G26)+('Indicator Data'!D26&gt;=Indicators!$H26)+('Indicator Data'!D26&gt;=Indicators!$I26)+('Indicator Data'!D26&gt;=Indicators!$J26),1+('Indicator Data'!D26&lt;=Indicators!$G26)+('Indicator Data'!D26&lt;=Indicators!$H26)+('Indicator Data'!D26&lt;=Indicators!$I26)+('Indicator Data'!D26&lt;=Indicators!$J26)))</f>
        <v>3</v>
      </c>
      <c r="E26" s="27" t="n">
        <f aca="false">IF('Indicator Data'!E26="",IF(Config!$C$15="Score as High (5)",5,0),IF(Indicators!$F26="Higher = riskier",1+('Indicator Data'!E26&gt;=Indicators!$G26)+('Indicator Data'!E26&gt;=Indicators!$H26)+('Indicator Data'!E26&gt;=Indicators!$I26)+('Indicator Data'!E26&gt;=Indicators!$J26),1+('Indicator Data'!E26&lt;=Indicators!$G26)+('Indicator Data'!E26&lt;=Indicators!$H26)+('Indicator Data'!E26&lt;=Indicators!$I26)+('Indicator Data'!E26&lt;=Indicators!$J26)))</f>
        <v>2</v>
      </c>
      <c r="F26" s="27" t="n">
        <f aca="false">IF('Indicator Data'!F26="",IF(Config!$C$15="Score as High (5)",5,0),IF(Indicators!$F26="Higher = riskier",1+('Indicator Data'!F26&gt;=Indicators!$G26)+('Indicator Data'!F26&gt;=Indicators!$H26)+('Indicator Data'!F26&gt;=Indicators!$I26)+('Indicator Data'!F26&gt;=Indicators!$J26),1+('Indicator Data'!F26&lt;=Indicators!$G26)+('Indicator Data'!F26&lt;=Indicators!$H26)+('Indicator Data'!F26&lt;=Indicators!$I26)+('Indicator Data'!F26&lt;=Indicators!$J26)))</f>
        <v>1</v>
      </c>
      <c r="G26" s="27" t="n">
        <f aca="false">IF('Indicator Data'!G26="",IF(Config!$C$15="Score as High (5)",5,0),IF(Indicators!$F26="Higher = riskier",1+('Indicator Data'!G26&gt;=Indicators!$G26)+('Indicator Data'!G26&gt;=Indicators!$H26)+('Indicator Data'!G26&gt;=Indicators!$I26)+('Indicator Data'!G26&gt;=Indicators!$J26),1+('Indicator Data'!G26&lt;=Indicators!$G26)+('Indicator Data'!G26&lt;=Indicators!$H26)+('Indicator Data'!G26&lt;=Indicators!$I26)+('Indicator Data'!G26&lt;=Indicators!$J26)))</f>
        <v>2</v>
      </c>
      <c r="H26" s="27" t="n">
        <f aca="false">IF('Indicator Data'!H26="",IF(Config!$C$15="Score as High (5)",5,0),IF(Indicators!$F26="Higher = riskier",1+('Indicator Data'!H26&gt;=Indicators!$G26)+('Indicator Data'!H26&gt;=Indicators!$H26)+('Indicator Data'!H26&gt;=Indicators!$I26)+('Indicator Data'!H26&gt;=Indicators!$J26),1+('Indicator Data'!H26&lt;=Indicators!$G26)+('Indicator Data'!H26&lt;=Indicators!$H26)+('Indicator Data'!H26&lt;=Indicators!$I26)+('Indicator Data'!H26&lt;=Indicators!$J26)))</f>
        <v>3</v>
      </c>
      <c r="I26" s="27" t="n">
        <f aca="false">IF('Indicator Data'!I26="",IF(Config!$C$15="Score as High (5)",5,0),IF(Indicators!$F26="Higher = riskier",1+('Indicator Data'!I26&gt;=Indicators!$G26)+('Indicator Data'!I26&gt;=Indicators!$H26)+('Indicator Data'!I26&gt;=Indicators!$I26)+('Indicator Data'!I26&gt;=Indicators!$J26),1+('Indicator Data'!I26&lt;=Indicators!$G26)+('Indicator Data'!I26&lt;=Indicators!$H26)+('Indicator Data'!I26&lt;=Indicators!$I26)+('Indicator Data'!I26&lt;=Indicators!$J26)))</f>
        <v>4</v>
      </c>
      <c r="J26" s="27" t="n">
        <f aca="false">IF('Indicator Data'!J26="",IF(Config!$C$15="Score as High (5)",5,0),IF(Indicators!$F26="Higher = riskier",1+('Indicator Data'!J26&gt;=Indicators!$G26)+('Indicator Data'!J26&gt;=Indicators!$H26)+('Indicator Data'!J26&gt;=Indicators!$I26)+('Indicator Data'!J26&gt;=Indicators!$J26),1+('Indicator Data'!J26&lt;=Indicators!$G26)+('Indicator Data'!J26&lt;=Indicators!$H26)+('Indicator Data'!J26&lt;=Indicators!$I26)+('Indicator Data'!J26&lt;=Indicators!$J26)))</f>
        <v>5</v>
      </c>
      <c r="K26" s="27" t="n">
        <f aca="false">IF('Indicator Data'!K26="",IF(Config!$C$15="Score as High (5)",5,0),IF(Indicators!$F26="Higher = riskier",1+('Indicator Data'!K26&gt;=Indicators!$G26)+('Indicator Data'!K26&gt;=Indicators!$H26)+('Indicator Data'!K26&gt;=Indicators!$I26)+('Indicator Data'!K26&gt;=Indicators!$J26),1+('Indicator Data'!K26&lt;=Indicators!$G26)+('Indicator Data'!K26&lt;=Indicators!$H26)+('Indicator Data'!K26&lt;=Indicators!$I26)+('Indicator Data'!K26&lt;=Indicators!$J26)))</f>
        <v>3</v>
      </c>
      <c r="L26" s="27" t="n">
        <f aca="false">IF('Indicator Data'!L26="",IF(Config!$C$15="Score as High (5)",5,0),IF(Indicators!$F26="Higher = riskier",1+('Indicator Data'!L26&gt;=Indicators!$G26)+('Indicator Data'!L26&gt;=Indicators!$H26)+('Indicator Data'!L26&gt;=Indicators!$I26)+('Indicator Data'!L26&gt;=Indicators!$J26),1+('Indicator Data'!L26&lt;=Indicators!$G26)+('Indicator Data'!L26&lt;=Indicators!$H26)+('Indicator Data'!L26&lt;=Indicators!$I26)+('Indicator Data'!L26&lt;=Indicators!$J26)))</f>
        <v>5</v>
      </c>
      <c r="M26" s="27" t="n">
        <f aca="false">IF('Indicator Data'!M26="",IF(Config!$C$15="Score as High (5)",5,0),IF(Indicators!$F26="Higher = riskier",1+('Indicator Data'!M26&gt;=Indicators!$G26)+('Indicator Data'!M26&gt;=Indicators!$H26)+('Indicator Data'!M26&gt;=Indicators!$I26)+('Indicator Data'!M26&gt;=Indicators!$J26),1+('Indicator Data'!M26&lt;=Indicators!$G26)+('Indicator Data'!M26&lt;=Indicators!$H26)+('Indicator Data'!M26&lt;=Indicators!$I26)+('Indicator Data'!M26&lt;=Indicators!$J26)))</f>
        <v>3</v>
      </c>
      <c r="N26" s="27" t="n">
        <f aca="false">IF('Indicator Data'!N26="",IF(Config!$C$15="Score as High (5)",5,0),IF(Indicators!$F26="Higher = riskier",1+('Indicator Data'!N26&gt;=Indicators!$G26)+('Indicator Data'!N26&gt;=Indicators!$H26)+('Indicator Data'!N26&gt;=Indicators!$I26)+('Indicator Data'!N26&gt;=Indicators!$J26),1+('Indicator Data'!N26&lt;=Indicators!$G26)+('Indicator Data'!N26&lt;=Indicators!$H26)+('Indicator Data'!N26&lt;=Indicators!$I26)+('Indicator Data'!N26&lt;=Indicators!$J26)))</f>
        <v>2</v>
      </c>
      <c r="O26" s="27" t="n">
        <f aca="false">IF('Indicator Data'!O26="",IF(Config!$C$15="Score as High (5)",5,0),IF(Indicators!$F26="Higher = riskier",1+('Indicator Data'!O26&gt;=Indicators!$G26)+('Indicator Data'!O26&gt;=Indicators!$H26)+('Indicator Data'!O26&gt;=Indicators!$I26)+('Indicator Data'!O26&gt;=Indicators!$J26),1+('Indicator Data'!O26&lt;=Indicators!$G26)+('Indicator Data'!O26&lt;=Indicators!$H26)+('Indicator Data'!O26&lt;=Indicators!$I26)+('Indicator Data'!O26&lt;=Indicators!$J26)))</f>
        <v>3</v>
      </c>
      <c r="P26" s="27" t="n">
        <f aca="false">IF('Indicator Data'!P26="",IF(Config!$C$15="Score as High (5)",5,0),IF(Indicators!$F26="Higher = riskier",1+('Indicator Data'!P26&gt;=Indicators!$G26)+('Indicator Data'!P26&gt;=Indicators!$H26)+('Indicator Data'!P26&gt;=Indicators!$I26)+('Indicator Data'!P26&gt;=Indicators!$J26),1+('Indicator Data'!P26&lt;=Indicators!$G26)+('Indicator Data'!P26&lt;=Indicators!$H26)+('Indicator Data'!P26&lt;=Indicators!$I26)+('Indicator Data'!P26&lt;=Indicators!$J26)))</f>
        <v>2</v>
      </c>
      <c r="Q26" s="27" t="n">
        <f aca="false">IF('Indicator Data'!Q26="",IF(Config!$C$15="Score as High (5)",5,0),IF(Indicators!$F26="Higher = riskier",1+('Indicator Data'!Q26&gt;=Indicators!$G26)+('Indicator Data'!Q26&gt;=Indicators!$H26)+('Indicator Data'!Q26&gt;=Indicators!$I26)+('Indicator Data'!Q26&gt;=Indicators!$J26),1+('Indicator Data'!Q26&lt;=Indicators!$G26)+('Indicator Data'!Q26&lt;=Indicators!$H26)+('Indicator Data'!Q26&lt;=Indicators!$I26)+('Indicator Data'!Q26&lt;=Indicators!$J26)))</f>
        <v>1</v>
      </c>
      <c r="R26" s="27" t="n">
        <f aca="false">IF('Indicator Data'!R26="",IF(Config!$C$15="Score as High (5)",5,0),IF(Indicators!$F26="Higher = riskier",1+('Indicator Data'!R26&gt;=Indicators!$G26)+('Indicator Data'!R26&gt;=Indicators!$H26)+('Indicator Data'!R26&gt;=Indicators!$I26)+('Indicator Data'!R26&gt;=Indicators!$J26),1+('Indicator Data'!R26&lt;=Indicators!$G26)+('Indicator Data'!R26&lt;=Indicators!$H26)+('Indicator Data'!R26&lt;=Indicators!$I26)+('Indicator Data'!R26&lt;=Indicators!$J26)))</f>
        <v>4</v>
      </c>
      <c r="S26" s="27" t="n">
        <f aca="false">IF('Indicator Data'!S26="",IF(Config!$C$15="Score as High (5)",5,0),IF(Indicators!$F26="Higher = riskier",1+('Indicator Data'!S26&gt;=Indicators!$G26)+('Indicator Data'!S26&gt;=Indicators!$H26)+('Indicator Data'!S26&gt;=Indicators!$I26)+('Indicator Data'!S26&gt;=Indicators!$J26),1+('Indicator Data'!S26&lt;=Indicators!$G26)+('Indicator Data'!S26&lt;=Indicators!$H26)+('Indicator Data'!S26&lt;=Indicators!$I26)+('Indicator Data'!S26&lt;=Indicators!$J26)))</f>
        <v>3</v>
      </c>
      <c r="T26" s="27" t="n">
        <f aca="false">IF('Indicator Data'!T26="",IF(Config!$C$15="Score as High (5)",5,0),IF(Indicators!$F26="Higher = riskier",1+('Indicator Data'!T26&gt;=Indicators!$G26)+('Indicator Data'!T26&gt;=Indicators!$H26)+('Indicator Data'!T26&gt;=Indicators!$I26)+('Indicator Data'!T26&gt;=Indicators!$J26),1+('Indicator Data'!T26&lt;=Indicators!$G26)+('Indicator Data'!T26&lt;=Indicators!$H26)+('Indicator Data'!T26&lt;=Indicators!$I26)+('Indicator Data'!T26&lt;=Indicators!$J26)))</f>
        <v>3</v>
      </c>
      <c r="U26" s="27" t="n">
        <f aca="false">IF('Indicator Data'!U26="",IF(Config!$C$15="Score as High (5)",5,0),IF(Indicators!$F26="Higher = riskier",1+('Indicator Data'!U26&gt;=Indicators!$G26)+('Indicator Data'!U26&gt;=Indicators!$H26)+('Indicator Data'!U26&gt;=Indicators!$I26)+('Indicator Data'!U26&gt;=Indicators!$J26),1+('Indicator Data'!U26&lt;=Indicators!$G26)+('Indicator Data'!U26&lt;=Indicators!$H26)+('Indicator Data'!U26&lt;=Indicators!$I26)+('Indicator Data'!U26&lt;=Indicators!$J26)))</f>
        <v>4</v>
      </c>
      <c r="V26" s="27" t="n">
        <f aca="false">IF('Indicator Data'!V26="",IF(Config!$C$15="Score as High (5)",5,0),IF(Indicators!$F26="Higher = riskier",1+('Indicator Data'!V26&gt;=Indicators!$G26)+('Indicator Data'!V26&gt;=Indicators!$H26)+('Indicator Data'!V26&gt;=Indicators!$I26)+('Indicator Data'!V26&gt;=Indicators!$J26),1+('Indicator Data'!V26&lt;=Indicators!$G26)+('Indicator Data'!V26&lt;=Indicators!$H26)+('Indicator Data'!V26&lt;=Indicators!$I26)+('Indicator Data'!V26&lt;=Indicators!$J26)))</f>
        <v>4</v>
      </c>
      <c r="W26" s="27" t="n">
        <f aca="false">IF('Indicator Data'!W26="",IF(Config!$C$15="Score as High (5)",5,0),IF(Indicators!$F26="Higher = riskier",1+('Indicator Data'!W26&gt;=Indicators!$G26)+('Indicator Data'!W26&gt;=Indicators!$H26)+('Indicator Data'!W26&gt;=Indicators!$I26)+('Indicator Data'!W26&gt;=Indicators!$J26),1+('Indicator Data'!W26&lt;=Indicators!$G26)+('Indicator Data'!W26&lt;=Indicators!$H26)+('Indicator Data'!W26&lt;=Indicators!$I26)+('Indicator Data'!W26&lt;=Indicators!$J26)))</f>
        <v>2</v>
      </c>
      <c r="X26" s="27" t="n">
        <f aca="false">IF('Indicator Data'!X26="",IF(Config!$C$15="Score as High (5)",5,0),IF(Indicators!$F26="Higher = riskier",1+('Indicator Data'!X26&gt;=Indicators!$G26)+('Indicator Data'!X26&gt;=Indicators!$H26)+('Indicator Data'!X26&gt;=Indicators!$I26)+('Indicator Data'!X26&gt;=Indicators!$J26),1+('Indicator Data'!X26&lt;=Indicators!$G26)+('Indicator Data'!X26&lt;=Indicators!$H26)+('Indicator Data'!X26&lt;=Indicators!$I26)+('Indicator Data'!X26&lt;=Indicators!$J26)))</f>
        <v>5</v>
      </c>
      <c r="Y26" s="27" t="n">
        <f aca="false">IF('Indicator Data'!Y26="",IF(Config!$C$15="Score as High (5)",5,0),IF(Indicators!$F26="Higher = riskier",1+('Indicator Data'!Y26&gt;=Indicators!$G26)+('Indicator Data'!Y26&gt;=Indicators!$H26)+('Indicator Data'!Y26&gt;=Indicators!$I26)+('Indicator Data'!Y26&gt;=Indicators!$J26),1+('Indicator Data'!Y26&lt;=Indicators!$G26)+('Indicator Data'!Y26&lt;=Indicators!$H26)+('Indicator Data'!Y26&lt;=Indicators!$I26)+('Indicator Data'!Y26&lt;=Indicators!$J26)))</f>
        <v>3</v>
      </c>
      <c r="Z26" s="27" t="n">
        <f aca="false">IF('Indicator Data'!Z26="",IF(Config!$C$15="Score as High (5)",5,0),IF(Indicators!$F26="Higher = riskier",1+('Indicator Data'!Z26&gt;=Indicators!$G26)+('Indicator Data'!Z26&gt;=Indicators!$H26)+('Indicator Data'!Z26&gt;=Indicators!$I26)+('Indicator Data'!Z26&gt;=Indicators!$J26),1+('Indicator Data'!Z26&lt;=Indicators!$G26)+('Indicator Data'!Z26&lt;=Indicators!$H26)+('Indicator Data'!Z26&lt;=Indicators!$I26)+('Indicator Data'!Z26&lt;=Indicators!$J26)))</f>
        <v>2</v>
      </c>
      <c r="AA26" s="27" t="n">
        <f aca="false">IF('Indicator Data'!AA26="",IF(Config!$C$15="Score as High (5)",5,0),IF(Indicators!$F26="Higher = riskier",1+('Indicator Data'!AA26&gt;=Indicators!$G26)+('Indicator Data'!AA26&gt;=Indicators!$H26)+('Indicator Data'!AA26&gt;=Indicators!$I26)+('Indicator Data'!AA26&gt;=Indicators!$J26),1+('Indicator Data'!AA26&lt;=Indicators!$G26)+('Indicator Data'!AA26&lt;=Indicators!$H26)+('Indicator Data'!AA26&lt;=Indicators!$I26)+('Indicator Data'!AA26&lt;=Indicators!$J26)))</f>
        <v>2</v>
      </c>
      <c r="AB26" s="27" t="n">
        <f aca="false">IF('Indicator Data'!AB26="",IF(Config!$C$15="Score as High (5)",5,0),IF(Indicators!$F26="Higher = riskier",1+('Indicator Data'!AB26&gt;=Indicators!$G26)+('Indicator Data'!AB26&gt;=Indicators!$H26)+('Indicator Data'!AB26&gt;=Indicators!$I26)+('Indicator Data'!AB26&gt;=Indicators!$J26),1+('Indicator Data'!AB26&lt;=Indicators!$G26)+('Indicator Data'!AB26&lt;=Indicators!$H26)+('Indicator Data'!AB26&lt;=Indicators!$I26)+('Indicator Data'!AB26&lt;=Indicators!$J26)))</f>
        <v>2</v>
      </c>
      <c r="AC26" s="27" t="n">
        <f aca="false">IF('Indicator Data'!AC26="",IF(Config!$C$15="Score as High (5)",5,0),IF(Indicators!$F26="Higher = riskier",1+('Indicator Data'!AC26&gt;=Indicators!$G26)+('Indicator Data'!AC26&gt;=Indicators!$H26)+('Indicator Data'!AC26&gt;=Indicators!$I26)+('Indicator Data'!AC26&gt;=Indicators!$J26),1+('Indicator Data'!AC26&lt;=Indicators!$G26)+('Indicator Data'!AC26&lt;=Indicators!$H26)+('Indicator Data'!AC26&lt;=Indicators!$I26)+('Indicator Data'!AC26&lt;=Indicators!$J26)))</f>
        <v>1</v>
      </c>
      <c r="AD26" s="27" t="n">
        <f aca="false">IF('Indicator Data'!AD26="",IF(Config!$C$15="Score as High (5)",5,0),IF(Indicators!$F26="Higher = riskier",1+('Indicator Data'!AD26&gt;=Indicators!$G26)+('Indicator Data'!AD26&gt;=Indicators!$H26)+('Indicator Data'!AD26&gt;=Indicators!$I26)+('Indicator Data'!AD26&gt;=Indicators!$J26),1+('Indicator Data'!AD26&lt;=Indicators!$G26)+('Indicator Data'!AD26&lt;=Indicators!$H26)+('Indicator Data'!AD26&lt;=Indicators!$I26)+('Indicator Data'!AD26&lt;=Indicators!$J26)))</f>
        <v>1</v>
      </c>
      <c r="AE26" s="27" t="n">
        <f aca="false">IF('Indicator Data'!AE26="",IF(Config!$C$15="Score as High (5)",5,0),IF(Indicators!$F26="Higher = riskier",1+('Indicator Data'!AE26&gt;=Indicators!$G26)+('Indicator Data'!AE26&gt;=Indicators!$H26)+('Indicator Data'!AE26&gt;=Indicators!$I26)+('Indicator Data'!AE26&gt;=Indicators!$J26),1+('Indicator Data'!AE26&lt;=Indicators!$G26)+('Indicator Data'!AE26&lt;=Indicators!$H26)+('Indicator Data'!AE26&lt;=Indicators!$I26)+('Indicator Data'!AE26&lt;=Indicators!$J26)))</f>
        <v>2</v>
      </c>
      <c r="AF26" s="27" t="n">
        <f aca="false">IF('Indicator Data'!AF26="",IF(Config!$C$15="Score as High (5)",5,0),IF(Indicators!$F26="Higher = riskier",1+('Indicator Data'!AF26&gt;=Indicators!$G26)+('Indicator Data'!AF26&gt;=Indicators!$H26)+('Indicator Data'!AF26&gt;=Indicators!$I26)+('Indicator Data'!AF26&gt;=Indicators!$J26),1+('Indicator Data'!AF26&lt;=Indicators!$G26)+('Indicator Data'!AF26&lt;=Indicators!$H26)+('Indicator Data'!AF26&lt;=Indicators!$I26)+('Indicator Data'!AF26&lt;=Indicators!$J26)))</f>
        <v>1</v>
      </c>
      <c r="AG26" s="27" t="n">
        <f aca="false">IF('Indicator Data'!AG26="",IF(Config!$C$15="Score as High (5)",5,0),IF(Indicators!$F26="Higher = riskier",1+('Indicator Data'!AG26&gt;=Indicators!$G26)+('Indicator Data'!AG26&gt;=Indicators!$H26)+('Indicator Data'!AG26&gt;=Indicators!$I26)+('Indicator Data'!AG26&gt;=Indicators!$J26),1+('Indicator Data'!AG26&lt;=Indicators!$G26)+('Indicator Data'!AG26&lt;=Indicators!$H26)+('Indicator Data'!AG26&lt;=Indicators!$I26)+('Indicator Data'!AG26&lt;=Indicators!$J26)))</f>
        <v>0</v>
      </c>
    </row>
    <row r="27" customFormat="false" ht="15" hidden="false" customHeight="false" outlineLevel="0" collapsed="false">
      <c r="A27" s="26" t="str">
        <f aca="false">Indicators!A27</f>
        <v>D04</v>
      </c>
      <c r="B27" s="26" t="str">
        <f aca="false">Indicators!C27</f>
        <v>Cash deposit machines and ATMs per branch</v>
      </c>
      <c r="C27" s="26" t="str">
        <f aca="false">Indicators!D27</f>
        <v>count</v>
      </c>
      <c r="D27" s="27" t="n">
        <f aca="false">IF('Indicator Data'!D27="",IF(Config!$C$15="Score as High (5)",5,0),IF(Indicators!$F27="Higher = riskier",1+('Indicator Data'!D27&gt;=Indicators!$G27)+('Indicator Data'!D27&gt;=Indicators!$H27)+('Indicator Data'!D27&gt;=Indicators!$I27)+('Indicator Data'!D27&gt;=Indicators!$J27),1+('Indicator Data'!D27&lt;=Indicators!$G27)+('Indicator Data'!D27&lt;=Indicators!$H27)+('Indicator Data'!D27&lt;=Indicators!$I27)+('Indicator Data'!D27&lt;=Indicators!$J27)))</f>
        <v>2</v>
      </c>
      <c r="E27" s="27" t="n">
        <f aca="false">IF('Indicator Data'!E27="",IF(Config!$C$15="Score as High (5)",5,0),IF(Indicators!$F27="Higher = riskier",1+('Indicator Data'!E27&gt;=Indicators!$G27)+('Indicator Data'!E27&gt;=Indicators!$H27)+('Indicator Data'!E27&gt;=Indicators!$I27)+('Indicator Data'!E27&gt;=Indicators!$J27),1+('Indicator Data'!E27&lt;=Indicators!$G27)+('Indicator Data'!E27&lt;=Indicators!$H27)+('Indicator Data'!E27&lt;=Indicators!$I27)+('Indicator Data'!E27&lt;=Indicators!$J27)))</f>
        <v>5</v>
      </c>
      <c r="F27" s="27" t="n">
        <f aca="false">IF('Indicator Data'!F27="",IF(Config!$C$15="Score as High (5)",5,0),IF(Indicators!$F27="Higher = riskier",1+('Indicator Data'!F27&gt;=Indicators!$G27)+('Indicator Data'!F27&gt;=Indicators!$H27)+('Indicator Data'!F27&gt;=Indicators!$I27)+('Indicator Data'!F27&gt;=Indicators!$J27),1+('Indicator Data'!F27&lt;=Indicators!$G27)+('Indicator Data'!F27&lt;=Indicators!$H27)+('Indicator Data'!F27&lt;=Indicators!$I27)+('Indicator Data'!F27&lt;=Indicators!$J27)))</f>
        <v>1</v>
      </c>
      <c r="G27" s="27" t="n">
        <f aca="false">IF('Indicator Data'!G27="",IF(Config!$C$15="Score as High (5)",5,0),IF(Indicators!$F27="Higher = riskier",1+('Indicator Data'!G27&gt;=Indicators!$G27)+('Indicator Data'!G27&gt;=Indicators!$H27)+('Indicator Data'!G27&gt;=Indicators!$I27)+('Indicator Data'!G27&gt;=Indicators!$J27),1+('Indicator Data'!G27&lt;=Indicators!$G27)+('Indicator Data'!G27&lt;=Indicators!$H27)+('Indicator Data'!G27&lt;=Indicators!$I27)+('Indicator Data'!G27&lt;=Indicators!$J27)))</f>
        <v>1</v>
      </c>
      <c r="H27" s="27" t="n">
        <f aca="false">IF('Indicator Data'!H27="",IF(Config!$C$15="Score as High (5)",5,0),IF(Indicators!$F27="Higher = riskier",1+('Indicator Data'!H27&gt;=Indicators!$G27)+('Indicator Data'!H27&gt;=Indicators!$H27)+('Indicator Data'!H27&gt;=Indicators!$I27)+('Indicator Data'!H27&gt;=Indicators!$J27),1+('Indicator Data'!H27&lt;=Indicators!$G27)+('Indicator Data'!H27&lt;=Indicators!$H27)+('Indicator Data'!H27&lt;=Indicators!$I27)+('Indicator Data'!H27&lt;=Indicators!$J27)))</f>
        <v>1</v>
      </c>
      <c r="I27" s="27" t="n">
        <f aca="false">IF('Indicator Data'!I27="",IF(Config!$C$15="Score as High (5)",5,0),IF(Indicators!$F27="Higher = riskier",1+('Indicator Data'!I27&gt;=Indicators!$G27)+('Indicator Data'!I27&gt;=Indicators!$H27)+('Indicator Data'!I27&gt;=Indicators!$I27)+('Indicator Data'!I27&gt;=Indicators!$J27),1+('Indicator Data'!I27&lt;=Indicators!$G27)+('Indicator Data'!I27&lt;=Indicators!$H27)+('Indicator Data'!I27&lt;=Indicators!$I27)+('Indicator Data'!I27&lt;=Indicators!$J27)))</f>
        <v>5</v>
      </c>
      <c r="J27" s="27" t="n">
        <f aca="false">IF('Indicator Data'!J27="",IF(Config!$C$15="Score as High (5)",5,0),IF(Indicators!$F27="Higher = riskier",1+('Indicator Data'!J27&gt;=Indicators!$G27)+('Indicator Data'!J27&gt;=Indicators!$H27)+('Indicator Data'!J27&gt;=Indicators!$I27)+('Indicator Data'!J27&gt;=Indicators!$J27),1+('Indicator Data'!J27&lt;=Indicators!$G27)+('Indicator Data'!J27&lt;=Indicators!$H27)+('Indicator Data'!J27&lt;=Indicators!$I27)+('Indicator Data'!J27&lt;=Indicators!$J27)))</f>
        <v>1</v>
      </c>
      <c r="K27" s="27" t="n">
        <f aca="false">IF('Indicator Data'!K27="",IF(Config!$C$15="Score as High (5)",5,0),IF(Indicators!$F27="Higher = riskier",1+('Indicator Data'!K27&gt;=Indicators!$G27)+('Indicator Data'!K27&gt;=Indicators!$H27)+('Indicator Data'!K27&gt;=Indicators!$I27)+('Indicator Data'!K27&gt;=Indicators!$J27),1+('Indicator Data'!K27&lt;=Indicators!$G27)+('Indicator Data'!K27&lt;=Indicators!$H27)+('Indicator Data'!K27&lt;=Indicators!$I27)+('Indicator Data'!K27&lt;=Indicators!$J27)))</f>
        <v>4</v>
      </c>
      <c r="L27" s="27" t="n">
        <f aca="false">IF('Indicator Data'!L27="",IF(Config!$C$15="Score as High (5)",5,0),IF(Indicators!$F27="Higher = riskier",1+('Indicator Data'!L27&gt;=Indicators!$G27)+('Indicator Data'!L27&gt;=Indicators!$H27)+('Indicator Data'!L27&gt;=Indicators!$I27)+('Indicator Data'!L27&gt;=Indicators!$J27),1+('Indicator Data'!L27&lt;=Indicators!$G27)+('Indicator Data'!L27&lt;=Indicators!$H27)+('Indicator Data'!L27&lt;=Indicators!$I27)+('Indicator Data'!L27&lt;=Indicators!$J27)))</f>
        <v>4</v>
      </c>
      <c r="M27" s="27" t="n">
        <f aca="false">IF('Indicator Data'!M27="",IF(Config!$C$15="Score as High (5)",5,0),IF(Indicators!$F27="Higher = riskier",1+('Indicator Data'!M27&gt;=Indicators!$G27)+('Indicator Data'!M27&gt;=Indicators!$H27)+('Indicator Data'!M27&gt;=Indicators!$I27)+('Indicator Data'!M27&gt;=Indicators!$J27),1+('Indicator Data'!M27&lt;=Indicators!$G27)+('Indicator Data'!M27&lt;=Indicators!$H27)+('Indicator Data'!M27&lt;=Indicators!$I27)+('Indicator Data'!M27&lt;=Indicators!$J27)))</f>
        <v>3</v>
      </c>
      <c r="N27" s="27" t="n">
        <f aca="false">IF('Indicator Data'!N27="",IF(Config!$C$15="Score as High (5)",5,0),IF(Indicators!$F27="Higher = riskier",1+('Indicator Data'!N27&gt;=Indicators!$G27)+('Indicator Data'!N27&gt;=Indicators!$H27)+('Indicator Data'!N27&gt;=Indicators!$I27)+('Indicator Data'!N27&gt;=Indicators!$J27),1+('Indicator Data'!N27&lt;=Indicators!$G27)+('Indicator Data'!N27&lt;=Indicators!$H27)+('Indicator Data'!N27&lt;=Indicators!$I27)+('Indicator Data'!N27&lt;=Indicators!$J27)))</f>
        <v>4</v>
      </c>
      <c r="O27" s="27" t="n">
        <f aca="false">IF('Indicator Data'!O27="",IF(Config!$C$15="Score as High (5)",5,0),IF(Indicators!$F27="Higher = riskier",1+('Indicator Data'!O27&gt;=Indicators!$G27)+('Indicator Data'!O27&gt;=Indicators!$H27)+('Indicator Data'!O27&gt;=Indicators!$I27)+('Indicator Data'!O27&gt;=Indicators!$J27),1+('Indicator Data'!O27&lt;=Indicators!$G27)+('Indicator Data'!O27&lt;=Indicators!$H27)+('Indicator Data'!O27&lt;=Indicators!$I27)+('Indicator Data'!O27&lt;=Indicators!$J27)))</f>
        <v>2</v>
      </c>
      <c r="P27" s="27" t="n">
        <f aca="false">IF('Indicator Data'!P27="",IF(Config!$C$15="Score as High (5)",5,0),IF(Indicators!$F27="Higher = riskier",1+('Indicator Data'!P27&gt;=Indicators!$G27)+('Indicator Data'!P27&gt;=Indicators!$H27)+('Indicator Data'!P27&gt;=Indicators!$I27)+('Indicator Data'!P27&gt;=Indicators!$J27),1+('Indicator Data'!P27&lt;=Indicators!$G27)+('Indicator Data'!P27&lt;=Indicators!$H27)+('Indicator Data'!P27&lt;=Indicators!$I27)+('Indicator Data'!P27&lt;=Indicators!$J27)))</f>
        <v>2</v>
      </c>
      <c r="Q27" s="27" t="n">
        <f aca="false">IF('Indicator Data'!Q27="",IF(Config!$C$15="Score as High (5)",5,0),IF(Indicators!$F27="Higher = riskier",1+('Indicator Data'!Q27&gt;=Indicators!$G27)+('Indicator Data'!Q27&gt;=Indicators!$H27)+('Indicator Data'!Q27&gt;=Indicators!$I27)+('Indicator Data'!Q27&gt;=Indicators!$J27),1+('Indicator Data'!Q27&lt;=Indicators!$G27)+('Indicator Data'!Q27&lt;=Indicators!$H27)+('Indicator Data'!Q27&lt;=Indicators!$I27)+('Indicator Data'!Q27&lt;=Indicators!$J27)))</f>
        <v>3</v>
      </c>
      <c r="R27" s="27" t="n">
        <f aca="false">IF('Indicator Data'!R27="",IF(Config!$C$15="Score as High (5)",5,0),IF(Indicators!$F27="Higher = riskier",1+('Indicator Data'!R27&gt;=Indicators!$G27)+('Indicator Data'!R27&gt;=Indicators!$H27)+('Indicator Data'!R27&gt;=Indicators!$I27)+('Indicator Data'!R27&gt;=Indicators!$J27),1+('Indicator Data'!R27&lt;=Indicators!$G27)+('Indicator Data'!R27&lt;=Indicators!$H27)+('Indicator Data'!R27&lt;=Indicators!$I27)+('Indicator Data'!R27&lt;=Indicators!$J27)))</f>
        <v>4</v>
      </c>
      <c r="S27" s="27" t="n">
        <f aca="false">IF('Indicator Data'!S27="",IF(Config!$C$15="Score as High (5)",5,0),IF(Indicators!$F27="Higher = riskier",1+('Indicator Data'!S27&gt;=Indicators!$G27)+('Indicator Data'!S27&gt;=Indicators!$H27)+('Indicator Data'!S27&gt;=Indicators!$I27)+('Indicator Data'!S27&gt;=Indicators!$J27),1+('Indicator Data'!S27&lt;=Indicators!$G27)+('Indicator Data'!S27&lt;=Indicators!$H27)+('Indicator Data'!S27&lt;=Indicators!$I27)+('Indicator Data'!S27&lt;=Indicators!$J27)))</f>
        <v>4</v>
      </c>
      <c r="T27" s="27" t="n">
        <f aca="false">IF('Indicator Data'!T27="",IF(Config!$C$15="Score as High (5)",5,0),IF(Indicators!$F27="Higher = riskier",1+('Indicator Data'!T27&gt;=Indicators!$G27)+('Indicator Data'!T27&gt;=Indicators!$H27)+('Indicator Data'!T27&gt;=Indicators!$I27)+('Indicator Data'!T27&gt;=Indicators!$J27),1+('Indicator Data'!T27&lt;=Indicators!$G27)+('Indicator Data'!T27&lt;=Indicators!$H27)+('Indicator Data'!T27&lt;=Indicators!$I27)+('Indicator Data'!T27&lt;=Indicators!$J27)))</f>
        <v>2</v>
      </c>
      <c r="U27" s="27" t="n">
        <f aca="false">IF('Indicator Data'!U27="",IF(Config!$C$15="Score as High (5)",5,0),IF(Indicators!$F27="Higher = riskier",1+('Indicator Data'!U27&gt;=Indicators!$G27)+('Indicator Data'!U27&gt;=Indicators!$H27)+('Indicator Data'!U27&gt;=Indicators!$I27)+('Indicator Data'!U27&gt;=Indicators!$J27),1+('Indicator Data'!U27&lt;=Indicators!$G27)+('Indicator Data'!U27&lt;=Indicators!$H27)+('Indicator Data'!U27&lt;=Indicators!$I27)+('Indicator Data'!U27&lt;=Indicators!$J27)))</f>
        <v>4</v>
      </c>
      <c r="V27" s="27" t="n">
        <f aca="false">IF('Indicator Data'!V27="",IF(Config!$C$15="Score as High (5)",5,0),IF(Indicators!$F27="Higher = riskier",1+('Indicator Data'!V27&gt;=Indicators!$G27)+('Indicator Data'!V27&gt;=Indicators!$H27)+('Indicator Data'!V27&gt;=Indicators!$I27)+('Indicator Data'!V27&gt;=Indicators!$J27),1+('Indicator Data'!V27&lt;=Indicators!$G27)+('Indicator Data'!V27&lt;=Indicators!$H27)+('Indicator Data'!V27&lt;=Indicators!$I27)+('Indicator Data'!V27&lt;=Indicators!$J27)))</f>
        <v>4</v>
      </c>
      <c r="W27" s="27" t="n">
        <f aca="false">IF('Indicator Data'!W27="",IF(Config!$C$15="Score as High (5)",5,0),IF(Indicators!$F27="Higher = riskier",1+('Indicator Data'!W27&gt;=Indicators!$G27)+('Indicator Data'!W27&gt;=Indicators!$H27)+('Indicator Data'!W27&gt;=Indicators!$I27)+('Indicator Data'!W27&gt;=Indicators!$J27),1+('Indicator Data'!W27&lt;=Indicators!$G27)+('Indicator Data'!W27&lt;=Indicators!$H27)+('Indicator Data'!W27&lt;=Indicators!$I27)+('Indicator Data'!W27&lt;=Indicators!$J27)))</f>
        <v>2</v>
      </c>
      <c r="X27" s="27" t="n">
        <f aca="false">IF('Indicator Data'!X27="",IF(Config!$C$15="Score as High (5)",5,0),IF(Indicators!$F27="Higher = riskier",1+('Indicator Data'!X27&gt;=Indicators!$G27)+('Indicator Data'!X27&gt;=Indicators!$H27)+('Indicator Data'!X27&gt;=Indicators!$I27)+('Indicator Data'!X27&gt;=Indicators!$J27),1+('Indicator Data'!X27&lt;=Indicators!$G27)+('Indicator Data'!X27&lt;=Indicators!$H27)+('Indicator Data'!X27&lt;=Indicators!$I27)+('Indicator Data'!X27&lt;=Indicators!$J27)))</f>
        <v>5</v>
      </c>
      <c r="Y27" s="27" t="n">
        <f aca="false">IF('Indicator Data'!Y27="",IF(Config!$C$15="Score as High (5)",5,0),IF(Indicators!$F27="Higher = riskier",1+('Indicator Data'!Y27&gt;=Indicators!$G27)+('Indicator Data'!Y27&gt;=Indicators!$H27)+('Indicator Data'!Y27&gt;=Indicators!$I27)+('Indicator Data'!Y27&gt;=Indicators!$J27),1+('Indicator Data'!Y27&lt;=Indicators!$G27)+('Indicator Data'!Y27&lt;=Indicators!$H27)+('Indicator Data'!Y27&lt;=Indicators!$I27)+('Indicator Data'!Y27&lt;=Indicators!$J27)))</f>
        <v>1</v>
      </c>
      <c r="Z27" s="27" t="n">
        <f aca="false">IF('Indicator Data'!Z27="",IF(Config!$C$15="Score as High (5)",5,0),IF(Indicators!$F27="Higher = riskier",1+('Indicator Data'!Z27&gt;=Indicators!$G27)+('Indicator Data'!Z27&gt;=Indicators!$H27)+('Indicator Data'!Z27&gt;=Indicators!$I27)+('Indicator Data'!Z27&gt;=Indicators!$J27),1+('Indicator Data'!Z27&lt;=Indicators!$G27)+('Indicator Data'!Z27&lt;=Indicators!$H27)+('Indicator Data'!Z27&lt;=Indicators!$I27)+('Indicator Data'!Z27&lt;=Indicators!$J27)))</f>
        <v>1</v>
      </c>
      <c r="AA27" s="27" t="n">
        <f aca="false">IF('Indicator Data'!AA27="",IF(Config!$C$15="Score as High (5)",5,0),IF(Indicators!$F27="Higher = riskier",1+('Indicator Data'!AA27&gt;=Indicators!$G27)+('Indicator Data'!AA27&gt;=Indicators!$H27)+('Indicator Data'!AA27&gt;=Indicators!$I27)+('Indicator Data'!AA27&gt;=Indicators!$J27),1+('Indicator Data'!AA27&lt;=Indicators!$G27)+('Indicator Data'!AA27&lt;=Indicators!$H27)+('Indicator Data'!AA27&lt;=Indicators!$I27)+('Indicator Data'!AA27&lt;=Indicators!$J27)))</f>
        <v>1</v>
      </c>
      <c r="AB27" s="27" t="n">
        <f aca="false">IF('Indicator Data'!AB27="",IF(Config!$C$15="Score as High (5)",5,0),IF(Indicators!$F27="Higher = riskier",1+('Indicator Data'!AB27&gt;=Indicators!$G27)+('Indicator Data'!AB27&gt;=Indicators!$H27)+('Indicator Data'!AB27&gt;=Indicators!$I27)+('Indicator Data'!AB27&gt;=Indicators!$J27),1+('Indicator Data'!AB27&lt;=Indicators!$G27)+('Indicator Data'!AB27&lt;=Indicators!$H27)+('Indicator Data'!AB27&lt;=Indicators!$I27)+('Indicator Data'!AB27&lt;=Indicators!$J27)))</f>
        <v>1</v>
      </c>
      <c r="AC27" s="27" t="n">
        <f aca="false">IF('Indicator Data'!AC27="",IF(Config!$C$15="Score as High (5)",5,0),IF(Indicators!$F27="Higher = riskier",1+('Indicator Data'!AC27&gt;=Indicators!$G27)+('Indicator Data'!AC27&gt;=Indicators!$H27)+('Indicator Data'!AC27&gt;=Indicators!$I27)+('Indicator Data'!AC27&gt;=Indicators!$J27),1+('Indicator Data'!AC27&lt;=Indicators!$G27)+('Indicator Data'!AC27&lt;=Indicators!$H27)+('Indicator Data'!AC27&lt;=Indicators!$I27)+('Indicator Data'!AC27&lt;=Indicators!$J27)))</f>
        <v>2</v>
      </c>
      <c r="AD27" s="27" t="n">
        <f aca="false">IF('Indicator Data'!AD27="",IF(Config!$C$15="Score as High (5)",5,0),IF(Indicators!$F27="Higher = riskier",1+('Indicator Data'!AD27&gt;=Indicators!$G27)+('Indicator Data'!AD27&gt;=Indicators!$H27)+('Indicator Data'!AD27&gt;=Indicators!$I27)+('Indicator Data'!AD27&gt;=Indicators!$J27),1+('Indicator Data'!AD27&lt;=Indicators!$G27)+('Indicator Data'!AD27&lt;=Indicators!$H27)+('Indicator Data'!AD27&lt;=Indicators!$I27)+('Indicator Data'!AD27&lt;=Indicators!$J27)))</f>
        <v>1</v>
      </c>
      <c r="AE27" s="27" t="n">
        <f aca="false">IF('Indicator Data'!AE27="",IF(Config!$C$15="Score as High (5)",5,0),IF(Indicators!$F27="Higher = riskier",1+('Indicator Data'!AE27&gt;=Indicators!$G27)+('Indicator Data'!AE27&gt;=Indicators!$H27)+('Indicator Data'!AE27&gt;=Indicators!$I27)+('Indicator Data'!AE27&gt;=Indicators!$J27),1+('Indicator Data'!AE27&lt;=Indicators!$G27)+('Indicator Data'!AE27&lt;=Indicators!$H27)+('Indicator Data'!AE27&lt;=Indicators!$I27)+('Indicator Data'!AE27&lt;=Indicators!$J27)))</f>
        <v>2</v>
      </c>
      <c r="AF27" s="27" t="n">
        <f aca="false">IF('Indicator Data'!AF27="",IF(Config!$C$15="Score as High (5)",5,0),IF(Indicators!$F27="Higher = riskier",1+('Indicator Data'!AF27&gt;=Indicators!$G27)+('Indicator Data'!AF27&gt;=Indicators!$H27)+('Indicator Data'!AF27&gt;=Indicators!$I27)+('Indicator Data'!AF27&gt;=Indicators!$J27),1+('Indicator Data'!AF27&lt;=Indicators!$G27)+('Indicator Data'!AF27&lt;=Indicators!$H27)+('Indicator Data'!AF27&lt;=Indicators!$I27)+('Indicator Data'!AF27&lt;=Indicators!$J27)))</f>
        <v>2</v>
      </c>
      <c r="AG27" s="27" t="n">
        <f aca="false">IF('Indicator Data'!AG27="",IF(Config!$C$15="Score as High (5)",5,0),IF(Indicators!$F27="Higher = riskier",1+('Indicator Data'!AG27&gt;=Indicators!$G27)+('Indicator Data'!AG27&gt;=Indicators!$H27)+('Indicator Data'!AG27&gt;=Indicators!$I27)+('Indicator Data'!AG27&gt;=Indicators!$J27),1+('Indicator Data'!AG27&lt;=Indicators!$G27)+('Indicator Data'!AG27&lt;=Indicators!$H27)+('Indicator Data'!AG27&lt;=Indicators!$I27)+('Indicator Data'!AG27&lt;=Indicators!$J27)))</f>
        <v>2</v>
      </c>
    </row>
    <row r="28" customFormat="false" ht="15" hidden="false" customHeight="false" outlineLevel="0" collapsed="false">
      <c r="A28" s="26" t="str">
        <f aca="false">Indicators!A28</f>
        <v>D05</v>
      </c>
      <c r="B28" s="26" t="str">
        <f aca="false">Indicators!C28</f>
        <v>Third parties with public-official contact acting for the bank</v>
      </c>
      <c r="C28" s="26" t="str">
        <f aca="false">Indicators!D28</f>
        <v>count</v>
      </c>
      <c r="D28" s="27" t="n">
        <f aca="false">IF('Indicator Data'!D28="",IF(Config!$C$15="Score as High (5)",5,0),IF(Indicators!$F28="Higher = riskier",1+('Indicator Data'!D28&gt;=Indicators!$G28)+('Indicator Data'!D28&gt;=Indicators!$H28)+('Indicator Data'!D28&gt;=Indicators!$I28)+('Indicator Data'!D28&gt;=Indicators!$J28),1+('Indicator Data'!D28&lt;=Indicators!$G28)+('Indicator Data'!D28&lt;=Indicators!$H28)+('Indicator Data'!D28&lt;=Indicators!$I28)+('Indicator Data'!D28&lt;=Indicators!$J28)))</f>
        <v>4</v>
      </c>
      <c r="E28" s="27" t="n">
        <f aca="false">IF('Indicator Data'!E28="",IF(Config!$C$15="Score as High (5)",5,0),IF(Indicators!$F28="Higher = riskier",1+('Indicator Data'!E28&gt;=Indicators!$G28)+('Indicator Data'!E28&gt;=Indicators!$H28)+('Indicator Data'!E28&gt;=Indicators!$I28)+('Indicator Data'!E28&gt;=Indicators!$J28),1+('Indicator Data'!E28&lt;=Indicators!$G28)+('Indicator Data'!E28&lt;=Indicators!$H28)+('Indicator Data'!E28&lt;=Indicators!$I28)+('Indicator Data'!E28&lt;=Indicators!$J28)))</f>
        <v>3</v>
      </c>
      <c r="F28" s="27" t="n">
        <f aca="false">IF('Indicator Data'!F28="",IF(Config!$C$15="Score as High (5)",5,0),IF(Indicators!$F28="Higher = riskier",1+('Indicator Data'!F28&gt;=Indicators!$G28)+('Indicator Data'!F28&gt;=Indicators!$H28)+('Indicator Data'!F28&gt;=Indicators!$I28)+('Indicator Data'!F28&gt;=Indicators!$J28),1+('Indicator Data'!F28&lt;=Indicators!$G28)+('Indicator Data'!F28&lt;=Indicators!$H28)+('Indicator Data'!F28&lt;=Indicators!$I28)+('Indicator Data'!F28&lt;=Indicators!$J28)))</f>
        <v>4</v>
      </c>
      <c r="G28" s="27" t="n">
        <f aca="false">IF('Indicator Data'!G28="",IF(Config!$C$15="Score as High (5)",5,0),IF(Indicators!$F28="Higher = riskier",1+('Indicator Data'!G28&gt;=Indicators!$G28)+('Indicator Data'!G28&gt;=Indicators!$H28)+('Indicator Data'!G28&gt;=Indicators!$I28)+('Indicator Data'!G28&gt;=Indicators!$J28),1+('Indicator Data'!G28&lt;=Indicators!$G28)+('Indicator Data'!G28&lt;=Indicators!$H28)+('Indicator Data'!G28&lt;=Indicators!$I28)+('Indicator Data'!G28&lt;=Indicators!$J28)))</f>
        <v>3</v>
      </c>
      <c r="H28" s="27" t="n">
        <f aca="false">IF('Indicator Data'!H28="",IF(Config!$C$15="Score as High (5)",5,0),IF(Indicators!$F28="Higher = riskier",1+('Indicator Data'!H28&gt;=Indicators!$G28)+('Indicator Data'!H28&gt;=Indicators!$H28)+('Indicator Data'!H28&gt;=Indicators!$I28)+('Indicator Data'!H28&gt;=Indicators!$J28),1+('Indicator Data'!H28&lt;=Indicators!$G28)+('Indicator Data'!H28&lt;=Indicators!$H28)+('Indicator Data'!H28&lt;=Indicators!$I28)+('Indicator Data'!H28&lt;=Indicators!$J28)))</f>
        <v>1</v>
      </c>
      <c r="I28" s="27" t="n">
        <f aca="false">IF('Indicator Data'!I28="",IF(Config!$C$15="Score as High (5)",5,0),IF(Indicators!$F28="Higher = riskier",1+('Indicator Data'!I28&gt;=Indicators!$G28)+('Indicator Data'!I28&gt;=Indicators!$H28)+('Indicator Data'!I28&gt;=Indicators!$I28)+('Indicator Data'!I28&gt;=Indicators!$J28),1+('Indicator Data'!I28&lt;=Indicators!$G28)+('Indicator Data'!I28&lt;=Indicators!$H28)+('Indicator Data'!I28&lt;=Indicators!$I28)+('Indicator Data'!I28&lt;=Indicators!$J28)))</f>
        <v>5</v>
      </c>
      <c r="J28" s="27" t="n">
        <f aca="false">IF('Indicator Data'!J28="",IF(Config!$C$15="Score as High (5)",5,0),IF(Indicators!$F28="Higher = riskier",1+('Indicator Data'!J28&gt;=Indicators!$G28)+('Indicator Data'!J28&gt;=Indicators!$H28)+('Indicator Data'!J28&gt;=Indicators!$I28)+('Indicator Data'!J28&gt;=Indicators!$J28),1+('Indicator Data'!J28&lt;=Indicators!$G28)+('Indicator Data'!J28&lt;=Indicators!$H28)+('Indicator Data'!J28&lt;=Indicators!$I28)+('Indicator Data'!J28&lt;=Indicators!$J28)))</f>
        <v>5</v>
      </c>
      <c r="K28" s="27" t="n">
        <f aca="false">IF('Indicator Data'!K28="",IF(Config!$C$15="Score as High (5)",5,0),IF(Indicators!$F28="Higher = riskier",1+('Indicator Data'!K28&gt;=Indicators!$G28)+('Indicator Data'!K28&gt;=Indicators!$H28)+('Indicator Data'!K28&gt;=Indicators!$I28)+('Indicator Data'!K28&gt;=Indicators!$J28),1+('Indicator Data'!K28&lt;=Indicators!$G28)+('Indicator Data'!K28&lt;=Indicators!$H28)+('Indicator Data'!K28&lt;=Indicators!$I28)+('Indicator Data'!K28&lt;=Indicators!$J28)))</f>
        <v>5</v>
      </c>
      <c r="L28" s="27" t="n">
        <f aca="false">IF('Indicator Data'!L28="",IF(Config!$C$15="Score as High (5)",5,0),IF(Indicators!$F28="Higher = riskier",1+('Indicator Data'!L28&gt;=Indicators!$G28)+('Indicator Data'!L28&gt;=Indicators!$H28)+('Indicator Data'!L28&gt;=Indicators!$I28)+('Indicator Data'!L28&gt;=Indicators!$J28),1+('Indicator Data'!L28&lt;=Indicators!$G28)+('Indicator Data'!L28&lt;=Indicators!$H28)+('Indicator Data'!L28&lt;=Indicators!$I28)+('Indicator Data'!L28&lt;=Indicators!$J28)))</f>
        <v>3</v>
      </c>
      <c r="M28" s="27" t="n">
        <f aca="false">IF('Indicator Data'!M28="",IF(Config!$C$15="Score as High (5)",5,0),IF(Indicators!$F28="Higher = riskier",1+('Indicator Data'!M28&gt;=Indicators!$G28)+('Indicator Data'!M28&gt;=Indicators!$H28)+('Indicator Data'!M28&gt;=Indicators!$I28)+('Indicator Data'!M28&gt;=Indicators!$J28),1+('Indicator Data'!M28&lt;=Indicators!$G28)+('Indicator Data'!M28&lt;=Indicators!$H28)+('Indicator Data'!M28&lt;=Indicators!$I28)+('Indicator Data'!M28&lt;=Indicators!$J28)))</f>
        <v>2</v>
      </c>
      <c r="N28" s="27" t="n">
        <f aca="false">IF('Indicator Data'!N28="",IF(Config!$C$15="Score as High (5)",5,0),IF(Indicators!$F28="Higher = riskier",1+('Indicator Data'!N28&gt;=Indicators!$G28)+('Indicator Data'!N28&gt;=Indicators!$H28)+('Indicator Data'!N28&gt;=Indicators!$I28)+('Indicator Data'!N28&gt;=Indicators!$J28),1+('Indicator Data'!N28&lt;=Indicators!$G28)+('Indicator Data'!N28&lt;=Indicators!$H28)+('Indicator Data'!N28&lt;=Indicators!$I28)+('Indicator Data'!N28&lt;=Indicators!$J28)))</f>
        <v>4</v>
      </c>
      <c r="O28" s="27" t="n">
        <f aca="false">IF('Indicator Data'!O28="",IF(Config!$C$15="Score as High (5)",5,0),IF(Indicators!$F28="Higher = riskier",1+('Indicator Data'!O28&gt;=Indicators!$G28)+('Indicator Data'!O28&gt;=Indicators!$H28)+('Indicator Data'!O28&gt;=Indicators!$I28)+('Indicator Data'!O28&gt;=Indicators!$J28),1+('Indicator Data'!O28&lt;=Indicators!$G28)+('Indicator Data'!O28&lt;=Indicators!$H28)+('Indicator Data'!O28&lt;=Indicators!$I28)+('Indicator Data'!O28&lt;=Indicators!$J28)))</f>
        <v>3</v>
      </c>
      <c r="P28" s="27" t="n">
        <f aca="false">IF('Indicator Data'!P28="",IF(Config!$C$15="Score as High (5)",5,0),IF(Indicators!$F28="Higher = riskier",1+('Indicator Data'!P28&gt;=Indicators!$G28)+('Indicator Data'!P28&gt;=Indicators!$H28)+('Indicator Data'!P28&gt;=Indicators!$I28)+('Indicator Data'!P28&gt;=Indicators!$J28),1+('Indicator Data'!P28&lt;=Indicators!$G28)+('Indicator Data'!P28&lt;=Indicators!$H28)+('Indicator Data'!P28&lt;=Indicators!$I28)+('Indicator Data'!P28&lt;=Indicators!$J28)))</f>
        <v>3</v>
      </c>
      <c r="Q28" s="27" t="n">
        <f aca="false">IF('Indicator Data'!Q28="",IF(Config!$C$15="Score as High (5)",5,0),IF(Indicators!$F28="Higher = riskier",1+('Indicator Data'!Q28&gt;=Indicators!$G28)+('Indicator Data'!Q28&gt;=Indicators!$H28)+('Indicator Data'!Q28&gt;=Indicators!$I28)+('Indicator Data'!Q28&gt;=Indicators!$J28),1+('Indicator Data'!Q28&lt;=Indicators!$G28)+('Indicator Data'!Q28&lt;=Indicators!$H28)+('Indicator Data'!Q28&lt;=Indicators!$I28)+('Indicator Data'!Q28&lt;=Indicators!$J28)))</f>
        <v>1</v>
      </c>
      <c r="R28" s="27" t="n">
        <f aca="false">IF('Indicator Data'!R28="",IF(Config!$C$15="Score as High (5)",5,0),IF(Indicators!$F28="Higher = riskier",1+('Indicator Data'!R28&gt;=Indicators!$G28)+('Indicator Data'!R28&gt;=Indicators!$H28)+('Indicator Data'!R28&gt;=Indicators!$I28)+('Indicator Data'!R28&gt;=Indicators!$J28),1+('Indicator Data'!R28&lt;=Indicators!$G28)+('Indicator Data'!R28&lt;=Indicators!$H28)+('Indicator Data'!R28&lt;=Indicators!$I28)+('Indicator Data'!R28&lt;=Indicators!$J28)))</f>
        <v>4</v>
      </c>
      <c r="S28" s="27" t="n">
        <f aca="false">IF('Indicator Data'!S28="",IF(Config!$C$15="Score as High (5)",5,0),IF(Indicators!$F28="Higher = riskier",1+('Indicator Data'!S28&gt;=Indicators!$G28)+('Indicator Data'!S28&gt;=Indicators!$H28)+('Indicator Data'!S28&gt;=Indicators!$I28)+('Indicator Data'!S28&gt;=Indicators!$J28),1+('Indicator Data'!S28&lt;=Indicators!$G28)+('Indicator Data'!S28&lt;=Indicators!$H28)+('Indicator Data'!S28&lt;=Indicators!$I28)+('Indicator Data'!S28&lt;=Indicators!$J28)))</f>
        <v>4</v>
      </c>
      <c r="T28" s="27" t="n">
        <f aca="false">IF('Indicator Data'!T28="",IF(Config!$C$15="Score as High (5)",5,0),IF(Indicators!$F28="Higher = riskier",1+('Indicator Data'!T28&gt;=Indicators!$G28)+('Indicator Data'!T28&gt;=Indicators!$H28)+('Indicator Data'!T28&gt;=Indicators!$I28)+('Indicator Data'!T28&gt;=Indicators!$J28),1+('Indicator Data'!T28&lt;=Indicators!$G28)+('Indicator Data'!T28&lt;=Indicators!$H28)+('Indicator Data'!T28&lt;=Indicators!$I28)+('Indicator Data'!T28&lt;=Indicators!$J28)))</f>
        <v>3</v>
      </c>
      <c r="U28" s="27" t="n">
        <f aca="false">IF('Indicator Data'!U28="",IF(Config!$C$15="Score as High (5)",5,0),IF(Indicators!$F28="Higher = riskier",1+('Indicator Data'!U28&gt;=Indicators!$G28)+('Indicator Data'!U28&gt;=Indicators!$H28)+('Indicator Data'!U28&gt;=Indicators!$I28)+('Indicator Data'!U28&gt;=Indicators!$J28),1+('Indicator Data'!U28&lt;=Indicators!$G28)+('Indicator Data'!U28&lt;=Indicators!$H28)+('Indicator Data'!U28&lt;=Indicators!$I28)+('Indicator Data'!U28&lt;=Indicators!$J28)))</f>
        <v>2</v>
      </c>
      <c r="V28" s="27" t="n">
        <f aca="false">IF('Indicator Data'!V28="",IF(Config!$C$15="Score as High (5)",5,0),IF(Indicators!$F28="Higher = riskier",1+('Indicator Data'!V28&gt;=Indicators!$G28)+('Indicator Data'!V28&gt;=Indicators!$H28)+('Indicator Data'!V28&gt;=Indicators!$I28)+('Indicator Data'!V28&gt;=Indicators!$J28),1+('Indicator Data'!V28&lt;=Indicators!$G28)+('Indicator Data'!V28&lt;=Indicators!$H28)+('Indicator Data'!V28&lt;=Indicators!$I28)+('Indicator Data'!V28&lt;=Indicators!$J28)))</f>
        <v>2</v>
      </c>
      <c r="W28" s="27" t="n">
        <f aca="false">IF('Indicator Data'!W28="",IF(Config!$C$15="Score as High (5)",5,0),IF(Indicators!$F28="Higher = riskier",1+('Indicator Data'!W28&gt;=Indicators!$G28)+('Indicator Data'!W28&gt;=Indicators!$H28)+('Indicator Data'!W28&gt;=Indicators!$I28)+('Indicator Data'!W28&gt;=Indicators!$J28),1+('Indicator Data'!W28&lt;=Indicators!$G28)+('Indicator Data'!W28&lt;=Indicators!$H28)+('Indicator Data'!W28&lt;=Indicators!$I28)+('Indicator Data'!W28&lt;=Indicators!$J28)))</f>
        <v>5</v>
      </c>
      <c r="X28" s="27" t="n">
        <f aca="false">IF('Indicator Data'!X28="",IF(Config!$C$15="Score as High (5)",5,0),IF(Indicators!$F28="Higher = riskier",1+('Indicator Data'!X28&gt;=Indicators!$G28)+('Indicator Data'!X28&gt;=Indicators!$H28)+('Indicator Data'!X28&gt;=Indicators!$I28)+('Indicator Data'!X28&gt;=Indicators!$J28),1+('Indicator Data'!X28&lt;=Indicators!$G28)+('Indicator Data'!X28&lt;=Indicators!$H28)+('Indicator Data'!X28&lt;=Indicators!$I28)+('Indicator Data'!X28&lt;=Indicators!$J28)))</f>
        <v>5</v>
      </c>
      <c r="Y28" s="27" t="n">
        <f aca="false">IF('Indicator Data'!Y28="",IF(Config!$C$15="Score as High (5)",5,0),IF(Indicators!$F28="Higher = riskier",1+('Indicator Data'!Y28&gt;=Indicators!$G28)+('Indicator Data'!Y28&gt;=Indicators!$H28)+('Indicator Data'!Y28&gt;=Indicators!$I28)+('Indicator Data'!Y28&gt;=Indicators!$J28),1+('Indicator Data'!Y28&lt;=Indicators!$G28)+('Indicator Data'!Y28&lt;=Indicators!$H28)+('Indicator Data'!Y28&lt;=Indicators!$I28)+('Indicator Data'!Y28&lt;=Indicators!$J28)))</f>
        <v>1</v>
      </c>
      <c r="Z28" s="27" t="n">
        <f aca="false">IF('Indicator Data'!Z28="",IF(Config!$C$15="Score as High (5)",5,0),IF(Indicators!$F28="Higher = riskier",1+('Indicator Data'!Z28&gt;=Indicators!$G28)+('Indicator Data'!Z28&gt;=Indicators!$H28)+('Indicator Data'!Z28&gt;=Indicators!$I28)+('Indicator Data'!Z28&gt;=Indicators!$J28),1+('Indicator Data'!Z28&lt;=Indicators!$G28)+('Indicator Data'!Z28&lt;=Indicators!$H28)+('Indicator Data'!Z28&lt;=Indicators!$I28)+('Indicator Data'!Z28&lt;=Indicators!$J28)))</f>
        <v>1</v>
      </c>
      <c r="AA28" s="27" t="n">
        <f aca="false">IF('Indicator Data'!AA28="",IF(Config!$C$15="Score as High (5)",5,0),IF(Indicators!$F28="Higher = riskier",1+('Indicator Data'!AA28&gt;=Indicators!$G28)+('Indicator Data'!AA28&gt;=Indicators!$H28)+('Indicator Data'!AA28&gt;=Indicators!$I28)+('Indicator Data'!AA28&gt;=Indicators!$J28),1+('Indicator Data'!AA28&lt;=Indicators!$G28)+('Indicator Data'!AA28&lt;=Indicators!$H28)+('Indicator Data'!AA28&lt;=Indicators!$I28)+('Indicator Data'!AA28&lt;=Indicators!$J28)))</f>
        <v>1</v>
      </c>
      <c r="AB28" s="27" t="n">
        <f aca="false">IF('Indicator Data'!AB28="",IF(Config!$C$15="Score as High (5)",5,0),IF(Indicators!$F28="Higher = riskier",1+('Indicator Data'!AB28&gt;=Indicators!$G28)+('Indicator Data'!AB28&gt;=Indicators!$H28)+('Indicator Data'!AB28&gt;=Indicators!$I28)+('Indicator Data'!AB28&gt;=Indicators!$J28),1+('Indicator Data'!AB28&lt;=Indicators!$G28)+('Indicator Data'!AB28&lt;=Indicators!$H28)+('Indicator Data'!AB28&lt;=Indicators!$I28)+('Indicator Data'!AB28&lt;=Indicators!$J28)))</f>
        <v>1</v>
      </c>
      <c r="AC28" s="27" t="n">
        <f aca="false">IF('Indicator Data'!AC28="",IF(Config!$C$15="Score as High (5)",5,0),IF(Indicators!$F28="Higher = riskier",1+('Indicator Data'!AC28&gt;=Indicators!$G28)+('Indicator Data'!AC28&gt;=Indicators!$H28)+('Indicator Data'!AC28&gt;=Indicators!$I28)+('Indicator Data'!AC28&gt;=Indicators!$J28),1+('Indicator Data'!AC28&lt;=Indicators!$G28)+('Indicator Data'!AC28&lt;=Indicators!$H28)+('Indicator Data'!AC28&lt;=Indicators!$I28)+('Indicator Data'!AC28&lt;=Indicators!$J28)))</f>
        <v>2</v>
      </c>
      <c r="AD28" s="27" t="n">
        <f aca="false">IF('Indicator Data'!AD28="",IF(Config!$C$15="Score as High (5)",5,0),IF(Indicators!$F28="Higher = riskier",1+('Indicator Data'!AD28&gt;=Indicators!$G28)+('Indicator Data'!AD28&gt;=Indicators!$H28)+('Indicator Data'!AD28&gt;=Indicators!$I28)+('Indicator Data'!AD28&gt;=Indicators!$J28),1+('Indicator Data'!AD28&lt;=Indicators!$G28)+('Indicator Data'!AD28&lt;=Indicators!$H28)+('Indicator Data'!AD28&lt;=Indicators!$I28)+('Indicator Data'!AD28&lt;=Indicators!$J28)))</f>
        <v>2</v>
      </c>
      <c r="AE28" s="27" t="n">
        <f aca="false">IF('Indicator Data'!AE28="",IF(Config!$C$15="Score as High (5)",5,0),IF(Indicators!$F28="Higher = riskier",1+('Indicator Data'!AE28&gt;=Indicators!$G28)+('Indicator Data'!AE28&gt;=Indicators!$H28)+('Indicator Data'!AE28&gt;=Indicators!$I28)+('Indicator Data'!AE28&gt;=Indicators!$J28),1+('Indicator Data'!AE28&lt;=Indicators!$G28)+('Indicator Data'!AE28&lt;=Indicators!$H28)+('Indicator Data'!AE28&lt;=Indicators!$I28)+('Indicator Data'!AE28&lt;=Indicators!$J28)))</f>
        <v>2</v>
      </c>
      <c r="AF28" s="27" t="n">
        <f aca="false">IF('Indicator Data'!AF28="",IF(Config!$C$15="Score as High (5)",5,0),IF(Indicators!$F28="Higher = riskier",1+('Indicator Data'!AF28&gt;=Indicators!$G28)+('Indicator Data'!AF28&gt;=Indicators!$H28)+('Indicator Data'!AF28&gt;=Indicators!$I28)+('Indicator Data'!AF28&gt;=Indicators!$J28),1+('Indicator Data'!AF28&lt;=Indicators!$G28)+('Indicator Data'!AF28&lt;=Indicators!$H28)+('Indicator Data'!AF28&lt;=Indicators!$I28)+('Indicator Data'!AF28&lt;=Indicators!$J28)))</f>
        <v>1</v>
      </c>
      <c r="AG28" s="27" t="n">
        <f aca="false">IF('Indicator Data'!AG28="",IF(Config!$C$15="Score as High (5)",5,0),IF(Indicators!$F28="Higher = riskier",1+('Indicator Data'!AG28&gt;=Indicators!$G28)+('Indicator Data'!AG28&gt;=Indicators!$H28)+('Indicator Data'!AG28&gt;=Indicators!$I28)+('Indicator Data'!AG28&gt;=Indicators!$J28),1+('Indicator Data'!AG28&lt;=Indicators!$G28)+('Indicator Data'!AG28&lt;=Indicators!$H28)+('Indicator Data'!AG28&lt;=Indicators!$I28)+('Indicator Data'!AG28&lt;=Indicators!$J28)))</f>
        <v>1</v>
      </c>
    </row>
    <row r="29" customFormat="false" ht="15" hidden="false" customHeight="false" outlineLevel="0" collapsed="false">
      <c r="A29" s="26" t="str">
        <f aca="false">Indicators!A29</f>
        <v>T01</v>
      </c>
      <c r="B29" s="26" t="str">
        <f aca="false">Indicators!C29</f>
        <v>Cash deposits (% of total deposit inflows)</v>
      </c>
      <c r="C29" s="26" t="str">
        <f aca="false">Indicators!D29</f>
        <v>%</v>
      </c>
      <c r="D29" s="27" t="n">
        <f aca="false">IF('Indicator Data'!D29="",IF(Config!$C$15="Score as High (5)",5,0),IF(Indicators!$F29="Higher = riskier",1+('Indicator Data'!D29&gt;=Indicators!$G29)+('Indicator Data'!D29&gt;=Indicators!$H29)+('Indicator Data'!D29&gt;=Indicators!$I29)+('Indicator Data'!D29&gt;=Indicators!$J29),1+('Indicator Data'!D29&lt;=Indicators!$G29)+('Indicator Data'!D29&lt;=Indicators!$H29)+('Indicator Data'!D29&lt;=Indicators!$I29)+('Indicator Data'!D29&lt;=Indicators!$J29)))</f>
        <v>1</v>
      </c>
      <c r="E29" s="27" t="n">
        <f aca="false">IF('Indicator Data'!E29="",IF(Config!$C$15="Score as High (5)",5,0),IF(Indicators!$F29="Higher = riskier",1+('Indicator Data'!E29&gt;=Indicators!$G29)+('Indicator Data'!E29&gt;=Indicators!$H29)+('Indicator Data'!E29&gt;=Indicators!$I29)+('Indicator Data'!E29&gt;=Indicators!$J29),1+('Indicator Data'!E29&lt;=Indicators!$G29)+('Indicator Data'!E29&lt;=Indicators!$H29)+('Indicator Data'!E29&lt;=Indicators!$I29)+('Indicator Data'!E29&lt;=Indicators!$J29)))</f>
        <v>2</v>
      </c>
      <c r="F29" s="27" t="n">
        <f aca="false">IF('Indicator Data'!F29="",IF(Config!$C$15="Score as High (5)",5,0),IF(Indicators!$F29="Higher = riskier",1+('Indicator Data'!F29&gt;=Indicators!$G29)+('Indicator Data'!F29&gt;=Indicators!$H29)+('Indicator Data'!F29&gt;=Indicators!$I29)+('Indicator Data'!F29&gt;=Indicators!$J29),1+('Indicator Data'!F29&lt;=Indicators!$G29)+('Indicator Data'!F29&lt;=Indicators!$H29)+('Indicator Data'!F29&lt;=Indicators!$I29)+('Indicator Data'!F29&lt;=Indicators!$J29)))</f>
        <v>3</v>
      </c>
      <c r="G29" s="27" t="n">
        <f aca="false">IF('Indicator Data'!G29="",IF(Config!$C$15="Score as High (5)",5,0),IF(Indicators!$F29="Higher = riskier",1+('Indicator Data'!G29&gt;=Indicators!$G29)+('Indicator Data'!G29&gt;=Indicators!$H29)+('Indicator Data'!G29&gt;=Indicators!$I29)+('Indicator Data'!G29&gt;=Indicators!$J29),1+('Indicator Data'!G29&lt;=Indicators!$G29)+('Indicator Data'!G29&lt;=Indicators!$H29)+('Indicator Data'!G29&lt;=Indicators!$I29)+('Indicator Data'!G29&lt;=Indicators!$J29)))</f>
        <v>3</v>
      </c>
      <c r="H29" s="27" t="n">
        <f aca="false">IF('Indicator Data'!H29="",IF(Config!$C$15="Score as High (5)",5,0),IF(Indicators!$F29="Higher = riskier",1+('Indicator Data'!H29&gt;=Indicators!$G29)+('Indicator Data'!H29&gt;=Indicators!$H29)+('Indicator Data'!H29&gt;=Indicators!$I29)+('Indicator Data'!H29&gt;=Indicators!$J29),1+('Indicator Data'!H29&lt;=Indicators!$G29)+('Indicator Data'!H29&lt;=Indicators!$H29)+('Indicator Data'!H29&lt;=Indicators!$I29)+('Indicator Data'!H29&lt;=Indicators!$J29)))</f>
        <v>2</v>
      </c>
      <c r="I29" s="27" t="n">
        <f aca="false">IF('Indicator Data'!I29="",IF(Config!$C$15="Score as High (5)",5,0),IF(Indicators!$F29="Higher = riskier",1+('Indicator Data'!I29&gt;=Indicators!$G29)+('Indicator Data'!I29&gt;=Indicators!$H29)+('Indicator Data'!I29&gt;=Indicators!$I29)+('Indicator Data'!I29&gt;=Indicators!$J29),1+('Indicator Data'!I29&lt;=Indicators!$G29)+('Indicator Data'!I29&lt;=Indicators!$H29)+('Indicator Data'!I29&lt;=Indicators!$I29)+('Indicator Data'!I29&lt;=Indicators!$J29)))</f>
        <v>4</v>
      </c>
      <c r="J29" s="27" t="n">
        <f aca="false">IF('Indicator Data'!J29="",IF(Config!$C$15="Score as High (5)",5,0),IF(Indicators!$F29="Higher = riskier",1+('Indicator Data'!J29&gt;=Indicators!$G29)+('Indicator Data'!J29&gt;=Indicators!$H29)+('Indicator Data'!J29&gt;=Indicators!$I29)+('Indicator Data'!J29&gt;=Indicators!$J29),1+('Indicator Data'!J29&lt;=Indicators!$G29)+('Indicator Data'!J29&lt;=Indicators!$H29)+('Indicator Data'!J29&lt;=Indicators!$I29)+('Indicator Data'!J29&lt;=Indicators!$J29)))</f>
        <v>3</v>
      </c>
      <c r="K29" s="27" t="n">
        <f aca="false">IF('Indicator Data'!K29="",IF(Config!$C$15="Score as High (5)",5,0),IF(Indicators!$F29="Higher = riskier",1+('Indicator Data'!K29&gt;=Indicators!$G29)+('Indicator Data'!K29&gt;=Indicators!$H29)+('Indicator Data'!K29&gt;=Indicators!$I29)+('Indicator Data'!K29&gt;=Indicators!$J29),1+('Indicator Data'!K29&lt;=Indicators!$G29)+('Indicator Data'!K29&lt;=Indicators!$H29)+('Indicator Data'!K29&lt;=Indicators!$I29)+('Indicator Data'!K29&lt;=Indicators!$J29)))</f>
        <v>4</v>
      </c>
      <c r="L29" s="27" t="n">
        <f aca="false">IF('Indicator Data'!L29="",IF(Config!$C$15="Score as High (5)",5,0),IF(Indicators!$F29="Higher = riskier",1+('Indicator Data'!L29&gt;=Indicators!$G29)+('Indicator Data'!L29&gt;=Indicators!$H29)+('Indicator Data'!L29&gt;=Indicators!$I29)+('Indicator Data'!L29&gt;=Indicators!$J29),1+('Indicator Data'!L29&lt;=Indicators!$G29)+('Indicator Data'!L29&lt;=Indicators!$H29)+('Indicator Data'!L29&lt;=Indicators!$I29)+('Indicator Data'!L29&lt;=Indicators!$J29)))</f>
        <v>5</v>
      </c>
      <c r="M29" s="27" t="n">
        <f aca="false">IF('Indicator Data'!M29="",IF(Config!$C$15="Score as High (5)",5,0),IF(Indicators!$F29="Higher = riskier",1+('Indicator Data'!M29&gt;=Indicators!$G29)+('Indicator Data'!M29&gt;=Indicators!$H29)+('Indicator Data'!M29&gt;=Indicators!$I29)+('Indicator Data'!M29&gt;=Indicators!$J29),1+('Indicator Data'!M29&lt;=Indicators!$G29)+('Indicator Data'!M29&lt;=Indicators!$H29)+('Indicator Data'!M29&lt;=Indicators!$I29)+('Indicator Data'!M29&lt;=Indicators!$J29)))</f>
        <v>2</v>
      </c>
      <c r="N29" s="27" t="n">
        <f aca="false">IF('Indicator Data'!N29="",IF(Config!$C$15="Score as High (5)",5,0),IF(Indicators!$F29="Higher = riskier",1+('Indicator Data'!N29&gt;=Indicators!$G29)+('Indicator Data'!N29&gt;=Indicators!$H29)+('Indicator Data'!N29&gt;=Indicators!$I29)+('Indicator Data'!N29&gt;=Indicators!$J29),1+('Indicator Data'!N29&lt;=Indicators!$G29)+('Indicator Data'!N29&lt;=Indicators!$H29)+('Indicator Data'!N29&lt;=Indicators!$I29)+('Indicator Data'!N29&lt;=Indicators!$J29)))</f>
        <v>3</v>
      </c>
      <c r="O29" s="27" t="n">
        <f aca="false">IF('Indicator Data'!O29="",IF(Config!$C$15="Score as High (5)",5,0),IF(Indicators!$F29="Higher = riskier",1+('Indicator Data'!O29&gt;=Indicators!$G29)+('Indicator Data'!O29&gt;=Indicators!$H29)+('Indicator Data'!O29&gt;=Indicators!$I29)+('Indicator Data'!O29&gt;=Indicators!$J29),1+('Indicator Data'!O29&lt;=Indicators!$G29)+('Indicator Data'!O29&lt;=Indicators!$H29)+('Indicator Data'!O29&lt;=Indicators!$I29)+('Indicator Data'!O29&lt;=Indicators!$J29)))</f>
        <v>4</v>
      </c>
      <c r="P29" s="27" t="n">
        <f aca="false">IF('Indicator Data'!P29="",IF(Config!$C$15="Score as High (5)",5,0),IF(Indicators!$F29="Higher = riskier",1+('Indicator Data'!P29&gt;=Indicators!$G29)+('Indicator Data'!P29&gt;=Indicators!$H29)+('Indicator Data'!P29&gt;=Indicators!$I29)+('Indicator Data'!P29&gt;=Indicators!$J29),1+('Indicator Data'!P29&lt;=Indicators!$G29)+('Indicator Data'!P29&lt;=Indicators!$H29)+('Indicator Data'!P29&lt;=Indicators!$I29)+('Indicator Data'!P29&lt;=Indicators!$J29)))</f>
        <v>2</v>
      </c>
      <c r="Q29" s="27" t="n">
        <f aca="false">IF('Indicator Data'!Q29="",IF(Config!$C$15="Score as High (5)",5,0),IF(Indicators!$F29="Higher = riskier",1+('Indicator Data'!Q29&gt;=Indicators!$G29)+('Indicator Data'!Q29&gt;=Indicators!$H29)+('Indicator Data'!Q29&gt;=Indicators!$I29)+('Indicator Data'!Q29&gt;=Indicators!$J29),1+('Indicator Data'!Q29&lt;=Indicators!$G29)+('Indicator Data'!Q29&lt;=Indicators!$H29)+('Indicator Data'!Q29&lt;=Indicators!$I29)+('Indicator Data'!Q29&lt;=Indicators!$J29)))</f>
        <v>3</v>
      </c>
      <c r="R29" s="27" t="n">
        <f aca="false">IF('Indicator Data'!R29="",IF(Config!$C$15="Score as High (5)",5,0),IF(Indicators!$F29="Higher = riskier",1+('Indicator Data'!R29&gt;=Indicators!$G29)+('Indicator Data'!R29&gt;=Indicators!$H29)+('Indicator Data'!R29&gt;=Indicators!$I29)+('Indicator Data'!R29&gt;=Indicators!$J29),1+('Indicator Data'!R29&lt;=Indicators!$G29)+('Indicator Data'!R29&lt;=Indicators!$H29)+('Indicator Data'!R29&lt;=Indicators!$I29)+('Indicator Data'!R29&lt;=Indicators!$J29)))</f>
        <v>5</v>
      </c>
      <c r="S29" s="27" t="n">
        <f aca="false">IF('Indicator Data'!S29="",IF(Config!$C$15="Score as High (5)",5,0),IF(Indicators!$F29="Higher = riskier",1+('Indicator Data'!S29&gt;=Indicators!$G29)+('Indicator Data'!S29&gt;=Indicators!$H29)+('Indicator Data'!S29&gt;=Indicators!$I29)+('Indicator Data'!S29&gt;=Indicators!$J29),1+('Indicator Data'!S29&lt;=Indicators!$G29)+('Indicator Data'!S29&lt;=Indicators!$H29)+('Indicator Data'!S29&lt;=Indicators!$I29)+('Indicator Data'!S29&lt;=Indicators!$J29)))</f>
        <v>4</v>
      </c>
      <c r="T29" s="27" t="n">
        <f aca="false">IF('Indicator Data'!T29="",IF(Config!$C$15="Score as High (5)",5,0),IF(Indicators!$F29="Higher = riskier",1+('Indicator Data'!T29&gt;=Indicators!$G29)+('Indicator Data'!T29&gt;=Indicators!$H29)+('Indicator Data'!T29&gt;=Indicators!$I29)+('Indicator Data'!T29&gt;=Indicators!$J29),1+('Indicator Data'!T29&lt;=Indicators!$G29)+('Indicator Data'!T29&lt;=Indicators!$H29)+('Indicator Data'!T29&lt;=Indicators!$I29)+('Indicator Data'!T29&lt;=Indicators!$J29)))</f>
        <v>2</v>
      </c>
      <c r="U29" s="27" t="n">
        <f aca="false">IF('Indicator Data'!U29="",IF(Config!$C$15="Score as High (5)",5,0),IF(Indicators!$F29="Higher = riskier",1+('Indicator Data'!U29&gt;=Indicators!$G29)+('Indicator Data'!U29&gt;=Indicators!$H29)+('Indicator Data'!U29&gt;=Indicators!$I29)+('Indicator Data'!U29&gt;=Indicators!$J29),1+('Indicator Data'!U29&lt;=Indicators!$G29)+('Indicator Data'!U29&lt;=Indicators!$H29)+('Indicator Data'!U29&lt;=Indicators!$I29)+('Indicator Data'!U29&lt;=Indicators!$J29)))</f>
        <v>3</v>
      </c>
      <c r="V29" s="27" t="n">
        <f aca="false">IF('Indicator Data'!V29="",IF(Config!$C$15="Score as High (5)",5,0),IF(Indicators!$F29="Higher = riskier",1+('Indicator Data'!V29&gt;=Indicators!$G29)+('Indicator Data'!V29&gt;=Indicators!$H29)+('Indicator Data'!V29&gt;=Indicators!$I29)+('Indicator Data'!V29&gt;=Indicators!$J29),1+('Indicator Data'!V29&lt;=Indicators!$G29)+('Indicator Data'!V29&lt;=Indicators!$H29)+('Indicator Data'!V29&lt;=Indicators!$I29)+('Indicator Data'!V29&lt;=Indicators!$J29)))</f>
        <v>1</v>
      </c>
      <c r="W29" s="27" t="n">
        <f aca="false">IF('Indicator Data'!W29="",IF(Config!$C$15="Score as High (5)",5,0),IF(Indicators!$F29="Higher = riskier",1+('Indicator Data'!W29&gt;=Indicators!$G29)+('Indicator Data'!W29&gt;=Indicators!$H29)+('Indicator Data'!W29&gt;=Indicators!$I29)+('Indicator Data'!W29&gt;=Indicators!$J29),1+('Indicator Data'!W29&lt;=Indicators!$G29)+('Indicator Data'!W29&lt;=Indicators!$H29)+('Indicator Data'!W29&lt;=Indicators!$I29)+('Indicator Data'!W29&lt;=Indicators!$J29)))</f>
        <v>5</v>
      </c>
      <c r="X29" s="27" t="n">
        <f aca="false">IF('Indicator Data'!X29="",IF(Config!$C$15="Score as High (5)",5,0),IF(Indicators!$F29="Higher = riskier",1+('Indicator Data'!X29&gt;=Indicators!$G29)+('Indicator Data'!X29&gt;=Indicators!$H29)+('Indicator Data'!X29&gt;=Indicators!$I29)+('Indicator Data'!X29&gt;=Indicators!$J29),1+('Indicator Data'!X29&lt;=Indicators!$G29)+('Indicator Data'!X29&lt;=Indicators!$H29)+('Indicator Data'!X29&lt;=Indicators!$I29)+('Indicator Data'!X29&lt;=Indicators!$J29)))</f>
        <v>3</v>
      </c>
      <c r="Y29" s="27" t="n">
        <f aca="false">IF('Indicator Data'!Y29="",IF(Config!$C$15="Score as High (5)",5,0),IF(Indicators!$F29="Higher = riskier",1+('Indicator Data'!Y29&gt;=Indicators!$G29)+('Indicator Data'!Y29&gt;=Indicators!$H29)+('Indicator Data'!Y29&gt;=Indicators!$I29)+('Indicator Data'!Y29&gt;=Indicators!$J29),1+('Indicator Data'!Y29&lt;=Indicators!$G29)+('Indicator Data'!Y29&lt;=Indicators!$H29)+('Indicator Data'!Y29&lt;=Indicators!$I29)+('Indicator Data'!Y29&lt;=Indicators!$J29)))</f>
        <v>1</v>
      </c>
      <c r="Z29" s="27" t="n">
        <f aca="false">IF('Indicator Data'!Z29="",IF(Config!$C$15="Score as High (5)",5,0),IF(Indicators!$F29="Higher = riskier",1+('Indicator Data'!Z29&gt;=Indicators!$G29)+('Indicator Data'!Z29&gt;=Indicators!$H29)+('Indicator Data'!Z29&gt;=Indicators!$I29)+('Indicator Data'!Z29&gt;=Indicators!$J29),1+('Indicator Data'!Z29&lt;=Indicators!$G29)+('Indicator Data'!Z29&lt;=Indicators!$H29)+('Indicator Data'!Z29&lt;=Indicators!$I29)+('Indicator Data'!Z29&lt;=Indicators!$J29)))</f>
        <v>2</v>
      </c>
      <c r="AA29" s="27" t="n">
        <f aca="false">IF('Indicator Data'!AA29="",IF(Config!$C$15="Score as High (5)",5,0),IF(Indicators!$F29="Higher = riskier",1+('Indicator Data'!AA29&gt;=Indicators!$G29)+('Indicator Data'!AA29&gt;=Indicators!$H29)+('Indicator Data'!AA29&gt;=Indicators!$I29)+('Indicator Data'!AA29&gt;=Indicators!$J29),1+('Indicator Data'!AA29&lt;=Indicators!$G29)+('Indicator Data'!AA29&lt;=Indicators!$H29)+('Indicator Data'!AA29&lt;=Indicators!$I29)+('Indicator Data'!AA29&lt;=Indicators!$J29)))</f>
        <v>2</v>
      </c>
      <c r="AB29" s="27" t="n">
        <f aca="false">IF('Indicator Data'!AB29="",IF(Config!$C$15="Score as High (5)",5,0),IF(Indicators!$F29="Higher = riskier",1+('Indicator Data'!AB29&gt;=Indicators!$G29)+('Indicator Data'!AB29&gt;=Indicators!$H29)+('Indicator Data'!AB29&gt;=Indicators!$I29)+('Indicator Data'!AB29&gt;=Indicators!$J29),1+('Indicator Data'!AB29&lt;=Indicators!$G29)+('Indicator Data'!AB29&lt;=Indicators!$H29)+('Indicator Data'!AB29&lt;=Indicators!$I29)+('Indicator Data'!AB29&lt;=Indicators!$J29)))</f>
        <v>1</v>
      </c>
      <c r="AC29" s="27" t="n">
        <f aca="false">IF('Indicator Data'!AC29="",IF(Config!$C$15="Score as High (5)",5,0),IF(Indicators!$F29="Higher = riskier",1+('Indicator Data'!AC29&gt;=Indicators!$G29)+('Indicator Data'!AC29&gt;=Indicators!$H29)+('Indicator Data'!AC29&gt;=Indicators!$I29)+('Indicator Data'!AC29&gt;=Indicators!$J29),1+('Indicator Data'!AC29&lt;=Indicators!$G29)+('Indicator Data'!AC29&lt;=Indicators!$H29)+('Indicator Data'!AC29&lt;=Indicators!$I29)+('Indicator Data'!AC29&lt;=Indicators!$J29)))</f>
        <v>2</v>
      </c>
      <c r="AD29" s="27" t="n">
        <f aca="false">IF('Indicator Data'!AD29="",IF(Config!$C$15="Score as High (5)",5,0),IF(Indicators!$F29="Higher = riskier",1+('Indicator Data'!AD29&gt;=Indicators!$G29)+('Indicator Data'!AD29&gt;=Indicators!$H29)+('Indicator Data'!AD29&gt;=Indicators!$I29)+('Indicator Data'!AD29&gt;=Indicators!$J29),1+('Indicator Data'!AD29&lt;=Indicators!$G29)+('Indicator Data'!AD29&lt;=Indicators!$H29)+('Indicator Data'!AD29&lt;=Indicators!$I29)+('Indicator Data'!AD29&lt;=Indicators!$J29)))</f>
        <v>2</v>
      </c>
      <c r="AE29" s="27" t="n">
        <f aca="false">IF('Indicator Data'!AE29="",IF(Config!$C$15="Score as High (5)",5,0),IF(Indicators!$F29="Higher = riskier",1+('Indicator Data'!AE29&gt;=Indicators!$G29)+('Indicator Data'!AE29&gt;=Indicators!$H29)+('Indicator Data'!AE29&gt;=Indicators!$I29)+('Indicator Data'!AE29&gt;=Indicators!$J29),1+('Indicator Data'!AE29&lt;=Indicators!$G29)+('Indicator Data'!AE29&lt;=Indicators!$H29)+('Indicator Data'!AE29&lt;=Indicators!$I29)+('Indicator Data'!AE29&lt;=Indicators!$J29)))</f>
        <v>2</v>
      </c>
      <c r="AF29" s="27" t="n">
        <f aca="false">IF('Indicator Data'!AF29="",IF(Config!$C$15="Score as High (5)",5,0),IF(Indicators!$F29="Higher = riskier",1+('Indicator Data'!AF29&gt;=Indicators!$G29)+('Indicator Data'!AF29&gt;=Indicators!$H29)+('Indicator Data'!AF29&gt;=Indicators!$I29)+('Indicator Data'!AF29&gt;=Indicators!$J29),1+('Indicator Data'!AF29&lt;=Indicators!$G29)+('Indicator Data'!AF29&lt;=Indicators!$H29)+('Indicator Data'!AF29&lt;=Indicators!$I29)+('Indicator Data'!AF29&lt;=Indicators!$J29)))</f>
        <v>1</v>
      </c>
      <c r="AG29" s="27" t="n">
        <f aca="false">IF('Indicator Data'!AG29="",IF(Config!$C$15="Score as High (5)",5,0),IF(Indicators!$F29="Higher = riskier",1+('Indicator Data'!AG29&gt;=Indicators!$G29)+('Indicator Data'!AG29&gt;=Indicators!$H29)+('Indicator Data'!AG29&gt;=Indicators!$I29)+('Indicator Data'!AG29&gt;=Indicators!$J29),1+('Indicator Data'!AG29&lt;=Indicators!$G29)+('Indicator Data'!AG29&lt;=Indicators!$H29)+('Indicator Data'!AG29&lt;=Indicators!$I29)+('Indicator Data'!AG29&lt;=Indicators!$J29)))</f>
        <v>1</v>
      </c>
    </row>
    <row r="30" customFormat="false" ht="15" hidden="false" customHeight="false" outlineLevel="0" collapsed="false">
      <c r="A30" s="26" t="str">
        <f aca="false">Indicators!A30</f>
        <v>T02</v>
      </c>
      <c r="B30" s="26" t="str">
        <f aca="false">Indicators!C30</f>
        <v>Cross-border wires per month ('000)</v>
      </c>
      <c r="C30" s="26" t="str">
        <f aca="false">Indicators!D30</f>
        <v>count ('000)</v>
      </c>
      <c r="D30" s="27" t="n">
        <f aca="false">IF('Indicator Data'!D30="",IF(Config!$C$15="Score as High (5)",5,0),IF(Indicators!$F30="Higher = riskier",1+('Indicator Data'!D30&gt;=Indicators!$G30)+('Indicator Data'!D30&gt;=Indicators!$H30)+('Indicator Data'!D30&gt;=Indicators!$I30)+('Indicator Data'!D30&gt;=Indicators!$J30),1+('Indicator Data'!D30&lt;=Indicators!$G30)+('Indicator Data'!D30&lt;=Indicators!$H30)+('Indicator Data'!D30&lt;=Indicators!$I30)+('Indicator Data'!D30&lt;=Indicators!$J30)))</f>
        <v>3</v>
      </c>
      <c r="E30" s="27" t="n">
        <f aca="false">IF('Indicator Data'!E30="",IF(Config!$C$15="Score as High (5)",5,0),IF(Indicators!$F30="Higher = riskier",1+('Indicator Data'!E30&gt;=Indicators!$G30)+('Indicator Data'!E30&gt;=Indicators!$H30)+('Indicator Data'!E30&gt;=Indicators!$I30)+('Indicator Data'!E30&gt;=Indicators!$J30),1+('Indicator Data'!E30&lt;=Indicators!$G30)+('Indicator Data'!E30&lt;=Indicators!$H30)+('Indicator Data'!E30&lt;=Indicators!$I30)+('Indicator Data'!E30&lt;=Indicators!$J30)))</f>
        <v>4</v>
      </c>
      <c r="F30" s="27" t="n">
        <f aca="false">IF('Indicator Data'!F30="",IF(Config!$C$15="Score as High (5)",5,0),IF(Indicators!$F30="Higher = riskier",1+('Indicator Data'!F30&gt;=Indicators!$G30)+('Indicator Data'!F30&gt;=Indicators!$H30)+('Indicator Data'!F30&gt;=Indicators!$I30)+('Indicator Data'!F30&gt;=Indicators!$J30),1+('Indicator Data'!F30&lt;=Indicators!$G30)+('Indicator Data'!F30&lt;=Indicators!$H30)+('Indicator Data'!F30&lt;=Indicators!$I30)+('Indicator Data'!F30&lt;=Indicators!$J30)))</f>
        <v>1</v>
      </c>
      <c r="G30" s="27" t="n">
        <f aca="false">IF('Indicator Data'!G30="",IF(Config!$C$15="Score as High (5)",5,0),IF(Indicators!$F30="Higher = riskier",1+('Indicator Data'!G30&gt;=Indicators!$G30)+('Indicator Data'!G30&gt;=Indicators!$H30)+('Indicator Data'!G30&gt;=Indicators!$I30)+('Indicator Data'!G30&gt;=Indicators!$J30),1+('Indicator Data'!G30&lt;=Indicators!$G30)+('Indicator Data'!G30&lt;=Indicators!$H30)+('Indicator Data'!G30&lt;=Indicators!$I30)+('Indicator Data'!G30&lt;=Indicators!$J30)))</f>
        <v>1</v>
      </c>
      <c r="H30" s="27" t="n">
        <f aca="false">IF('Indicator Data'!H30="",IF(Config!$C$15="Score as High (5)",5,0),IF(Indicators!$F30="Higher = riskier",1+('Indicator Data'!H30&gt;=Indicators!$G30)+('Indicator Data'!H30&gt;=Indicators!$H30)+('Indicator Data'!H30&gt;=Indicators!$I30)+('Indicator Data'!H30&gt;=Indicators!$J30),1+('Indicator Data'!H30&lt;=Indicators!$G30)+('Indicator Data'!H30&lt;=Indicators!$H30)+('Indicator Data'!H30&lt;=Indicators!$I30)+('Indicator Data'!H30&lt;=Indicators!$J30)))</f>
        <v>1</v>
      </c>
      <c r="I30" s="27" t="n">
        <f aca="false">IF('Indicator Data'!I30="",IF(Config!$C$15="Score as High (5)",5,0),IF(Indicators!$F30="Higher = riskier",1+('Indicator Data'!I30&gt;=Indicators!$G30)+('Indicator Data'!I30&gt;=Indicators!$H30)+('Indicator Data'!I30&gt;=Indicators!$I30)+('Indicator Data'!I30&gt;=Indicators!$J30),1+('Indicator Data'!I30&lt;=Indicators!$G30)+('Indicator Data'!I30&lt;=Indicators!$H30)+('Indicator Data'!I30&lt;=Indicators!$I30)+('Indicator Data'!I30&lt;=Indicators!$J30)))</f>
        <v>4</v>
      </c>
      <c r="J30" s="27" t="n">
        <f aca="false">IF('Indicator Data'!J30="",IF(Config!$C$15="Score as High (5)",5,0),IF(Indicators!$F30="Higher = riskier",1+('Indicator Data'!J30&gt;=Indicators!$G30)+('Indicator Data'!J30&gt;=Indicators!$H30)+('Indicator Data'!J30&gt;=Indicators!$I30)+('Indicator Data'!J30&gt;=Indicators!$J30),1+('Indicator Data'!J30&lt;=Indicators!$G30)+('Indicator Data'!J30&lt;=Indicators!$H30)+('Indicator Data'!J30&lt;=Indicators!$I30)+('Indicator Data'!J30&lt;=Indicators!$J30)))</f>
        <v>1</v>
      </c>
      <c r="K30" s="27" t="n">
        <f aca="false">IF('Indicator Data'!K30="",IF(Config!$C$15="Score as High (5)",5,0),IF(Indicators!$F30="Higher = riskier",1+('Indicator Data'!K30&gt;=Indicators!$G30)+('Indicator Data'!K30&gt;=Indicators!$H30)+('Indicator Data'!K30&gt;=Indicators!$I30)+('Indicator Data'!K30&gt;=Indicators!$J30),1+('Indicator Data'!K30&lt;=Indicators!$G30)+('Indicator Data'!K30&lt;=Indicators!$H30)+('Indicator Data'!K30&lt;=Indicators!$I30)+('Indicator Data'!K30&lt;=Indicators!$J30)))</f>
        <v>5</v>
      </c>
      <c r="L30" s="27" t="n">
        <f aca="false">IF('Indicator Data'!L30="",IF(Config!$C$15="Score as High (5)",5,0),IF(Indicators!$F30="Higher = riskier",1+('Indicator Data'!L30&gt;=Indicators!$G30)+('Indicator Data'!L30&gt;=Indicators!$H30)+('Indicator Data'!L30&gt;=Indicators!$I30)+('Indicator Data'!L30&gt;=Indicators!$J30),1+('Indicator Data'!L30&lt;=Indicators!$G30)+('Indicator Data'!L30&lt;=Indicators!$H30)+('Indicator Data'!L30&lt;=Indicators!$I30)+('Indicator Data'!L30&lt;=Indicators!$J30)))</f>
        <v>4</v>
      </c>
      <c r="M30" s="27" t="n">
        <f aca="false">IF('Indicator Data'!M30="",IF(Config!$C$15="Score as High (5)",5,0),IF(Indicators!$F30="Higher = riskier",1+('Indicator Data'!M30&gt;=Indicators!$G30)+('Indicator Data'!M30&gt;=Indicators!$H30)+('Indicator Data'!M30&gt;=Indicators!$I30)+('Indicator Data'!M30&gt;=Indicators!$J30),1+('Indicator Data'!M30&lt;=Indicators!$G30)+('Indicator Data'!M30&lt;=Indicators!$H30)+('Indicator Data'!M30&lt;=Indicators!$I30)+('Indicator Data'!M30&lt;=Indicators!$J30)))</f>
        <v>2</v>
      </c>
      <c r="N30" s="27" t="n">
        <f aca="false">IF('Indicator Data'!N30="",IF(Config!$C$15="Score as High (5)",5,0),IF(Indicators!$F30="Higher = riskier",1+('Indicator Data'!N30&gt;=Indicators!$G30)+('Indicator Data'!N30&gt;=Indicators!$H30)+('Indicator Data'!N30&gt;=Indicators!$I30)+('Indicator Data'!N30&gt;=Indicators!$J30),1+('Indicator Data'!N30&lt;=Indicators!$G30)+('Indicator Data'!N30&lt;=Indicators!$H30)+('Indicator Data'!N30&lt;=Indicators!$I30)+('Indicator Data'!N30&lt;=Indicators!$J30)))</f>
        <v>4</v>
      </c>
      <c r="O30" s="27" t="n">
        <f aca="false">IF('Indicator Data'!O30="",IF(Config!$C$15="Score as High (5)",5,0),IF(Indicators!$F30="Higher = riskier",1+('Indicator Data'!O30&gt;=Indicators!$G30)+('Indicator Data'!O30&gt;=Indicators!$H30)+('Indicator Data'!O30&gt;=Indicators!$I30)+('Indicator Data'!O30&gt;=Indicators!$J30),1+('Indicator Data'!O30&lt;=Indicators!$G30)+('Indicator Data'!O30&lt;=Indicators!$H30)+('Indicator Data'!O30&lt;=Indicators!$I30)+('Indicator Data'!O30&lt;=Indicators!$J30)))</f>
        <v>3</v>
      </c>
      <c r="P30" s="27" t="n">
        <f aca="false">IF('Indicator Data'!P30="",IF(Config!$C$15="Score as High (5)",5,0),IF(Indicators!$F30="Higher = riskier",1+('Indicator Data'!P30&gt;=Indicators!$G30)+('Indicator Data'!P30&gt;=Indicators!$H30)+('Indicator Data'!P30&gt;=Indicators!$I30)+('Indicator Data'!P30&gt;=Indicators!$J30),1+('Indicator Data'!P30&lt;=Indicators!$G30)+('Indicator Data'!P30&lt;=Indicators!$H30)+('Indicator Data'!P30&lt;=Indicators!$I30)+('Indicator Data'!P30&lt;=Indicators!$J30)))</f>
        <v>3</v>
      </c>
      <c r="Q30" s="27" t="n">
        <f aca="false">IF('Indicator Data'!Q30="",IF(Config!$C$15="Score as High (5)",5,0),IF(Indicators!$F30="Higher = riskier",1+('Indicator Data'!Q30&gt;=Indicators!$G30)+('Indicator Data'!Q30&gt;=Indicators!$H30)+('Indicator Data'!Q30&gt;=Indicators!$I30)+('Indicator Data'!Q30&gt;=Indicators!$J30),1+('Indicator Data'!Q30&lt;=Indicators!$G30)+('Indicator Data'!Q30&lt;=Indicators!$H30)+('Indicator Data'!Q30&lt;=Indicators!$I30)+('Indicator Data'!Q30&lt;=Indicators!$J30)))</f>
        <v>3</v>
      </c>
      <c r="R30" s="27" t="n">
        <f aca="false">IF('Indicator Data'!R30="",IF(Config!$C$15="Score as High (5)",5,0),IF(Indicators!$F30="Higher = riskier",1+('Indicator Data'!R30&gt;=Indicators!$G30)+('Indicator Data'!R30&gt;=Indicators!$H30)+('Indicator Data'!R30&gt;=Indicators!$I30)+('Indicator Data'!R30&gt;=Indicators!$J30),1+('Indicator Data'!R30&lt;=Indicators!$G30)+('Indicator Data'!R30&lt;=Indicators!$H30)+('Indicator Data'!R30&lt;=Indicators!$I30)+('Indicator Data'!R30&lt;=Indicators!$J30)))</f>
        <v>5</v>
      </c>
      <c r="S30" s="27" t="n">
        <f aca="false">IF('Indicator Data'!S30="",IF(Config!$C$15="Score as High (5)",5,0),IF(Indicators!$F30="Higher = riskier",1+('Indicator Data'!S30&gt;=Indicators!$G30)+('Indicator Data'!S30&gt;=Indicators!$H30)+('Indicator Data'!S30&gt;=Indicators!$I30)+('Indicator Data'!S30&gt;=Indicators!$J30),1+('Indicator Data'!S30&lt;=Indicators!$G30)+('Indicator Data'!S30&lt;=Indicators!$H30)+('Indicator Data'!S30&lt;=Indicators!$I30)+('Indicator Data'!S30&lt;=Indicators!$J30)))</f>
        <v>3</v>
      </c>
      <c r="T30" s="27" t="n">
        <f aca="false">IF('Indicator Data'!T30="",IF(Config!$C$15="Score as High (5)",5,0),IF(Indicators!$F30="Higher = riskier",1+('Indicator Data'!T30&gt;=Indicators!$G30)+('Indicator Data'!T30&gt;=Indicators!$H30)+('Indicator Data'!T30&gt;=Indicators!$I30)+('Indicator Data'!T30&gt;=Indicators!$J30),1+('Indicator Data'!T30&lt;=Indicators!$G30)+('Indicator Data'!T30&lt;=Indicators!$H30)+('Indicator Data'!T30&lt;=Indicators!$I30)+('Indicator Data'!T30&lt;=Indicators!$J30)))</f>
        <v>2</v>
      </c>
      <c r="U30" s="27" t="n">
        <f aca="false">IF('Indicator Data'!U30="",IF(Config!$C$15="Score as High (5)",5,0),IF(Indicators!$F30="Higher = riskier",1+('Indicator Data'!U30&gt;=Indicators!$G30)+('Indicator Data'!U30&gt;=Indicators!$H30)+('Indicator Data'!U30&gt;=Indicators!$I30)+('Indicator Data'!U30&gt;=Indicators!$J30),1+('Indicator Data'!U30&lt;=Indicators!$G30)+('Indicator Data'!U30&lt;=Indicators!$H30)+('Indicator Data'!U30&lt;=Indicators!$I30)+('Indicator Data'!U30&lt;=Indicators!$J30)))</f>
        <v>3</v>
      </c>
      <c r="V30" s="27" t="n">
        <f aca="false">IF('Indicator Data'!V30="",IF(Config!$C$15="Score as High (5)",5,0),IF(Indicators!$F30="Higher = riskier",1+('Indicator Data'!V30&gt;=Indicators!$G30)+('Indicator Data'!V30&gt;=Indicators!$H30)+('Indicator Data'!V30&gt;=Indicators!$I30)+('Indicator Data'!V30&gt;=Indicators!$J30),1+('Indicator Data'!V30&lt;=Indicators!$G30)+('Indicator Data'!V30&lt;=Indicators!$H30)+('Indicator Data'!V30&lt;=Indicators!$I30)+('Indicator Data'!V30&lt;=Indicators!$J30)))</f>
        <v>3</v>
      </c>
      <c r="W30" s="27" t="n">
        <f aca="false">IF('Indicator Data'!W30="",IF(Config!$C$15="Score as High (5)",5,0),IF(Indicators!$F30="Higher = riskier",1+('Indicator Data'!W30&gt;=Indicators!$G30)+('Indicator Data'!W30&gt;=Indicators!$H30)+('Indicator Data'!W30&gt;=Indicators!$I30)+('Indicator Data'!W30&gt;=Indicators!$J30),1+('Indicator Data'!W30&lt;=Indicators!$G30)+('Indicator Data'!W30&lt;=Indicators!$H30)+('Indicator Data'!W30&lt;=Indicators!$I30)+('Indicator Data'!W30&lt;=Indicators!$J30)))</f>
        <v>4</v>
      </c>
      <c r="X30" s="27" t="n">
        <f aca="false">IF('Indicator Data'!X30="",IF(Config!$C$15="Score as High (5)",5,0),IF(Indicators!$F30="Higher = riskier",1+('Indicator Data'!X30&gt;=Indicators!$G30)+('Indicator Data'!X30&gt;=Indicators!$H30)+('Indicator Data'!X30&gt;=Indicators!$I30)+('Indicator Data'!X30&gt;=Indicators!$J30),1+('Indicator Data'!X30&lt;=Indicators!$G30)+('Indicator Data'!X30&lt;=Indicators!$H30)+('Indicator Data'!X30&lt;=Indicators!$I30)+('Indicator Data'!X30&lt;=Indicators!$J30)))</f>
        <v>5</v>
      </c>
      <c r="Y30" s="27" t="n">
        <f aca="false">IF('Indicator Data'!Y30="",IF(Config!$C$15="Score as High (5)",5,0),IF(Indicators!$F30="Higher = riskier",1+('Indicator Data'!Y30&gt;=Indicators!$G30)+('Indicator Data'!Y30&gt;=Indicators!$H30)+('Indicator Data'!Y30&gt;=Indicators!$I30)+('Indicator Data'!Y30&gt;=Indicators!$J30),1+('Indicator Data'!Y30&lt;=Indicators!$G30)+('Indicator Data'!Y30&lt;=Indicators!$H30)+('Indicator Data'!Y30&lt;=Indicators!$I30)+('Indicator Data'!Y30&lt;=Indicators!$J30)))</f>
        <v>1</v>
      </c>
      <c r="Z30" s="27" t="n">
        <f aca="false">IF('Indicator Data'!Z30="",IF(Config!$C$15="Score as High (5)",5,0),IF(Indicators!$F30="Higher = riskier",1+('Indicator Data'!Z30&gt;=Indicators!$G30)+('Indicator Data'!Z30&gt;=Indicators!$H30)+('Indicator Data'!Z30&gt;=Indicators!$I30)+('Indicator Data'!Z30&gt;=Indicators!$J30),1+('Indicator Data'!Z30&lt;=Indicators!$G30)+('Indicator Data'!Z30&lt;=Indicators!$H30)+('Indicator Data'!Z30&lt;=Indicators!$I30)+('Indicator Data'!Z30&lt;=Indicators!$J30)))</f>
        <v>2</v>
      </c>
      <c r="AA30" s="27" t="n">
        <f aca="false">IF('Indicator Data'!AA30="",IF(Config!$C$15="Score as High (5)",5,0),IF(Indicators!$F30="Higher = riskier",1+('Indicator Data'!AA30&gt;=Indicators!$G30)+('Indicator Data'!AA30&gt;=Indicators!$H30)+('Indicator Data'!AA30&gt;=Indicators!$I30)+('Indicator Data'!AA30&gt;=Indicators!$J30),1+('Indicator Data'!AA30&lt;=Indicators!$G30)+('Indicator Data'!AA30&lt;=Indicators!$H30)+('Indicator Data'!AA30&lt;=Indicators!$I30)+('Indicator Data'!AA30&lt;=Indicators!$J30)))</f>
        <v>1</v>
      </c>
      <c r="AB30" s="27" t="n">
        <f aca="false">IF('Indicator Data'!AB30="",IF(Config!$C$15="Score as High (5)",5,0),IF(Indicators!$F30="Higher = riskier",1+('Indicator Data'!AB30&gt;=Indicators!$G30)+('Indicator Data'!AB30&gt;=Indicators!$H30)+('Indicator Data'!AB30&gt;=Indicators!$I30)+('Indicator Data'!AB30&gt;=Indicators!$J30),1+('Indicator Data'!AB30&lt;=Indicators!$G30)+('Indicator Data'!AB30&lt;=Indicators!$H30)+('Indicator Data'!AB30&lt;=Indicators!$I30)+('Indicator Data'!AB30&lt;=Indicators!$J30)))</f>
        <v>2</v>
      </c>
      <c r="AC30" s="27" t="n">
        <f aca="false">IF('Indicator Data'!AC30="",IF(Config!$C$15="Score as High (5)",5,0),IF(Indicators!$F30="Higher = riskier",1+('Indicator Data'!AC30&gt;=Indicators!$G30)+('Indicator Data'!AC30&gt;=Indicators!$H30)+('Indicator Data'!AC30&gt;=Indicators!$I30)+('Indicator Data'!AC30&gt;=Indicators!$J30),1+('Indicator Data'!AC30&lt;=Indicators!$G30)+('Indicator Data'!AC30&lt;=Indicators!$H30)+('Indicator Data'!AC30&lt;=Indicators!$I30)+('Indicator Data'!AC30&lt;=Indicators!$J30)))</f>
        <v>1</v>
      </c>
      <c r="AD30" s="27" t="n">
        <f aca="false">IF('Indicator Data'!AD30="",IF(Config!$C$15="Score as High (5)",5,0),IF(Indicators!$F30="Higher = riskier",1+('Indicator Data'!AD30&gt;=Indicators!$G30)+('Indicator Data'!AD30&gt;=Indicators!$H30)+('Indicator Data'!AD30&gt;=Indicators!$I30)+('Indicator Data'!AD30&gt;=Indicators!$J30),1+('Indicator Data'!AD30&lt;=Indicators!$G30)+('Indicator Data'!AD30&lt;=Indicators!$H30)+('Indicator Data'!AD30&lt;=Indicators!$I30)+('Indicator Data'!AD30&lt;=Indicators!$J30)))</f>
        <v>2</v>
      </c>
      <c r="AE30" s="27" t="n">
        <f aca="false">IF('Indicator Data'!AE30="",IF(Config!$C$15="Score as High (5)",5,0),IF(Indicators!$F30="Higher = riskier",1+('Indicator Data'!AE30&gt;=Indicators!$G30)+('Indicator Data'!AE30&gt;=Indicators!$H30)+('Indicator Data'!AE30&gt;=Indicators!$I30)+('Indicator Data'!AE30&gt;=Indicators!$J30),1+('Indicator Data'!AE30&lt;=Indicators!$G30)+('Indicator Data'!AE30&lt;=Indicators!$H30)+('Indicator Data'!AE30&lt;=Indicators!$I30)+('Indicator Data'!AE30&lt;=Indicators!$J30)))</f>
        <v>1</v>
      </c>
      <c r="AF30" s="27" t="n">
        <f aca="false">IF('Indicator Data'!AF30="",IF(Config!$C$15="Score as High (5)",5,0),IF(Indicators!$F30="Higher = riskier",1+('Indicator Data'!AF30&gt;=Indicators!$G30)+('Indicator Data'!AF30&gt;=Indicators!$H30)+('Indicator Data'!AF30&gt;=Indicators!$I30)+('Indicator Data'!AF30&gt;=Indicators!$J30),1+('Indicator Data'!AF30&lt;=Indicators!$G30)+('Indicator Data'!AF30&lt;=Indicators!$H30)+('Indicator Data'!AF30&lt;=Indicators!$I30)+('Indicator Data'!AF30&lt;=Indicators!$J30)))</f>
        <v>1</v>
      </c>
      <c r="AG30" s="27" t="n">
        <f aca="false">IF('Indicator Data'!AG30="",IF(Config!$C$15="Score as High (5)",5,0),IF(Indicators!$F30="Higher = riskier",1+('Indicator Data'!AG30&gt;=Indicators!$G30)+('Indicator Data'!AG30&gt;=Indicators!$H30)+('Indicator Data'!AG30&gt;=Indicators!$I30)+('Indicator Data'!AG30&gt;=Indicators!$J30),1+('Indicator Data'!AG30&lt;=Indicators!$G30)+('Indicator Data'!AG30&lt;=Indicators!$H30)+('Indicator Data'!AG30&lt;=Indicators!$I30)+('Indicator Data'!AG30&lt;=Indicators!$J30)))</f>
        <v>1</v>
      </c>
    </row>
    <row r="31" customFormat="false" ht="15" hidden="false" customHeight="false" outlineLevel="0" collapsed="false">
      <c r="A31" s="26" t="str">
        <f aca="false">Indicators!A31</f>
        <v>T03</v>
      </c>
      <c r="B31" s="26" t="str">
        <f aca="false">Indicators!C31</f>
        <v>Transactions above USD 1m per month</v>
      </c>
      <c r="C31" s="26" t="str">
        <f aca="false">Indicators!D31</f>
        <v>count</v>
      </c>
      <c r="D31" s="27" t="n">
        <f aca="false">IF('Indicator Data'!D31="",IF(Config!$C$15="Score as High (5)",5,0),IF(Indicators!$F31="Higher = riskier",1+('Indicator Data'!D31&gt;=Indicators!$G31)+('Indicator Data'!D31&gt;=Indicators!$H31)+('Indicator Data'!D31&gt;=Indicators!$I31)+('Indicator Data'!D31&gt;=Indicators!$J31),1+('Indicator Data'!D31&lt;=Indicators!$G31)+('Indicator Data'!D31&lt;=Indicators!$H31)+('Indicator Data'!D31&lt;=Indicators!$I31)+('Indicator Data'!D31&lt;=Indicators!$J31)))</f>
        <v>3</v>
      </c>
      <c r="E31" s="27" t="n">
        <f aca="false">IF('Indicator Data'!E31="",IF(Config!$C$15="Score as High (5)",5,0),IF(Indicators!$F31="Higher = riskier",1+('Indicator Data'!E31&gt;=Indicators!$G31)+('Indicator Data'!E31&gt;=Indicators!$H31)+('Indicator Data'!E31&gt;=Indicators!$I31)+('Indicator Data'!E31&gt;=Indicators!$J31),1+('Indicator Data'!E31&lt;=Indicators!$G31)+('Indicator Data'!E31&lt;=Indicators!$H31)+('Indicator Data'!E31&lt;=Indicators!$I31)+('Indicator Data'!E31&lt;=Indicators!$J31)))</f>
        <v>2</v>
      </c>
      <c r="F31" s="27" t="n">
        <f aca="false">IF('Indicator Data'!F31="",IF(Config!$C$15="Score as High (5)",5,0),IF(Indicators!$F31="Higher = riskier",1+('Indicator Data'!F31&gt;=Indicators!$G31)+('Indicator Data'!F31&gt;=Indicators!$H31)+('Indicator Data'!F31&gt;=Indicators!$I31)+('Indicator Data'!F31&gt;=Indicators!$J31),1+('Indicator Data'!F31&lt;=Indicators!$G31)+('Indicator Data'!F31&lt;=Indicators!$H31)+('Indicator Data'!F31&lt;=Indicators!$I31)+('Indicator Data'!F31&lt;=Indicators!$J31)))</f>
        <v>3</v>
      </c>
      <c r="G31" s="27" t="n">
        <f aca="false">IF('Indicator Data'!G31="",IF(Config!$C$15="Score as High (5)",5,0),IF(Indicators!$F31="Higher = riskier",1+('Indicator Data'!G31&gt;=Indicators!$G31)+('Indicator Data'!G31&gt;=Indicators!$H31)+('Indicator Data'!G31&gt;=Indicators!$I31)+('Indicator Data'!G31&gt;=Indicators!$J31),1+('Indicator Data'!G31&lt;=Indicators!$G31)+('Indicator Data'!G31&lt;=Indicators!$H31)+('Indicator Data'!G31&lt;=Indicators!$I31)+('Indicator Data'!G31&lt;=Indicators!$J31)))</f>
        <v>4</v>
      </c>
      <c r="H31" s="27" t="n">
        <f aca="false">IF('Indicator Data'!H31="",IF(Config!$C$15="Score as High (5)",5,0),IF(Indicators!$F31="Higher = riskier",1+('Indicator Data'!H31&gt;=Indicators!$G31)+('Indicator Data'!H31&gt;=Indicators!$H31)+('Indicator Data'!H31&gt;=Indicators!$I31)+('Indicator Data'!H31&gt;=Indicators!$J31),1+('Indicator Data'!H31&lt;=Indicators!$G31)+('Indicator Data'!H31&lt;=Indicators!$H31)+('Indicator Data'!H31&lt;=Indicators!$I31)+('Indicator Data'!H31&lt;=Indicators!$J31)))</f>
        <v>3</v>
      </c>
      <c r="I31" s="27" t="n">
        <f aca="false">IF('Indicator Data'!I31="",IF(Config!$C$15="Score as High (5)",5,0),IF(Indicators!$F31="Higher = riskier",1+('Indicator Data'!I31&gt;=Indicators!$G31)+('Indicator Data'!I31&gt;=Indicators!$H31)+('Indicator Data'!I31&gt;=Indicators!$I31)+('Indicator Data'!I31&gt;=Indicators!$J31),1+('Indicator Data'!I31&lt;=Indicators!$G31)+('Indicator Data'!I31&lt;=Indicators!$H31)+('Indicator Data'!I31&lt;=Indicators!$I31)+('Indicator Data'!I31&lt;=Indicators!$J31)))</f>
        <v>4</v>
      </c>
      <c r="J31" s="27" t="n">
        <f aca="false">IF('Indicator Data'!J31="",IF(Config!$C$15="Score as High (5)",5,0),IF(Indicators!$F31="Higher = riskier",1+('Indicator Data'!J31&gt;=Indicators!$G31)+('Indicator Data'!J31&gt;=Indicators!$H31)+('Indicator Data'!J31&gt;=Indicators!$I31)+('Indicator Data'!J31&gt;=Indicators!$J31),1+('Indicator Data'!J31&lt;=Indicators!$G31)+('Indicator Data'!J31&lt;=Indicators!$H31)+('Indicator Data'!J31&lt;=Indicators!$I31)+('Indicator Data'!J31&lt;=Indicators!$J31)))</f>
        <v>3</v>
      </c>
      <c r="K31" s="27" t="n">
        <f aca="false">IF('Indicator Data'!K31="",IF(Config!$C$15="Score as High (5)",5,0),IF(Indicators!$F31="Higher = riskier",1+('Indicator Data'!K31&gt;=Indicators!$G31)+('Indicator Data'!K31&gt;=Indicators!$H31)+('Indicator Data'!K31&gt;=Indicators!$I31)+('Indicator Data'!K31&gt;=Indicators!$J31),1+('Indicator Data'!K31&lt;=Indicators!$G31)+('Indicator Data'!K31&lt;=Indicators!$H31)+('Indicator Data'!K31&lt;=Indicators!$I31)+('Indicator Data'!K31&lt;=Indicators!$J31)))</f>
        <v>5</v>
      </c>
      <c r="L31" s="27" t="n">
        <f aca="false">IF('Indicator Data'!L31="",IF(Config!$C$15="Score as High (5)",5,0),IF(Indicators!$F31="Higher = riskier",1+('Indicator Data'!L31&gt;=Indicators!$G31)+('Indicator Data'!L31&gt;=Indicators!$H31)+('Indicator Data'!L31&gt;=Indicators!$I31)+('Indicator Data'!L31&gt;=Indicators!$J31),1+('Indicator Data'!L31&lt;=Indicators!$G31)+('Indicator Data'!L31&lt;=Indicators!$H31)+('Indicator Data'!L31&lt;=Indicators!$I31)+('Indicator Data'!L31&lt;=Indicators!$J31)))</f>
        <v>5</v>
      </c>
      <c r="M31" s="27" t="n">
        <f aca="false">IF('Indicator Data'!M31="",IF(Config!$C$15="Score as High (5)",5,0),IF(Indicators!$F31="Higher = riskier",1+('Indicator Data'!M31&gt;=Indicators!$G31)+('Indicator Data'!M31&gt;=Indicators!$H31)+('Indicator Data'!M31&gt;=Indicators!$I31)+('Indicator Data'!M31&gt;=Indicators!$J31),1+('Indicator Data'!M31&lt;=Indicators!$G31)+('Indicator Data'!M31&lt;=Indicators!$H31)+('Indicator Data'!M31&lt;=Indicators!$I31)+('Indicator Data'!M31&lt;=Indicators!$J31)))</f>
        <v>1</v>
      </c>
      <c r="N31" s="27" t="n">
        <f aca="false">IF('Indicator Data'!N31="",IF(Config!$C$15="Score as High (5)",5,0),IF(Indicators!$F31="Higher = riskier",1+('Indicator Data'!N31&gt;=Indicators!$G31)+('Indicator Data'!N31&gt;=Indicators!$H31)+('Indicator Data'!N31&gt;=Indicators!$I31)+('Indicator Data'!N31&gt;=Indicators!$J31),1+('Indicator Data'!N31&lt;=Indicators!$G31)+('Indicator Data'!N31&lt;=Indicators!$H31)+('Indicator Data'!N31&lt;=Indicators!$I31)+('Indicator Data'!N31&lt;=Indicators!$J31)))</f>
        <v>3</v>
      </c>
      <c r="O31" s="27" t="n">
        <f aca="false">IF('Indicator Data'!O31="",IF(Config!$C$15="Score as High (5)",5,0),IF(Indicators!$F31="Higher = riskier",1+('Indicator Data'!O31&gt;=Indicators!$G31)+('Indicator Data'!O31&gt;=Indicators!$H31)+('Indicator Data'!O31&gt;=Indicators!$I31)+('Indicator Data'!O31&gt;=Indicators!$J31),1+('Indicator Data'!O31&lt;=Indicators!$G31)+('Indicator Data'!O31&lt;=Indicators!$H31)+('Indicator Data'!O31&lt;=Indicators!$I31)+('Indicator Data'!O31&lt;=Indicators!$J31)))</f>
        <v>2</v>
      </c>
      <c r="P31" s="27" t="n">
        <f aca="false">IF('Indicator Data'!P31="",IF(Config!$C$15="Score as High (5)",5,0),IF(Indicators!$F31="Higher = riskier",1+('Indicator Data'!P31&gt;=Indicators!$G31)+('Indicator Data'!P31&gt;=Indicators!$H31)+('Indicator Data'!P31&gt;=Indicators!$I31)+('Indicator Data'!P31&gt;=Indicators!$J31),1+('Indicator Data'!P31&lt;=Indicators!$G31)+('Indicator Data'!P31&lt;=Indicators!$H31)+('Indicator Data'!P31&lt;=Indicators!$I31)+('Indicator Data'!P31&lt;=Indicators!$J31)))</f>
        <v>3</v>
      </c>
      <c r="Q31" s="27" t="n">
        <f aca="false">IF('Indicator Data'!Q31="",IF(Config!$C$15="Score as High (5)",5,0),IF(Indicators!$F31="Higher = riskier",1+('Indicator Data'!Q31&gt;=Indicators!$G31)+('Indicator Data'!Q31&gt;=Indicators!$H31)+('Indicator Data'!Q31&gt;=Indicators!$I31)+('Indicator Data'!Q31&gt;=Indicators!$J31),1+('Indicator Data'!Q31&lt;=Indicators!$G31)+('Indicator Data'!Q31&lt;=Indicators!$H31)+('Indicator Data'!Q31&lt;=Indicators!$I31)+('Indicator Data'!Q31&lt;=Indicators!$J31)))</f>
        <v>3</v>
      </c>
      <c r="R31" s="27" t="n">
        <f aca="false">IF('Indicator Data'!R31="",IF(Config!$C$15="Score as High (5)",5,0),IF(Indicators!$F31="Higher = riskier",1+('Indicator Data'!R31&gt;=Indicators!$G31)+('Indicator Data'!R31&gt;=Indicators!$H31)+('Indicator Data'!R31&gt;=Indicators!$I31)+('Indicator Data'!R31&gt;=Indicators!$J31),1+('Indicator Data'!R31&lt;=Indicators!$G31)+('Indicator Data'!R31&lt;=Indicators!$H31)+('Indicator Data'!R31&lt;=Indicators!$I31)+('Indicator Data'!R31&lt;=Indicators!$J31)))</f>
        <v>3</v>
      </c>
      <c r="S31" s="27" t="n">
        <f aca="false">IF('Indicator Data'!S31="",IF(Config!$C$15="Score as High (5)",5,0),IF(Indicators!$F31="Higher = riskier",1+('Indicator Data'!S31&gt;=Indicators!$G31)+('Indicator Data'!S31&gt;=Indicators!$H31)+('Indicator Data'!S31&gt;=Indicators!$I31)+('Indicator Data'!S31&gt;=Indicators!$J31),1+('Indicator Data'!S31&lt;=Indicators!$G31)+('Indicator Data'!S31&lt;=Indicators!$H31)+('Indicator Data'!S31&lt;=Indicators!$I31)+('Indicator Data'!S31&lt;=Indicators!$J31)))</f>
        <v>4</v>
      </c>
      <c r="T31" s="27" t="n">
        <f aca="false">IF('Indicator Data'!T31="",IF(Config!$C$15="Score as High (5)",5,0),IF(Indicators!$F31="Higher = riskier",1+('Indicator Data'!T31&gt;=Indicators!$G31)+('Indicator Data'!T31&gt;=Indicators!$H31)+('Indicator Data'!T31&gt;=Indicators!$I31)+('Indicator Data'!T31&gt;=Indicators!$J31),1+('Indicator Data'!T31&lt;=Indicators!$G31)+('Indicator Data'!T31&lt;=Indicators!$H31)+('Indicator Data'!T31&lt;=Indicators!$I31)+('Indicator Data'!T31&lt;=Indicators!$J31)))</f>
        <v>4</v>
      </c>
      <c r="U31" s="27" t="n">
        <f aca="false">IF('Indicator Data'!U31="",IF(Config!$C$15="Score as High (5)",5,0),IF(Indicators!$F31="Higher = riskier",1+('Indicator Data'!U31&gt;=Indicators!$G31)+('Indicator Data'!U31&gt;=Indicators!$H31)+('Indicator Data'!U31&gt;=Indicators!$I31)+('Indicator Data'!U31&gt;=Indicators!$J31),1+('Indicator Data'!U31&lt;=Indicators!$G31)+('Indicator Data'!U31&lt;=Indicators!$H31)+('Indicator Data'!U31&lt;=Indicators!$I31)+('Indicator Data'!U31&lt;=Indicators!$J31)))</f>
        <v>4</v>
      </c>
      <c r="V31" s="27" t="n">
        <f aca="false">IF('Indicator Data'!V31="",IF(Config!$C$15="Score as High (5)",5,0),IF(Indicators!$F31="Higher = riskier",1+('Indicator Data'!V31&gt;=Indicators!$G31)+('Indicator Data'!V31&gt;=Indicators!$H31)+('Indicator Data'!V31&gt;=Indicators!$I31)+('Indicator Data'!V31&gt;=Indicators!$J31),1+('Indicator Data'!V31&lt;=Indicators!$G31)+('Indicator Data'!V31&lt;=Indicators!$H31)+('Indicator Data'!V31&lt;=Indicators!$I31)+('Indicator Data'!V31&lt;=Indicators!$J31)))</f>
        <v>3</v>
      </c>
      <c r="W31" s="27" t="n">
        <f aca="false">IF('Indicator Data'!W31="",IF(Config!$C$15="Score as High (5)",5,0),IF(Indicators!$F31="Higher = riskier",1+('Indicator Data'!W31&gt;=Indicators!$G31)+('Indicator Data'!W31&gt;=Indicators!$H31)+('Indicator Data'!W31&gt;=Indicators!$I31)+('Indicator Data'!W31&gt;=Indicators!$J31),1+('Indicator Data'!W31&lt;=Indicators!$G31)+('Indicator Data'!W31&lt;=Indicators!$H31)+('Indicator Data'!W31&lt;=Indicators!$I31)+('Indicator Data'!W31&lt;=Indicators!$J31)))</f>
        <v>3</v>
      </c>
      <c r="X31" s="27" t="n">
        <f aca="false">IF('Indicator Data'!X31="",IF(Config!$C$15="Score as High (5)",5,0),IF(Indicators!$F31="Higher = riskier",1+('Indicator Data'!X31&gt;=Indicators!$G31)+('Indicator Data'!X31&gt;=Indicators!$H31)+('Indicator Data'!X31&gt;=Indicators!$I31)+('Indicator Data'!X31&gt;=Indicators!$J31),1+('Indicator Data'!X31&lt;=Indicators!$G31)+('Indicator Data'!X31&lt;=Indicators!$H31)+('Indicator Data'!X31&lt;=Indicators!$I31)+('Indicator Data'!X31&lt;=Indicators!$J31)))</f>
        <v>3</v>
      </c>
      <c r="Y31" s="27" t="n">
        <f aca="false">IF('Indicator Data'!Y31="",IF(Config!$C$15="Score as High (5)",5,0),IF(Indicators!$F31="Higher = riskier",1+('Indicator Data'!Y31&gt;=Indicators!$G31)+('Indicator Data'!Y31&gt;=Indicators!$H31)+('Indicator Data'!Y31&gt;=Indicators!$I31)+('Indicator Data'!Y31&gt;=Indicators!$J31),1+('Indicator Data'!Y31&lt;=Indicators!$G31)+('Indicator Data'!Y31&lt;=Indicators!$H31)+('Indicator Data'!Y31&lt;=Indicators!$I31)+('Indicator Data'!Y31&lt;=Indicators!$J31)))</f>
        <v>2</v>
      </c>
      <c r="Z31" s="27" t="n">
        <f aca="false">IF('Indicator Data'!Z31="",IF(Config!$C$15="Score as High (5)",5,0),IF(Indicators!$F31="Higher = riskier",1+('Indicator Data'!Z31&gt;=Indicators!$G31)+('Indicator Data'!Z31&gt;=Indicators!$H31)+('Indicator Data'!Z31&gt;=Indicators!$I31)+('Indicator Data'!Z31&gt;=Indicators!$J31),1+('Indicator Data'!Z31&lt;=Indicators!$G31)+('Indicator Data'!Z31&lt;=Indicators!$H31)+('Indicator Data'!Z31&lt;=Indicators!$I31)+('Indicator Data'!Z31&lt;=Indicators!$J31)))</f>
        <v>2</v>
      </c>
      <c r="AA31" s="27" t="n">
        <f aca="false">IF('Indicator Data'!AA31="",IF(Config!$C$15="Score as High (5)",5,0),IF(Indicators!$F31="Higher = riskier",1+('Indicator Data'!AA31&gt;=Indicators!$G31)+('Indicator Data'!AA31&gt;=Indicators!$H31)+('Indicator Data'!AA31&gt;=Indicators!$I31)+('Indicator Data'!AA31&gt;=Indicators!$J31),1+('Indicator Data'!AA31&lt;=Indicators!$G31)+('Indicator Data'!AA31&lt;=Indicators!$H31)+('Indicator Data'!AA31&lt;=Indicators!$I31)+('Indicator Data'!AA31&lt;=Indicators!$J31)))</f>
        <v>2</v>
      </c>
      <c r="AB31" s="27" t="n">
        <f aca="false">IF('Indicator Data'!AB31="",IF(Config!$C$15="Score as High (5)",5,0),IF(Indicators!$F31="Higher = riskier",1+('Indicator Data'!AB31&gt;=Indicators!$G31)+('Indicator Data'!AB31&gt;=Indicators!$H31)+('Indicator Data'!AB31&gt;=Indicators!$I31)+('Indicator Data'!AB31&gt;=Indicators!$J31),1+('Indicator Data'!AB31&lt;=Indicators!$G31)+('Indicator Data'!AB31&lt;=Indicators!$H31)+('Indicator Data'!AB31&lt;=Indicators!$I31)+('Indicator Data'!AB31&lt;=Indicators!$J31)))</f>
        <v>2</v>
      </c>
      <c r="AC31" s="27" t="n">
        <f aca="false">IF('Indicator Data'!AC31="",IF(Config!$C$15="Score as High (5)",5,0),IF(Indicators!$F31="Higher = riskier",1+('Indicator Data'!AC31&gt;=Indicators!$G31)+('Indicator Data'!AC31&gt;=Indicators!$H31)+('Indicator Data'!AC31&gt;=Indicators!$I31)+('Indicator Data'!AC31&gt;=Indicators!$J31),1+('Indicator Data'!AC31&lt;=Indicators!$G31)+('Indicator Data'!AC31&lt;=Indicators!$H31)+('Indicator Data'!AC31&lt;=Indicators!$I31)+('Indicator Data'!AC31&lt;=Indicators!$J31)))</f>
        <v>3</v>
      </c>
      <c r="AD31" s="27" t="n">
        <f aca="false">IF('Indicator Data'!AD31="",IF(Config!$C$15="Score as High (5)",5,0),IF(Indicators!$F31="Higher = riskier",1+('Indicator Data'!AD31&gt;=Indicators!$G31)+('Indicator Data'!AD31&gt;=Indicators!$H31)+('Indicator Data'!AD31&gt;=Indicators!$I31)+('Indicator Data'!AD31&gt;=Indicators!$J31),1+('Indicator Data'!AD31&lt;=Indicators!$G31)+('Indicator Data'!AD31&lt;=Indicators!$H31)+('Indicator Data'!AD31&lt;=Indicators!$I31)+('Indicator Data'!AD31&lt;=Indicators!$J31)))</f>
        <v>2</v>
      </c>
      <c r="AE31" s="27" t="n">
        <f aca="false">IF('Indicator Data'!AE31="",IF(Config!$C$15="Score as High (5)",5,0),IF(Indicators!$F31="Higher = riskier",1+('Indicator Data'!AE31&gt;=Indicators!$G31)+('Indicator Data'!AE31&gt;=Indicators!$H31)+('Indicator Data'!AE31&gt;=Indicators!$I31)+('Indicator Data'!AE31&gt;=Indicators!$J31),1+('Indicator Data'!AE31&lt;=Indicators!$G31)+('Indicator Data'!AE31&lt;=Indicators!$H31)+('Indicator Data'!AE31&lt;=Indicators!$I31)+('Indicator Data'!AE31&lt;=Indicators!$J31)))</f>
        <v>2</v>
      </c>
      <c r="AF31" s="27" t="n">
        <f aca="false">IF('Indicator Data'!AF31="",IF(Config!$C$15="Score as High (5)",5,0),IF(Indicators!$F31="Higher = riskier",1+('Indicator Data'!AF31&gt;=Indicators!$G31)+('Indicator Data'!AF31&gt;=Indicators!$H31)+('Indicator Data'!AF31&gt;=Indicators!$I31)+('Indicator Data'!AF31&gt;=Indicators!$J31),1+('Indicator Data'!AF31&lt;=Indicators!$G31)+('Indicator Data'!AF31&lt;=Indicators!$H31)+('Indicator Data'!AF31&lt;=Indicators!$I31)+('Indicator Data'!AF31&lt;=Indicators!$J31)))</f>
        <v>1</v>
      </c>
      <c r="AG31" s="27" t="n">
        <f aca="false">IF('Indicator Data'!AG31="",IF(Config!$C$15="Score as High (5)",5,0),IF(Indicators!$F31="Higher = riskier",1+('Indicator Data'!AG31&gt;=Indicators!$G31)+('Indicator Data'!AG31&gt;=Indicators!$H31)+('Indicator Data'!AG31&gt;=Indicators!$I31)+('Indicator Data'!AG31&gt;=Indicators!$J31),1+('Indicator Data'!AG31&lt;=Indicators!$G31)+('Indicator Data'!AG31&lt;=Indicators!$H31)+('Indicator Data'!AG31&lt;=Indicators!$I31)+('Indicator Data'!AG31&lt;=Indicators!$J31)))</f>
        <v>0</v>
      </c>
    </row>
    <row r="32" customFormat="false" ht="15" hidden="false" customHeight="false" outlineLevel="0" collapsed="false">
      <c r="A32" s="26" t="str">
        <f aca="false">Indicators!A32</f>
        <v>T04</v>
      </c>
      <c r="B32" s="26" t="str">
        <f aca="false">Indicators!C32</f>
        <v>TM alerts per 1,000 customers per month</v>
      </c>
      <c r="C32" s="26" t="str">
        <f aca="false">Indicators!D32</f>
        <v>count</v>
      </c>
      <c r="D32" s="27" t="n">
        <f aca="false">IF('Indicator Data'!D32="",IF(Config!$C$15="Score as High (5)",5,0),IF(Indicators!$F32="Higher = riskier",1+('Indicator Data'!D32&gt;=Indicators!$G32)+('Indicator Data'!D32&gt;=Indicators!$H32)+('Indicator Data'!D32&gt;=Indicators!$I32)+('Indicator Data'!D32&gt;=Indicators!$J32),1+('Indicator Data'!D32&lt;=Indicators!$G32)+('Indicator Data'!D32&lt;=Indicators!$H32)+('Indicator Data'!D32&lt;=Indicators!$I32)+('Indicator Data'!D32&lt;=Indicators!$J32)))</f>
        <v>2</v>
      </c>
      <c r="E32" s="27" t="n">
        <f aca="false">IF('Indicator Data'!E32="",IF(Config!$C$15="Score as High (5)",5,0),IF(Indicators!$F32="Higher = riskier",1+('Indicator Data'!E32&gt;=Indicators!$G32)+('Indicator Data'!E32&gt;=Indicators!$H32)+('Indicator Data'!E32&gt;=Indicators!$I32)+('Indicator Data'!E32&gt;=Indicators!$J32),1+('Indicator Data'!E32&lt;=Indicators!$G32)+('Indicator Data'!E32&lt;=Indicators!$H32)+('Indicator Data'!E32&lt;=Indicators!$I32)+('Indicator Data'!E32&lt;=Indicators!$J32)))</f>
        <v>3</v>
      </c>
      <c r="F32" s="27" t="n">
        <f aca="false">IF('Indicator Data'!F32="",IF(Config!$C$15="Score as High (5)",5,0),IF(Indicators!$F32="Higher = riskier",1+('Indicator Data'!F32&gt;=Indicators!$G32)+('Indicator Data'!F32&gt;=Indicators!$H32)+('Indicator Data'!F32&gt;=Indicators!$I32)+('Indicator Data'!F32&gt;=Indicators!$J32),1+('Indicator Data'!F32&lt;=Indicators!$G32)+('Indicator Data'!F32&lt;=Indicators!$H32)+('Indicator Data'!F32&lt;=Indicators!$I32)+('Indicator Data'!F32&lt;=Indicators!$J32)))</f>
        <v>2</v>
      </c>
      <c r="G32" s="27" t="n">
        <f aca="false">IF('Indicator Data'!G32="",IF(Config!$C$15="Score as High (5)",5,0),IF(Indicators!$F32="Higher = riskier",1+('Indicator Data'!G32&gt;=Indicators!$G32)+('Indicator Data'!G32&gt;=Indicators!$H32)+('Indicator Data'!G32&gt;=Indicators!$I32)+('Indicator Data'!G32&gt;=Indicators!$J32),1+('Indicator Data'!G32&lt;=Indicators!$G32)+('Indicator Data'!G32&lt;=Indicators!$H32)+('Indicator Data'!G32&lt;=Indicators!$I32)+('Indicator Data'!G32&lt;=Indicators!$J32)))</f>
        <v>3</v>
      </c>
      <c r="H32" s="27" t="n">
        <f aca="false">IF('Indicator Data'!H32="",IF(Config!$C$15="Score as High (5)",5,0),IF(Indicators!$F32="Higher = riskier",1+('Indicator Data'!H32&gt;=Indicators!$G32)+('Indicator Data'!H32&gt;=Indicators!$H32)+('Indicator Data'!H32&gt;=Indicators!$I32)+('Indicator Data'!H32&gt;=Indicators!$J32),1+('Indicator Data'!H32&lt;=Indicators!$G32)+('Indicator Data'!H32&lt;=Indicators!$H32)+('Indicator Data'!H32&lt;=Indicators!$I32)+('Indicator Data'!H32&lt;=Indicators!$J32)))</f>
        <v>3</v>
      </c>
      <c r="I32" s="27" t="n">
        <f aca="false">IF('Indicator Data'!I32="",IF(Config!$C$15="Score as High (5)",5,0),IF(Indicators!$F32="Higher = riskier",1+('Indicator Data'!I32&gt;=Indicators!$G32)+('Indicator Data'!I32&gt;=Indicators!$H32)+('Indicator Data'!I32&gt;=Indicators!$I32)+('Indicator Data'!I32&gt;=Indicators!$J32),1+('Indicator Data'!I32&lt;=Indicators!$G32)+('Indicator Data'!I32&lt;=Indicators!$H32)+('Indicator Data'!I32&lt;=Indicators!$I32)+('Indicator Data'!I32&lt;=Indicators!$J32)))</f>
        <v>5</v>
      </c>
      <c r="J32" s="27" t="n">
        <f aca="false">IF('Indicator Data'!J32="",IF(Config!$C$15="Score as High (5)",5,0),IF(Indicators!$F32="Higher = riskier",1+('Indicator Data'!J32&gt;=Indicators!$G32)+('Indicator Data'!J32&gt;=Indicators!$H32)+('Indicator Data'!J32&gt;=Indicators!$I32)+('Indicator Data'!J32&gt;=Indicators!$J32),1+('Indicator Data'!J32&lt;=Indicators!$G32)+('Indicator Data'!J32&lt;=Indicators!$H32)+('Indicator Data'!J32&lt;=Indicators!$I32)+('Indicator Data'!J32&lt;=Indicators!$J32)))</f>
        <v>3</v>
      </c>
      <c r="K32" s="27" t="n">
        <f aca="false">IF('Indicator Data'!K32="",IF(Config!$C$15="Score as High (5)",5,0),IF(Indicators!$F32="Higher = riskier",1+('Indicator Data'!K32&gt;=Indicators!$G32)+('Indicator Data'!K32&gt;=Indicators!$H32)+('Indicator Data'!K32&gt;=Indicators!$I32)+('Indicator Data'!K32&gt;=Indicators!$J32),1+('Indicator Data'!K32&lt;=Indicators!$G32)+('Indicator Data'!K32&lt;=Indicators!$H32)+('Indicator Data'!K32&lt;=Indicators!$I32)+('Indicator Data'!K32&lt;=Indicators!$J32)))</f>
        <v>2</v>
      </c>
      <c r="L32" s="27" t="n">
        <f aca="false">IF('Indicator Data'!L32="",IF(Config!$C$15="Score as High (5)",5,0),IF(Indicators!$F32="Higher = riskier",1+('Indicator Data'!L32&gt;=Indicators!$G32)+('Indicator Data'!L32&gt;=Indicators!$H32)+('Indicator Data'!L32&gt;=Indicators!$I32)+('Indicator Data'!L32&gt;=Indicators!$J32),1+('Indicator Data'!L32&lt;=Indicators!$G32)+('Indicator Data'!L32&lt;=Indicators!$H32)+('Indicator Data'!L32&lt;=Indicators!$I32)+('Indicator Data'!L32&lt;=Indicators!$J32)))</f>
        <v>5</v>
      </c>
      <c r="M32" s="27" t="n">
        <f aca="false">IF('Indicator Data'!M32="",IF(Config!$C$15="Score as High (5)",5,0),IF(Indicators!$F32="Higher = riskier",1+('Indicator Data'!M32&gt;=Indicators!$G32)+('Indicator Data'!M32&gt;=Indicators!$H32)+('Indicator Data'!M32&gt;=Indicators!$I32)+('Indicator Data'!M32&gt;=Indicators!$J32),1+('Indicator Data'!M32&lt;=Indicators!$G32)+('Indicator Data'!M32&lt;=Indicators!$H32)+('Indicator Data'!M32&lt;=Indicators!$I32)+('Indicator Data'!M32&lt;=Indicators!$J32)))</f>
        <v>3</v>
      </c>
      <c r="N32" s="27" t="n">
        <f aca="false">IF('Indicator Data'!N32="",IF(Config!$C$15="Score as High (5)",5,0),IF(Indicators!$F32="Higher = riskier",1+('Indicator Data'!N32&gt;=Indicators!$G32)+('Indicator Data'!N32&gt;=Indicators!$H32)+('Indicator Data'!N32&gt;=Indicators!$I32)+('Indicator Data'!N32&gt;=Indicators!$J32),1+('Indicator Data'!N32&lt;=Indicators!$G32)+('Indicator Data'!N32&lt;=Indicators!$H32)+('Indicator Data'!N32&lt;=Indicators!$I32)+('Indicator Data'!N32&lt;=Indicators!$J32)))</f>
        <v>2</v>
      </c>
      <c r="O32" s="27" t="n">
        <f aca="false">IF('Indicator Data'!O32="",IF(Config!$C$15="Score as High (5)",5,0),IF(Indicators!$F32="Higher = riskier",1+('Indicator Data'!O32&gt;=Indicators!$G32)+('Indicator Data'!O32&gt;=Indicators!$H32)+('Indicator Data'!O32&gt;=Indicators!$I32)+('Indicator Data'!O32&gt;=Indicators!$J32),1+('Indicator Data'!O32&lt;=Indicators!$G32)+('Indicator Data'!O32&lt;=Indicators!$H32)+('Indicator Data'!O32&lt;=Indicators!$I32)+('Indicator Data'!O32&lt;=Indicators!$J32)))</f>
        <v>4</v>
      </c>
      <c r="P32" s="27" t="n">
        <f aca="false">IF('Indicator Data'!P32="",IF(Config!$C$15="Score as High (5)",5,0),IF(Indicators!$F32="Higher = riskier",1+('Indicator Data'!P32&gt;=Indicators!$G32)+('Indicator Data'!P32&gt;=Indicators!$H32)+('Indicator Data'!P32&gt;=Indicators!$I32)+('Indicator Data'!P32&gt;=Indicators!$J32),1+('Indicator Data'!P32&lt;=Indicators!$G32)+('Indicator Data'!P32&lt;=Indicators!$H32)+('Indicator Data'!P32&lt;=Indicators!$I32)+('Indicator Data'!P32&lt;=Indicators!$J32)))</f>
        <v>3</v>
      </c>
      <c r="Q32" s="27" t="n">
        <f aca="false">IF('Indicator Data'!Q32="",IF(Config!$C$15="Score as High (5)",5,0),IF(Indicators!$F32="Higher = riskier",1+('Indicator Data'!Q32&gt;=Indicators!$G32)+('Indicator Data'!Q32&gt;=Indicators!$H32)+('Indicator Data'!Q32&gt;=Indicators!$I32)+('Indicator Data'!Q32&gt;=Indicators!$J32),1+('Indicator Data'!Q32&lt;=Indicators!$G32)+('Indicator Data'!Q32&lt;=Indicators!$H32)+('Indicator Data'!Q32&lt;=Indicators!$I32)+('Indicator Data'!Q32&lt;=Indicators!$J32)))</f>
        <v>4</v>
      </c>
      <c r="R32" s="27" t="n">
        <f aca="false">IF('Indicator Data'!R32="",IF(Config!$C$15="Score as High (5)",5,0),IF(Indicators!$F32="Higher = riskier",1+('Indicator Data'!R32&gt;=Indicators!$G32)+('Indicator Data'!R32&gt;=Indicators!$H32)+('Indicator Data'!R32&gt;=Indicators!$I32)+('Indicator Data'!R32&gt;=Indicators!$J32),1+('Indicator Data'!R32&lt;=Indicators!$G32)+('Indicator Data'!R32&lt;=Indicators!$H32)+('Indicator Data'!R32&lt;=Indicators!$I32)+('Indicator Data'!R32&lt;=Indicators!$J32)))</f>
        <v>4</v>
      </c>
      <c r="S32" s="27" t="n">
        <f aca="false">IF('Indicator Data'!S32="",IF(Config!$C$15="Score as High (5)",5,0),IF(Indicators!$F32="Higher = riskier",1+('Indicator Data'!S32&gt;=Indicators!$G32)+('Indicator Data'!S32&gt;=Indicators!$H32)+('Indicator Data'!S32&gt;=Indicators!$I32)+('Indicator Data'!S32&gt;=Indicators!$J32),1+('Indicator Data'!S32&lt;=Indicators!$G32)+('Indicator Data'!S32&lt;=Indicators!$H32)+('Indicator Data'!S32&lt;=Indicators!$I32)+('Indicator Data'!S32&lt;=Indicators!$J32)))</f>
        <v>5</v>
      </c>
      <c r="T32" s="27" t="n">
        <f aca="false">IF('Indicator Data'!T32="",IF(Config!$C$15="Score as High (5)",5,0),IF(Indicators!$F32="Higher = riskier",1+('Indicator Data'!T32&gt;=Indicators!$G32)+('Indicator Data'!T32&gt;=Indicators!$H32)+('Indicator Data'!T32&gt;=Indicators!$I32)+('Indicator Data'!T32&gt;=Indicators!$J32),1+('Indicator Data'!T32&lt;=Indicators!$G32)+('Indicator Data'!T32&lt;=Indicators!$H32)+('Indicator Data'!T32&lt;=Indicators!$I32)+('Indicator Data'!T32&lt;=Indicators!$J32)))</f>
        <v>3</v>
      </c>
      <c r="U32" s="27" t="n">
        <f aca="false">IF('Indicator Data'!U32="",IF(Config!$C$15="Score as High (5)",5,0),IF(Indicators!$F32="Higher = riskier",1+('Indicator Data'!U32&gt;=Indicators!$G32)+('Indicator Data'!U32&gt;=Indicators!$H32)+('Indicator Data'!U32&gt;=Indicators!$I32)+('Indicator Data'!U32&gt;=Indicators!$J32),1+('Indicator Data'!U32&lt;=Indicators!$G32)+('Indicator Data'!U32&lt;=Indicators!$H32)+('Indicator Data'!U32&lt;=Indicators!$I32)+('Indicator Data'!U32&lt;=Indicators!$J32)))</f>
        <v>4</v>
      </c>
      <c r="V32" s="27" t="n">
        <f aca="false">IF('Indicator Data'!V32="",IF(Config!$C$15="Score as High (5)",5,0),IF(Indicators!$F32="Higher = riskier",1+('Indicator Data'!V32&gt;=Indicators!$G32)+('Indicator Data'!V32&gt;=Indicators!$H32)+('Indicator Data'!V32&gt;=Indicators!$I32)+('Indicator Data'!V32&gt;=Indicators!$J32),1+('Indicator Data'!V32&lt;=Indicators!$G32)+('Indicator Data'!V32&lt;=Indicators!$H32)+('Indicator Data'!V32&lt;=Indicators!$I32)+('Indicator Data'!V32&lt;=Indicators!$J32)))</f>
        <v>5</v>
      </c>
      <c r="W32" s="27" t="n">
        <f aca="false">IF('Indicator Data'!W32="",IF(Config!$C$15="Score as High (5)",5,0),IF(Indicators!$F32="Higher = riskier",1+('Indicator Data'!W32&gt;=Indicators!$G32)+('Indicator Data'!W32&gt;=Indicators!$H32)+('Indicator Data'!W32&gt;=Indicators!$I32)+('Indicator Data'!W32&gt;=Indicators!$J32),1+('Indicator Data'!W32&lt;=Indicators!$G32)+('Indicator Data'!W32&lt;=Indicators!$H32)+('Indicator Data'!W32&lt;=Indicators!$I32)+('Indicator Data'!W32&lt;=Indicators!$J32)))</f>
        <v>4</v>
      </c>
      <c r="X32" s="27" t="n">
        <f aca="false">IF('Indicator Data'!X32="",IF(Config!$C$15="Score as High (5)",5,0),IF(Indicators!$F32="Higher = riskier",1+('Indicator Data'!X32&gt;=Indicators!$G32)+('Indicator Data'!X32&gt;=Indicators!$H32)+('Indicator Data'!X32&gt;=Indicators!$I32)+('Indicator Data'!X32&gt;=Indicators!$J32),1+('Indicator Data'!X32&lt;=Indicators!$G32)+('Indicator Data'!X32&lt;=Indicators!$H32)+('Indicator Data'!X32&lt;=Indicators!$I32)+('Indicator Data'!X32&lt;=Indicators!$J32)))</f>
        <v>4</v>
      </c>
      <c r="Y32" s="27" t="n">
        <f aca="false">IF('Indicator Data'!Y32="",IF(Config!$C$15="Score as High (5)",5,0),IF(Indicators!$F32="Higher = riskier",1+('Indicator Data'!Y32&gt;=Indicators!$G32)+('Indicator Data'!Y32&gt;=Indicators!$H32)+('Indicator Data'!Y32&gt;=Indicators!$I32)+('Indicator Data'!Y32&gt;=Indicators!$J32),1+('Indicator Data'!Y32&lt;=Indicators!$G32)+('Indicator Data'!Y32&lt;=Indicators!$H32)+('Indicator Data'!Y32&lt;=Indicators!$I32)+('Indicator Data'!Y32&lt;=Indicators!$J32)))</f>
        <v>1</v>
      </c>
      <c r="Z32" s="27" t="n">
        <f aca="false">IF('Indicator Data'!Z32="",IF(Config!$C$15="Score as High (5)",5,0),IF(Indicators!$F32="Higher = riskier",1+('Indicator Data'!Z32&gt;=Indicators!$G32)+('Indicator Data'!Z32&gt;=Indicators!$H32)+('Indicator Data'!Z32&gt;=Indicators!$I32)+('Indicator Data'!Z32&gt;=Indicators!$J32),1+('Indicator Data'!Z32&lt;=Indicators!$G32)+('Indicator Data'!Z32&lt;=Indicators!$H32)+('Indicator Data'!Z32&lt;=Indicators!$I32)+('Indicator Data'!Z32&lt;=Indicators!$J32)))</f>
        <v>1</v>
      </c>
      <c r="AA32" s="27" t="n">
        <f aca="false">IF('Indicator Data'!AA32="",IF(Config!$C$15="Score as High (5)",5,0),IF(Indicators!$F32="Higher = riskier",1+('Indicator Data'!AA32&gt;=Indicators!$G32)+('Indicator Data'!AA32&gt;=Indicators!$H32)+('Indicator Data'!AA32&gt;=Indicators!$I32)+('Indicator Data'!AA32&gt;=Indicators!$J32),1+('Indicator Data'!AA32&lt;=Indicators!$G32)+('Indicator Data'!AA32&lt;=Indicators!$H32)+('Indicator Data'!AA32&lt;=Indicators!$I32)+('Indicator Data'!AA32&lt;=Indicators!$J32)))</f>
        <v>4</v>
      </c>
      <c r="AB32" s="27" t="n">
        <f aca="false">IF('Indicator Data'!AB32="",IF(Config!$C$15="Score as High (5)",5,0),IF(Indicators!$F32="Higher = riskier",1+('Indicator Data'!AB32&gt;=Indicators!$G32)+('Indicator Data'!AB32&gt;=Indicators!$H32)+('Indicator Data'!AB32&gt;=Indicators!$I32)+('Indicator Data'!AB32&gt;=Indicators!$J32),1+('Indicator Data'!AB32&lt;=Indicators!$G32)+('Indicator Data'!AB32&lt;=Indicators!$H32)+('Indicator Data'!AB32&lt;=Indicators!$I32)+('Indicator Data'!AB32&lt;=Indicators!$J32)))</f>
        <v>1</v>
      </c>
      <c r="AC32" s="27" t="n">
        <f aca="false">IF('Indicator Data'!AC32="",IF(Config!$C$15="Score as High (5)",5,0),IF(Indicators!$F32="Higher = riskier",1+('Indicator Data'!AC32&gt;=Indicators!$G32)+('Indicator Data'!AC32&gt;=Indicators!$H32)+('Indicator Data'!AC32&gt;=Indicators!$I32)+('Indicator Data'!AC32&gt;=Indicators!$J32),1+('Indicator Data'!AC32&lt;=Indicators!$G32)+('Indicator Data'!AC32&lt;=Indicators!$H32)+('Indicator Data'!AC32&lt;=Indicators!$I32)+('Indicator Data'!AC32&lt;=Indicators!$J32)))</f>
        <v>3</v>
      </c>
      <c r="AD32" s="27" t="n">
        <f aca="false">IF('Indicator Data'!AD32="",IF(Config!$C$15="Score as High (5)",5,0),IF(Indicators!$F32="Higher = riskier",1+('Indicator Data'!AD32&gt;=Indicators!$G32)+('Indicator Data'!AD32&gt;=Indicators!$H32)+('Indicator Data'!AD32&gt;=Indicators!$I32)+('Indicator Data'!AD32&gt;=Indicators!$J32),1+('Indicator Data'!AD32&lt;=Indicators!$G32)+('Indicator Data'!AD32&lt;=Indicators!$H32)+('Indicator Data'!AD32&lt;=Indicators!$I32)+('Indicator Data'!AD32&lt;=Indicators!$J32)))</f>
        <v>2</v>
      </c>
      <c r="AE32" s="27" t="n">
        <f aca="false">IF('Indicator Data'!AE32="",IF(Config!$C$15="Score as High (5)",5,0),IF(Indicators!$F32="Higher = riskier",1+('Indicator Data'!AE32&gt;=Indicators!$G32)+('Indicator Data'!AE32&gt;=Indicators!$H32)+('Indicator Data'!AE32&gt;=Indicators!$I32)+('Indicator Data'!AE32&gt;=Indicators!$J32),1+('Indicator Data'!AE32&lt;=Indicators!$G32)+('Indicator Data'!AE32&lt;=Indicators!$H32)+('Indicator Data'!AE32&lt;=Indicators!$I32)+('Indicator Data'!AE32&lt;=Indicators!$J32)))</f>
        <v>3</v>
      </c>
      <c r="AF32" s="27" t="n">
        <f aca="false">IF('Indicator Data'!AF32="",IF(Config!$C$15="Score as High (5)",5,0),IF(Indicators!$F32="Higher = riskier",1+('Indicator Data'!AF32&gt;=Indicators!$G32)+('Indicator Data'!AF32&gt;=Indicators!$H32)+('Indicator Data'!AF32&gt;=Indicators!$I32)+('Indicator Data'!AF32&gt;=Indicators!$J32),1+('Indicator Data'!AF32&lt;=Indicators!$G32)+('Indicator Data'!AF32&lt;=Indicators!$H32)+('Indicator Data'!AF32&lt;=Indicators!$I32)+('Indicator Data'!AF32&lt;=Indicators!$J32)))</f>
        <v>3</v>
      </c>
      <c r="AG32" s="27" t="n">
        <f aca="false">IF('Indicator Data'!AG32="",IF(Config!$C$15="Score as High (5)",5,0),IF(Indicators!$F32="Higher = riskier",1+('Indicator Data'!AG32&gt;=Indicators!$G32)+('Indicator Data'!AG32&gt;=Indicators!$H32)+('Indicator Data'!AG32&gt;=Indicators!$I32)+('Indicator Data'!AG32&gt;=Indicators!$J32),1+('Indicator Data'!AG32&lt;=Indicators!$G32)+('Indicator Data'!AG32&lt;=Indicators!$H32)+('Indicator Data'!AG32&lt;=Indicators!$I32)+('Indicator Data'!AG32&lt;=Indicators!$J32)))</f>
        <v>3</v>
      </c>
    </row>
    <row r="33" customFormat="false" ht="15" hidden="false" customHeight="false" outlineLevel="0" collapsed="false">
      <c r="A33" s="26" t="str">
        <f aca="false">Indicators!A33</f>
        <v>T05</v>
      </c>
      <c r="B33" s="26" t="str">
        <f aca="false">Indicators!C33</f>
        <v>STRs filed per 10,000 customers per year</v>
      </c>
      <c r="C33" s="26" t="str">
        <f aca="false">Indicators!D33</f>
        <v>count</v>
      </c>
      <c r="D33" s="27" t="n">
        <f aca="false">IF('Indicator Data'!D33="",IF(Config!$C$15="Score as High (5)",5,0),IF(Indicators!$F33="Higher = riskier",1+('Indicator Data'!D33&gt;=Indicators!$G33)+('Indicator Data'!D33&gt;=Indicators!$H33)+('Indicator Data'!D33&gt;=Indicators!$I33)+('Indicator Data'!D33&gt;=Indicators!$J33),1+('Indicator Data'!D33&lt;=Indicators!$G33)+('Indicator Data'!D33&lt;=Indicators!$H33)+('Indicator Data'!D33&lt;=Indicators!$I33)+('Indicator Data'!D33&lt;=Indicators!$J33)))</f>
        <v>2</v>
      </c>
      <c r="E33" s="27" t="n">
        <f aca="false">IF('Indicator Data'!E33="",IF(Config!$C$15="Score as High (5)",5,0),IF(Indicators!$F33="Higher = riskier",1+('Indicator Data'!E33&gt;=Indicators!$G33)+('Indicator Data'!E33&gt;=Indicators!$H33)+('Indicator Data'!E33&gt;=Indicators!$I33)+('Indicator Data'!E33&gt;=Indicators!$J33),1+('Indicator Data'!E33&lt;=Indicators!$G33)+('Indicator Data'!E33&lt;=Indicators!$H33)+('Indicator Data'!E33&lt;=Indicators!$I33)+('Indicator Data'!E33&lt;=Indicators!$J33)))</f>
        <v>4</v>
      </c>
      <c r="F33" s="27" t="n">
        <f aca="false">IF('Indicator Data'!F33="",IF(Config!$C$15="Score as High (5)",5,0),IF(Indicators!$F33="Higher = riskier",1+('Indicator Data'!F33&gt;=Indicators!$G33)+('Indicator Data'!F33&gt;=Indicators!$H33)+('Indicator Data'!F33&gt;=Indicators!$I33)+('Indicator Data'!F33&gt;=Indicators!$J33),1+('Indicator Data'!F33&lt;=Indicators!$G33)+('Indicator Data'!F33&lt;=Indicators!$H33)+('Indicator Data'!F33&lt;=Indicators!$I33)+('Indicator Data'!F33&lt;=Indicators!$J33)))</f>
        <v>3</v>
      </c>
      <c r="G33" s="27" t="n">
        <f aca="false">IF('Indicator Data'!G33="",IF(Config!$C$15="Score as High (5)",5,0),IF(Indicators!$F33="Higher = riskier",1+('Indicator Data'!G33&gt;=Indicators!$G33)+('Indicator Data'!G33&gt;=Indicators!$H33)+('Indicator Data'!G33&gt;=Indicators!$I33)+('Indicator Data'!G33&gt;=Indicators!$J33),1+('Indicator Data'!G33&lt;=Indicators!$G33)+('Indicator Data'!G33&lt;=Indicators!$H33)+('Indicator Data'!G33&lt;=Indicators!$I33)+('Indicator Data'!G33&lt;=Indicators!$J33)))</f>
        <v>2</v>
      </c>
      <c r="H33" s="27" t="n">
        <f aca="false">IF('Indicator Data'!H33="",IF(Config!$C$15="Score as High (5)",5,0),IF(Indicators!$F33="Higher = riskier",1+('Indicator Data'!H33&gt;=Indicators!$G33)+('Indicator Data'!H33&gt;=Indicators!$H33)+('Indicator Data'!H33&gt;=Indicators!$I33)+('Indicator Data'!H33&gt;=Indicators!$J33),1+('Indicator Data'!H33&lt;=Indicators!$G33)+('Indicator Data'!H33&lt;=Indicators!$H33)+('Indicator Data'!H33&lt;=Indicators!$I33)+('Indicator Data'!H33&lt;=Indicators!$J33)))</f>
        <v>3</v>
      </c>
      <c r="I33" s="27" t="n">
        <f aca="false">IF('Indicator Data'!I33="",IF(Config!$C$15="Score as High (5)",5,0),IF(Indicators!$F33="Higher = riskier",1+('Indicator Data'!I33&gt;=Indicators!$G33)+('Indicator Data'!I33&gt;=Indicators!$H33)+('Indicator Data'!I33&gt;=Indicators!$I33)+('Indicator Data'!I33&gt;=Indicators!$J33),1+('Indicator Data'!I33&lt;=Indicators!$G33)+('Indicator Data'!I33&lt;=Indicators!$H33)+('Indicator Data'!I33&lt;=Indicators!$I33)+('Indicator Data'!I33&lt;=Indicators!$J33)))</f>
        <v>5</v>
      </c>
      <c r="J33" s="27" t="n">
        <f aca="false">IF('Indicator Data'!J33="",IF(Config!$C$15="Score as High (5)",5,0),IF(Indicators!$F33="Higher = riskier",1+('Indicator Data'!J33&gt;=Indicators!$G33)+('Indicator Data'!J33&gt;=Indicators!$H33)+('Indicator Data'!J33&gt;=Indicators!$I33)+('Indicator Data'!J33&gt;=Indicators!$J33),1+('Indicator Data'!J33&lt;=Indicators!$G33)+('Indicator Data'!J33&lt;=Indicators!$H33)+('Indicator Data'!J33&lt;=Indicators!$I33)+('Indicator Data'!J33&lt;=Indicators!$J33)))</f>
        <v>4</v>
      </c>
      <c r="K33" s="27" t="n">
        <f aca="false">IF('Indicator Data'!K33="",IF(Config!$C$15="Score as High (5)",5,0),IF(Indicators!$F33="Higher = riskier",1+('Indicator Data'!K33&gt;=Indicators!$G33)+('Indicator Data'!K33&gt;=Indicators!$H33)+('Indicator Data'!K33&gt;=Indicators!$I33)+('Indicator Data'!K33&gt;=Indicators!$J33),1+('Indicator Data'!K33&lt;=Indicators!$G33)+('Indicator Data'!K33&lt;=Indicators!$H33)+('Indicator Data'!K33&lt;=Indicators!$I33)+('Indicator Data'!K33&lt;=Indicators!$J33)))</f>
        <v>4</v>
      </c>
      <c r="L33" s="27" t="n">
        <f aca="false">IF('Indicator Data'!L33="",IF(Config!$C$15="Score as High (5)",5,0),IF(Indicators!$F33="Higher = riskier",1+('Indicator Data'!L33&gt;=Indicators!$G33)+('Indicator Data'!L33&gt;=Indicators!$H33)+('Indicator Data'!L33&gt;=Indicators!$I33)+('Indicator Data'!L33&gt;=Indicators!$J33),1+('Indicator Data'!L33&lt;=Indicators!$G33)+('Indicator Data'!L33&lt;=Indicators!$H33)+('Indicator Data'!L33&lt;=Indicators!$I33)+('Indicator Data'!L33&lt;=Indicators!$J33)))</f>
        <v>4</v>
      </c>
      <c r="M33" s="27" t="n">
        <f aca="false">IF('Indicator Data'!M33="",IF(Config!$C$15="Score as High (5)",5,0),IF(Indicators!$F33="Higher = riskier",1+('Indicator Data'!M33&gt;=Indicators!$G33)+('Indicator Data'!M33&gt;=Indicators!$H33)+('Indicator Data'!M33&gt;=Indicators!$I33)+('Indicator Data'!M33&gt;=Indicators!$J33),1+('Indicator Data'!M33&lt;=Indicators!$G33)+('Indicator Data'!M33&lt;=Indicators!$H33)+('Indicator Data'!M33&lt;=Indicators!$I33)+('Indicator Data'!M33&lt;=Indicators!$J33)))</f>
        <v>4</v>
      </c>
      <c r="N33" s="27" t="n">
        <f aca="false">IF('Indicator Data'!N33="",IF(Config!$C$15="Score as High (5)",5,0),IF(Indicators!$F33="Higher = riskier",1+('Indicator Data'!N33&gt;=Indicators!$G33)+('Indicator Data'!N33&gt;=Indicators!$H33)+('Indicator Data'!N33&gt;=Indicators!$I33)+('Indicator Data'!N33&gt;=Indicators!$J33),1+('Indicator Data'!N33&lt;=Indicators!$G33)+('Indicator Data'!N33&lt;=Indicators!$H33)+('Indicator Data'!N33&lt;=Indicators!$I33)+('Indicator Data'!N33&lt;=Indicators!$J33)))</f>
        <v>1</v>
      </c>
      <c r="O33" s="27" t="n">
        <f aca="false">IF('Indicator Data'!O33="",IF(Config!$C$15="Score as High (5)",5,0),IF(Indicators!$F33="Higher = riskier",1+('Indicator Data'!O33&gt;=Indicators!$G33)+('Indicator Data'!O33&gt;=Indicators!$H33)+('Indicator Data'!O33&gt;=Indicators!$I33)+('Indicator Data'!O33&gt;=Indicators!$J33),1+('Indicator Data'!O33&lt;=Indicators!$G33)+('Indicator Data'!O33&lt;=Indicators!$H33)+('Indicator Data'!O33&lt;=Indicators!$I33)+('Indicator Data'!O33&lt;=Indicators!$J33)))</f>
        <v>3</v>
      </c>
      <c r="P33" s="27" t="n">
        <f aca="false">IF('Indicator Data'!P33="",IF(Config!$C$15="Score as High (5)",5,0),IF(Indicators!$F33="Higher = riskier",1+('Indicator Data'!P33&gt;=Indicators!$G33)+('Indicator Data'!P33&gt;=Indicators!$H33)+('Indicator Data'!P33&gt;=Indicators!$I33)+('Indicator Data'!P33&gt;=Indicators!$J33),1+('Indicator Data'!P33&lt;=Indicators!$G33)+('Indicator Data'!P33&lt;=Indicators!$H33)+('Indicator Data'!P33&lt;=Indicators!$I33)+('Indicator Data'!P33&lt;=Indicators!$J33)))</f>
        <v>2</v>
      </c>
      <c r="Q33" s="27" t="n">
        <f aca="false">IF('Indicator Data'!Q33="",IF(Config!$C$15="Score as High (5)",5,0),IF(Indicators!$F33="Higher = riskier",1+('Indicator Data'!Q33&gt;=Indicators!$G33)+('Indicator Data'!Q33&gt;=Indicators!$H33)+('Indicator Data'!Q33&gt;=Indicators!$I33)+('Indicator Data'!Q33&gt;=Indicators!$J33),1+('Indicator Data'!Q33&lt;=Indicators!$G33)+('Indicator Data'!Q33&lt;=Indicators!$H33)+('Indicator Data'!Q33&lt;=Indicators!$I33)+('Indicator Data'!Q33&lt;=Indicators!$J33)))</f>
        <v>3</v>
      </c>
      <c r="R33" s="27" t="n">
        <f aca="false">IF('Indicator Data'!R33="",IF(Config!$C$15="Score as High (5)",5,0),IF(Indicators!$F33="Higher = riskier",1+('Indicator Data'!R33&gt;=Indicators!$G33)+('Indicator Data'!R33&gt;=Indicators!$H33)+('Indicator Data'!R33&gt;=Indicators!$I33)+('Indicator Data'!R33&gt;=Indicators!$J33),1+('Indicator Data'!R33&lt;=Indicators!$G33)+('Indicator Data'!R33&lt;=Indicators!$H33)+('Indicator Data'!R33&lt;=Indicators!$I33)+('Indicator Data'!R33&lt;=Indicators!$J33)))</f>
        <v>4</v>
      </c>
      <c r="S33" s="27" t="n">
        <f aca="false">IF('Indicator Data'!S33="",IF(Config!$C$15="Score as High (5)",5,0),IF(Indicators!$F33="Higher = riskier",1+('Indicator Data'!S33&gt;=Indicators!$G33)+('Indicator Data'!S33&gt;=Indicators!$H33)+('Indicator Data'!S33&gt;=Indicators!$I33)+('Indicator Data'!S33&gt;=Indicators!$J33),1+('Indicator Data'!S33&lt;=Indicators!$G33)+('Indicator Data'!S33&lt;=Indicators!$H33)+('Indicator Data'!S33&lt;=Indicators!$I33)+('Indicator Data'!S33&lt;=Indicators!$J33)))</f>
        <v>4</v>
      </c>
      <c r="T33" s="27" t="n">
        <f aca="false">IF('Indicator Data'!T33="",IF(Config!$C$15="Score as High (5)",5,0),IF(Indicators!$F33="Higher = riskier",1+('Indicator Data'!T33&gt;=Indicators!$G33)+('Indicator Data'!T33&gt;=Indicators!$H33)+('Indicator Data'!T33&gt;=Indicators!$I33)+('Indicator Data'!T33&gt;=Indicators!$J33),1+('Indicator Data'!T33&lt;=Indicators!$G33)+('Indicator Data'!T33&lt;=Indicators!$H33)+('Indicator Data'!T33&lt;=Indicators!$I33)+('Indicator Data'!T33&lt;=Indicators!$J33)))</f>
        <v>3</v>
      </c>
      <c r="U33" s="27" t="n">
        <f aca="false">IF('Indicator Data'!U33="",IF(Config!$C$15="Score as High (5)",5,0),IF(Indicators!$F33="Higher = riskier",1+('Indicator Data'!U33&gt;=Indicators!$G33)+('Indicator Data'!U33&gt;=Indicators!$H33)+('Indicator Data'!U33&gt;=Indicators!$I33)+('Indicator Data'!U33&gt;=Indicators!$J33),1+('Indicator Data'!U33&lt;=Indicators!$G33)+('Indicator Data'!U33&lt;=Indicators!$H33)+('Indicator Data'!U33&lt;=Indicators!$I33)+('Indicator Data'!U33&lt;=Indicators!$J33)))</f>
        <v>4</v>
      </c>
      <c r="V33" s="27" t="n">
        <f aca="false">IF('Indicator Data'!V33="",IF(Config!$C$15="Score as High (5)",5,0),IF(Indicators!$F33="Higher = riskier",1+('Indicator Data'!V33&gt;=Indicators!$G33)+('Indicator Data'!V33&gt;=Indicators!$H33)+('Indicator Data'!V33&gt;=Indicators!$I33)+('Indicator Data'!V33&gt;=Indicators!$J33),1+('Indicator Data'!V33&lt;=Indicators!$G33)+('Indicator Data'!V33&lt;=Indicators!$H33)+('Indicator Data'!V33&lt;=Indicators!$I33)+('Indicator Data'!V33&lt;=Indicators!$J33)))</f>
        <v>2</v>
      </c>
      <c r="W33" s="27" t="n">
        <f aca="false">IF('Indicator Data'!W33="",IF(Config!$C$15="Score as High (5)",5,0),IF(Indicators!$F33="Higher = riskier",1+('Indicator Data'!W33&gt;=Indicators!$G33)+('Indicator Data'!W33&gt;=Indicators!$H33)+('Indicator Data'!W33&gt;=Indicators!$I33)+('Indicator Data'!W33&gt;=Indicators!$J33),1+('Indicator Data'!W33&lt;=Indicators!$G33)+('Indicator Data'!W33&lt;=Indicators!$H33)+('Indicator Data'!W33&lt;=Indicators!$I33)+('Indicator Data'!W33&lt;=Indicators!$J33)))</f>
        <v>5</v>
      </c>
      <c r="X33" s="27" t="n">
        <f aca="false">IF('Indicator Data'!X33="",IF(Config!$C$15="Score as High (5)",5,0),IF(Indicators!$F33="Higher = riskier",1+('Indicator Data'!X33&gt;=Indicators!$G33)+('Indicator Data'!X33&gt;=Indicators!$H33)+('Indicator Data'!X33&gt;=Indicators!$I33)+('Indicator Data'!X33&gt;=Indicators!$J33),1+('Indicator Data'!X33&lt;=Indicators!$G33)+('Indicator Data'!X33&lt;=Indicators!$H33)+('Indicator Data'!X33&lt;=Indicators!$I33)+('Indicator Data'!X33&lt;=Indicators!$J33)))</f>
        <v>4</v>
      </c>
      <c r="Y33" s="27" t="n">
        <f aca="false">IF('Indicator Data'!Y33="",IF(Config!$C$15="Score as High (5)",5,0),IF(Indicators!$F33="Higher = riskier",1+('Indicator Data'!Y33&gt;=Indicators!$G33)+('Indicator Data'!Y33&gt;=Indicators!$H33)+('Indicator Data'!Y33&gt;=Indicators!$I33)+('Indicator Data'!Y33&gt;=Indicators!$J33),1+('Indicator Data'!Y33&lt;=Indicators!$G33)+('Indicator Data'!Y33&lt;=Indicators!$H33)+('Indicator Data'!Y33&lt;=Indicators!$I33)+('Indicator Data'!Y33&lt;=Indicators!$J33)))</f>
        <v>1</v>
      </c>
      <c r="Z33" s="27" t="n">
        <f aca="false">IF('Indicator Data'!Z33="",IF(Config!$C$15="Score as High (5)",5,0),IF(Indicators!$F33="Higher = riskier",1+('Indicator Data'!Z33&gt;=Indicators!$G33)+('Indicator Data'!Z33&gt;=Indicators!$H33)+('Indicator Data'!Z33&gt;=Indicators!$I33)+('Indicator Data'!Z33&gt;=Indicators!$J33),1+('Indicator Data'!Z33&lt;=Indicators!$G33)+('Indicator Data'!Z33&lt;=Indicators!$H33)+('Indicator Data'!Z33&lt;=Indicators!$I33)+('Indicator Data'!Z33&lt;=Indicators!$J33)))</f>
        <v>2</v>
      </c>
      <c r="AA33" s="27" t="n">
        <f aca="false">IF('Indicator Data'!AA33="",IF(Config!$C$15="Score as High (5)",5,0),IF(Indicators!$F33="Higher = riskier",1+('Indicator Data'!AA33&gt;=Indicators!$G33)+('Indicator Data'!AA33&gt;=Indicators!$H33)+('Indicator Data'!AA33&gt;=Indicators!$I33)+('Indicator Data'!AA33&gt;=Indicators!$J33),1+('Indicator Data'!AA33&lt;=Indicators!$G33)+('Indicator Data'!AA33&lt;=Indicators!$H33)+('Indicator Data'!AA33&lt;=Indicators!$I33)+('Indicator Data'!AA33&lt;=Indicators!$J33)))</f>
        <v>2</v>
      </c>
      <c r="AB33" s="27" t="n">
        <f aca="false">IF('Indicator Data'!AB33="",IF(Config!$C$15="Score as High (5)",5,0),IF(Indicators!$F33="Higher = riskier",1+('Indicator Data'!AB33&gt;=Indicators!$G33)+('Indicator Data'!AB33&gt;=Indicators!$H33)+('Indicator Data'!AB33&gt;=Indicators!$I33)+('Indicator Data'!AB33&gt;=Indicators!$J33),1+('Indicator Data'!AB33&lt;=Indicators!$G33)+('Indicator Data'!AB33&lt;=Indicators!$H33)+('Indicator Data'!AB33&lt;=Indicators!$I33)+('Indicator Data'!AB33&lt;=Indicators!$J33)))</f>
        <v>1</v>
      </c>
      <c r="AC33" s="27" t="n">
        <f aca="false">IF('Indicator Data'!AC33="",IF(Config!$C$15="Score as High (5)",5,0),IF(Indicators!$F33="Higher = riskier",1+('Indicator Data'!AC33&gt;=Indicators!$G33)+('Indicator Data'!AC33&gt;=Indicators!$H33)+('Indicator Data'!AC33&gt;=Indicators!$I33)+('Indicator Data'!AC33&gt;=Indicators!$J33),1+('Indicator Data'!AC33&lt;=Indicators!$G33)+('Indicator Data'!AC33&lt;=Indicators!$H33)+('Indicator Data'!AC33&lt;=Indicators!$I33)+('Indicator Data'!AC33&lt;=Indicators!$J33)))</f>
        <v>2</v>
      </c>
      <c r="AD33" s="27" t="n">
        <f aca="false">IF('Indicator Data'!AD33="",IF(Config!$C$15="Score as High (5)",5,0),IF(Indicators!$F33="Higher = riskier",1+('Indicator Data'!AD33&gt;=Indicators!$G33)+('Indicator Data'!AD33&gt;=Indicators!$H33)+('Indicator Data'!AD33&gt;=Indicators!$I33)+('Indicator Data'!AD33&gt;=Indicators!$J33),1+('Indicator Data'!AD33&lt;=Indicators!$G33)+('Indicator Data'!AD33&lt;=Indicators!$H33)+('Indicator Data'!AD33&lt;=Indicators!$I33)+('Indicator Data'!AD33&lt;=Indicators!$J33)))</f>
        <v>1</v>
      </c>
      <c r="AE33" s="27" t="n">
        <f aca="false">IF('Indicator Data'!AE33="",IF(Config!$C$15="Score as High (5)",5,0),IF(Indicators!$F33="Higher = riskier",1+('Indicator Data'!AE33&gt;=Indicators!$G33)+('Indicator Data'!AE33&gt;=Indicators!$H33)+('Indicator Data'!AE33&gt;=Indicators!$I33)+('Indicator Data'!AE33&gt;=Indicators!$J33),1+('Indicator Data'!AE33&lt;=Indicators!$G33)+('Indicator Data'!AE33&lt;=Indicators!$H33)+('Indicator Data'!AE33&lt;=Indicators!$I33)+('Indicator Data'!AE33&lt;=Indicators!$J33)))</f>
        <v>1</v>
      </c>
      <c r="AF33" s="27" t="n">
        <f aca="false">IF('Indicator Data'!AF33="",IF(Config!$C$15="Score as High (5)",5,0),IF(Indicators!$F33="Higher = riskier",1+('Indicator Data'!AF33&gt;=Indicators!$G33)+('Indicator Data'!AF33&gt;=Indicators!$H33)+('Indicator Data'!AF33&gt;=Indicators!$I33)+('Indicator Data'!AF33&gt;=Indicators!$J33),1+('Indicator Data'!AF33&lt;=Indicators!$G33)+('Indicator Data'!AF33&lt;=Indicators!$H33)+('Indicator Data'!AF33&lt;=Indicators!$I33)+('Indicator Data'!AF33&lt;=Indicators!$J33)))</f>
        <v>1</v>
      </c>
      <c r="AG33" s="27" t="n">
        <f aca="false">IF('Indicator Data'!AG33="",IF(Config!$C$15="Score as High (5)",5,0),IF(Indicators!$F33="Higher = riskier",1+('Indicator Data'!AG33&gt;=Indicators!$G33)+('Indicator Data'!AG33&gt;=Indicators!$H33)+('Indicator Data'!AG33&gt;=Indicators!$I33)+('Indicator Data'!AG33&gt;=Indicators!$J33),1+('Indicator Data'!AG33&lt;=Indicators!$G33)+('Indicator Data'!AG33&lt;=Indicators!$H33)+('Indicator Data'!AG33&lt;=Indicators!$I33)+('Indicator Data'!AG33&lt;=Indicators!$J33)))</f>
        <v>2</v>
      </c>
    </row>
    <row r="34" customFormat="false" ht="15" hidden="false" customHeight="false" outlineLevel="0" collapsed="false">
      <c r="A34" s="26" t="str">
        <f aca="false">Indicators!A34</f>
        <v>T06</v>
      </c>
      <c r="B34" s="26" t="str">
        <f aca="false">Indicators!C34</f>
        <v>Fraud cases per 10,000 customers per year</v>
      </c>
      <c r="C34" s="26" t="str">
        <f aca="false">Indicators!D34</f>
        <v>count</v>
      </c>
      <c r="D34" s="27" t="n">
        <f aca="false">IF('Indicator Data'!D34="",IF(Config!$C$15="Score as High (5)",5,0),IF(Indicators!$F34="Higher = riskier",1+('Indicator Data'!D34&gt;=Indicators!$G34)+('Indicator Data'!D34&gt;=Indicators!$H34)+('Indicator Data'!D34&gt;=Indicators!$I34)+('Indicator Data'!D34&gt;=Indicators!$J34),1+('Indicator Data'!D34&lt;=Indicators!$G34)+('Indicator Data'!D34&lt;=Indicators!$H34)+('Indicator Data'!D34&lt;=Indicators!$I34)+('Indicator Data'!D34&lt;=Indicators!$J34)))</f>
        <v>3</v>
      </c>
      <c r="E34" s="27" t="n">
        <f aca="false">IF('Indicator Data'!E34="",IF(Config!$C$15="Score as High (5)",5,0),IF(Indicators!$F34="Higher = riskier",1+('Indicator Data'!E34&gt;=Indicators!$G34)+('Indicator Data'!E34&gt;=Indicators!$H34)+('Indicator Data'!E34&gt;=Indicators!$I34)+('Indicator Data'!E34&gt;=Indicators!$J34),1+('Indicator Data'!E34&lt;=Indicators!$G34)+('Indicator Data'!E34&lt;=Indicators!$H34)+('Indicator Data'!E34&lt;=Indicators!$I34)+('Indicator Data'!E34&lt;=Indicators!$J34)))</f>
        <v>2</v>
      </c>
      <c r="F34" s="27" t="n">
        <f aca="false">IF('Indicator Data'!F34="",IF(Config!$C$15="Score as High (5)",5,0),IF(Indicators!$F34="Higher = riskier",1+('Indicator Data'!F34&gt;=Indicators!$G34)+('Indicator Data'!F34&gt;=Indicators!$H34)+('Indicator Data'!F34&gt;=Indicators!$I34)+('Indicator Data'!F34&gt;=Indicators!$J34),1+('Indicator Data'!F34&lt;=Indicators!$G34)+('Indicator Data'!F34&lt;=Indicators!$H34)+('Indicator Data'!F34&lt;=Indicators!$I34)+('Indicator Data'!F34&lt;=Indicators!$J34)))</f>
        <v>2</v>
      </c>
      <c r="G34" s="27" t="n">
        <f aca="false">IF('Indicator Data'!G34="",IF(Config!$C$15="Score as High (5)",5,0),IF(Indicators!$F34="Higher = riskier",1+('Indicator Data'!G34&gt;=Indicators!$G34)+('Indicator Data'!G34&gt;=Indicators!$H34)+('Indicator Data'!G34&gt;=Indicators!$I34)+('Indicator Data'!G34&gt;=Indicators!$J34),1+('Indicator Data'!G34&lt;=Indicators!$G34)+('Indicator Data'!G34&lt;=Indicators!$H34)+('Indicator Data'!G34&lt;=Indicators!$I34)+('Indicator Data'!G34&lt;=Indicators!$J34)))</f>
        <v>2</v>
      </c>
      <c r="H34" s="27" t="n">
        <f aca="false">IF('Indicator Data'!H34="",IF(Config!$C$15="Score as High (5)",5,0),IF(Indicators!$F34="Higher = riskier",1+('Indicator Data'!H34&gt;=Indicators!$G34)+('Indicator Data'!H34&gt;=Indicators!$H34)+('Indicator Data'!H34&gt;=Indicators!$I34)+('Indicator Data'!H34&gt;=Indicators!$J34),1+('Indicator Data'!H34&lt;=Indicators!$G34)+('Indicator Data'!H34&lt;=Indicators!$H34)+('Indicator Data'!H34&lt;=Indicators!$I34)+('Indicator Data'!H34&lt;=Indicators!$J34)))</f>
        <v>4</v>
      </c>
      <c r="I34" s="27" t="n">
        <f aca="false">IF('Indicator Data'!I34="",IF(Config!$C$15="Score as High (5)",5,0),IF(Indicators!$F34="Higher = riskier",1+('Indicator Data'!I34&gt;=Indicators!$G34)+('Indicator Data'!I34&gt;=Indicators!$H34)+('Indicator Data'!I34&gt;=Indicators!$I34)+('Indicator Data'!I34&gt;=Indicators!$J34),1+('Indicator Data'!I34&lt;=Indicators!$G34)+('Indicator Data'!I34&lt;=Indicators!$H34)+('Indicator Data'!I34&lt;=Indicators!$I34)+('Indicator Data'!I34&lt;=Indicators!$J34)))</f>
        <v>5</v>
      </c>
      <c r="J34" s="27" t="n">
        <f aca="false">IF('Indicator Data'!J34="",IF(Config!$C$15="Score as High (5)",5,0),IF(Indicators!$F34="Higher = riskier",1+('Indicator Data'!J34&gt;=Indicators!$G34)+('Indicator Data'!J34&gt;=Indicators!$H34)+('Indicator Data'!J34&gt;=Indicators!$I34)+('Indicator Data'!J34&gt;=Indicators!$J34),1+('Indicator Data'!J34&lt;=Indicators!$G34)+('Indicator Data'!J34&lt;=Indicators!$H34)+('Indicator Data'!J34&lt;=Indicators!$I34)+('Indicator Data'!J34&lt;=Indicators!$J34)))</f>
        <v>4</v>
      </c>
      <c r="K34" s="27" t="n">
        <f aca="false">IF('Indicator Data'!K34="",IF(Config!$C$15="Score as High (5)",5,0),IF(Indicators!$F34="Higher = riskier",1+('Indicator Data'!K34&gt;=Indicators!$G34)+('Indicator Data'!K34&gt;=Indicators!$H34)+('Indicator Data'!K34&gt;=Indicators!$I34)+('Indicator Data'!K34&gt;=Indicators!$J34),1+('Indicator Data'!K34&lt;=Indicators!$G34)+('Indicator Data'!K34&lt;=Indicators!$H34)+('Indicator Data'!K34&lt;=Indicators!$I34)+('Indicator Data'!K34&lt;=Indicators!$J34)))</f>
        <v>4</v>
      </c>
      <c r="L34" s="27" t="n">
        <f aca="false">IF('Indicator Data'!L34="",IF(Config!$C$15="Score as High (5)",5,0),IF(Indicators!$F34="Higher = riskier",1+('Indicator Data'!L34&gt;=Indicators!$G34)+('Indicator Data'!L34&gt;=Indicators!$H34)+('Indicator Data'!L34&gt;=Indicators!$I34)+('Indicator Data'!L34&gt;=Indicators!$J34),1+('Indicator Data'!L34&lt;=Indicators!$G34)+('Indicator Data'!L34&lt;=Indicators!$H34)+('Indicator Data'!L34&lt;=Indicators!$I34)+('Indicator Data'!L34&lt;=Indicators!$J34)))</f>
        <v>4</v>
      </c>
      <c r="M34" s="27" t="n">
        <f aca="false">IF('Indicator Data'!M34="",IF(Config!$C$15="Score as High (5)",5,0),IF(Indicators!$F34="Higher = riskier",1+('Indicator Data'!M34&gt;=Indicators!$G34)+('Indicator Data'!M34&gt;=Indicators!$H34)+('Indicator Data'!M34&gt;=Indicators!$I34)+('Indicator Data'!M34&gt;=Indicators!$J34),1+('Indicator Data'!M34&lt;=Indicators!$G34)+('Indicator Data'!M34&lt;=Indicators!$H34)+('Indicator Data'!M34&lt;=Indicators!$I34)+('Indicator Data'!M34&lt;=Indicators!$J34)))</f>
        <v>5</v>
      </c>
      <c r="N34" s="27" t="n">
        <f aca="false">IF('Indicator Data'!N34="",IF(Config!$C$15="Score as High (5)",5,0),IF(Indicators!$F34="Higher = riskier",1+('Indicator Data'!N34&gt;=Indicators!$G34)+('Indicator Data'!N34&gt;=Indicators!$H34)+('Indicator Data'!N34&gt;=Indicators!$I34)+('Indicator Data'!N34&gt;=Indicators!$J34),1+('Indicator Data'!N34&lt;=Indicators!$G34)+('Indicator Data'!N34&lt;=Indicators!$H34)+('Indicator Data'!N34&lt;=Indicators!$I34)+('Indicator Data'!N34&lt;=Indicators!$J34)))</f>
        <v>2</v>
      </c>
      <c r="O34" s="27" t="n">
        <f aca="false">IF('Indicator Data'!O34="",IF(Config!$C$15="Score as High (5)",5,0),IF(Indicators!$F34="Higher = riskier",1+('Indicator Data'!O34&gt;=Indicators!$G34)+('Indicator Data'!O34&gt;=Indicators!$H34)+('Indicator Data'!O34&gt;=Indicators!$I34)+('Indicator Data'!O34&gt;=Indicators!$J34),1+('Indicator Data'!O34&lt;=Indicators!$G34)+('Indicator Data'!O34&lt;=Indicators!$H34)+('Indicator Data'!O34&lt;=Indicators!$I34)+('Indicator Data'!O34&lt;=Indicators!$J34)))</f>
        <v>1</v>
      </c>
      <c r="P34" s="27" t="n">
        <f aca="false">IF('Indicator Data'!P34="",IF(Config!$C$15="Score as High (5)",5,0),IF(Indicators!$F34="Higher = riskier",1+('Indicator Data'!P34&gt;=Indicators!$G34)+('Indicator Data'!P34&gt;=Indicators!$H34)+('Indicator Data'!P34&gt;=Indicators!$I34)+('Indicator Data'!P34&gt;=Indicators!$J34),1+('Indicator Data'!P34&lt;=Indicators!$G34)+('Indicator Data'!P34&lt;=Indicators!$H34)+('Indicator Data'!P34&lt;=Indicators!$I34)+('Indicator Data'!P34&lt;=Indicators!$J34)))</f>
        <v>4</v>
      </c>
      <c r="Q34" s="27" t="n">
        <f aca="false">IF('Indicator Data'!Q34="",IF(Config!$C$15="Score as High (5)",5,0),IF(Indicators!$F34="Higher = riskier",1+('Indicator Data'!Q34&gt;=Indicators!$G34)+('Indicator Data'!Q34&gt;=Indicators!$H34)+('Indicator Data'!Q34&gt;=Indicators!$I34)+('Indicator Data'!Q34&gt;=Indicators!$J34),1+('Indicator Data'!Q34&lt;=Indicators!$G34)+('Indicator Data'!Q34&lt;=Indicators!$H34)+('Indicator Data'!Q34&lt;=Indicators!$I34)+('Indicator Data'!Q34&lt;=Indicators!$J34)))</f>
        <v>3</v>
      </c>
      <c r="R34" s="27" t="n">
        <f aca="false">IF('Indicator Data'!R34="",IF(Config!$C$15="Score as High (5)",5,0),IF(Indicators!$F34="Higher = riskier",1+('Indicator Data'!R34&gt;=Indicators!$G34)+('Indicator Data'!R34&gt;=Indicators!$H34)+('Indicator Data'!R34&gt;=Indicators!$I34)+('Indicator Data'!R34&gt;=Indicators!$J34),1+('Indicator Data'!R34&lt;=Indicators!$G34)+('Indicator Data'!R34&lt;=Indicators!$H34)+('Indicator Data'!R34&lt;=Indicators!$I34)+('Indicator Data'!R34&lt;=Indicators!$J34)))</f>
        <v>4</v>
      </c>
      <c r="S34" s="27" t="n">
        <f aca="false">IF('Indicator Data'!S34="",IF(Config!$C$15="Score as High (5)",5,0),IF(Indicators!$F34="Higher = riskier",1+('Indicator Data'!S34&gt;=Indicators!$G34)+('Indicator Data'!S34&gt;=Indicators!$H34)+('Indicator Data'!S34&gt;=Indicators!$I34)+('Indicator Data'!S34&gt;=Indicators!$J34),1+('Indicator Data'!S34&lt;=Indicators!$G34)+('Indicator Data'!S34&lt;=Indicators!$H34)+('Indicator Data'!S34&lt;=Indicators!$I34)+('Indicator Data'!S34&lt;=Indicators!$J34)))</f>
        <v>4</v>
      </c>
      <c r="T34" s="27" t="n">
        <f aca="false">IF('Indicator Data'!T34="",IF(Config!$C$15="Score as High (5)",5,0),IF(Indicators!$F34="Higher = riskier",1+('Indicator Data'!T34&gt;=Indicators!$G34)+('Indicator Data'!T34&gt;=Indicators!$H34)+('Indicator Data'!T34&gt;=Indicators!$I34)+('Indicator Data'!T34&gt;=Indicators!$J34),1+('Indicator Data'!T34&lt;=Indicators!$G34)+('Indicator Data'!T34&lt;=Indicators!$H34)+('Indicator Data'!T34&lt;=Indicators!$I34)+('Indicator Data'!T34&lt;=Indicators!$J34)))</f>
        <v>4</v>
      </c>
      <c r="U34" s="27" t="n">
        <f aca="false">IF('Indicator Data'!U34="",IF(Config!$C$15="Score as High (5)",5,0),IF(Indicators!$F34="Higher = riskier",1+('Indicator Data'!U34&gt;=Indicators!$G34)+('Indicator Data'!U34&gt;=Indicators!$H34)+('Indicator Data'!U34&gt;=Indicators!$I34)+('Indicator Data'!U34&gt;=Indicators!$J34),1+('Indicator Data'!U34&lt;=Indicators!$G34)+('Indicator Data'!U34&lt;=Indicators!$H34)+('Indicator Data'!U34&lt;=Indicators!$I34)+('Indicator Data'!U34&lt;=Indicators!$J34)))</f>
        <v>4</v>
      </c>
      <c r="V34" s="27" t="n">
        <f aca="false">IF('Indicator Data'!V34="",IF(Config!$C$15="Score as High (5)",5,0),IF(Indicators!$F34="Higher = riskier",1+('Indicator Data'!V34&gt;=Indicators!$G34)+('Indicator Data'!V34&gt;=Indicators!$H34)+('Indicator Data'!V34&gt;=Indicators!$I34)+('Indicator Data'!V34&gt;=Indicators!$J34),1+('Indicator Data'!V34&lt;=Indicators!$G34)+('Indicator Data'!V34&lt;=Indicators!$H34)+('Indicator Data'!V34&lt;=Indicators!$I34)+('Indicator Data'!V34&lt;=Indicators!$J34)))</f>
        <v>5</v>
      </c>
      <c r="W34" s="27" t="n">
        <f aca="false">IF('Indicator Data'!W34="",IF(Config!$C$15="Score as High (5)",5,0),IF(Indicators!$F34="Higher = riskier",1+('Indicator Data'!W34&gt;=Indicators!$G34)+('Indicator Data'!W34&gt;=Indicators!$H34)+('Indicator Data'!W34&gt;=Indicators!$I34)+('Indicator Data'!W34&gt;=Indicators!$J34),1+('Indicator Data'!W34&lt;=Indicators!$G34)+('Indicator Data'!W34&lt;=Indicators!$H34)+('Indicator Data'!W34&lt;=Indicators!$I34)+('Indicator Data'!W34&lt;=Indicators!$J34)))</f>
        <v>4</v>
      </c>
      <c r="X34" s="27" t="n">
        <f aca="false">IF('Indicator Data'!X34="",IF(Config!$C$15="Score as High (5)",5,0),IF(Indicators!$F34="Higher = riskier",1+('Indicator Data'!X34&gt;=Indicators!$G34)+('Indicator Data'!X34&gt;=Indicators!$H34)+('Indicator Data'!X34&gt;=Indicators!$I34)+('Indicator Data'!X34&gt;=Indicators!$J34),1+('Indicator Data'!X34&lt;=Indicators!$G34)+('Indicator Data'!X34&lt;=Indicators!$H34)+('Indicator Data'!X34&lt;=Indicators!$I34)+('Indicator Data'!X34&lt;=Indicators!$J34)))</f>
        <v>5</v>
      </c>
      <c r="Y34" s="27" t="n">
        <f aca="false">IF('Indicator Data'!Y34="",IF(Config!$C$15="Score as High (5)",5,0),IF(Indicators!$F34="Higher = riskier",1+('Indicator Data'!Y34&gt;=Indicators!$G34)+('Indicator Data'!Y34&gt;=Indicators!$H34)+('Indicator Data'!Y34&gt;=Indicators!$I34)+('Indicator Data'!Y34&gt;=Indicators!$J34),1+('Indicator Data'!Y34&lt;=Indicators!$G34)+('Indicator Data'!Y34&lt;=Indicators!$H34)+('Indicator Data'!Y34&lt;=Indicators!$I34)+('Indicator Data'!Y34&lt;=Indicators!$J34)))</f>
        <v>1</v>
      </c>
      <c r="Z34" s="27" t="n">
        <f aca="false">IF('Indicator Data'!Z34="",IF(Config!$C$15="Score as High (5)",5,0),IF(Indicators!$F34="Higher = riskier",1+('Indicator Data'!Z34&gt;=Indicators!$G34)+('Indicator Data'!Z34&gt;=Indicators!$H34)+('Indicator Data'!Z34&gt;=Indicators!$I34)+('Indicator Data'!Z34&gt;=Indicators!$J34),1+('Indicator Data'!Z34&lt;=Indicators!$G34)+('Indicator Data'!Z34&lt;=Indicators!$H34)+('Indicator Data'!Z34&lt;=Indicators!$I34)+('Indicator Data'!Z34&lt;=Indicators!$J34)))</f>
        <v>2</v>
      </c>
      <c r="AA34" s="27" t="n">
        <f aca="false">IF('Indicator Data'!AA34="",IF(Config!$C$15="Score as High (5)",5,0),IF(Indicators!$F34="Higher = riskier",1+('Indicator Data'!AA34&gt;=Indicators!$G34)+('Indicator Data'!AA34&gt;=Indicators!$H34)+('Indicator Data'!AA34&gt;=Indicators!$I34)+('Indicator Data'!AA34&gt;=Indicators!$J34),1+('Indicator Data'!AA34&lt;=Indicators!$G34)+('Indicator Data'!AA34&lt;=Indicators!$H34)+('Indicator Data'!AA34&lt;=Indicators!$I34)+('Indicator Data'!AA34&lt;=Indicators!$J34)))</f>
        <v>1</v>
      </c>
      <c r="AB34" s="27" t="n">
        <f aca="false">IF('Indicator Data'!AB34="",IF(Config!$C$15="Score as High (5)",5,0),IF(Indicators!$F34="Higher = riskier",1+('Indicator Data'!AB34&gt;=Indicators!$G34)+('Indicator Data'!AB34&gt;=Indicators!$H34)+('Indicator Data'!AB34&gt;=Indicators!$I34)+('Indicator Data'!AB34&gt;=Indicators!$J34),1+('Indicator Data'!AB34&lt;=Indicators!$G34)+('Indicator Data'!AB34&lt;=Indicators!$H34)+('Indicator Data'!AB34&lt;=Indicators!$I34)+('Indicator Data'!AB34&lt;=Indicators!$J34)))</f>
        <v>2</v>
      </c>
      <c r="AC34" s="27" t="n">
        <f aca="false">IF('Indicator Data'!AC34="",IF(Config!$C$15="Score as High (5)",5,0),IF(Indicators!$F34="Higher = riskier",1+('Indicator Data'!AC34&gt;=Indicators!$G34)+('Indicator Data'!AC34&gt;=Indicators!$H34)+('Indicator Data'!AC34&gt;=Indicators!$I34)+('Indicator Data'!AC34&gt;=Indicators!$J34),1+('Indicator Data'!AC34&lt;=Indicators!$G34)+('Indicator Data'!AC34&lt;=Indicators!$H34)+('Indicator Data'!AC34&lt;=Indicators!$I34)+('Indicator Data'!AC34&lt;=Indicators!$J34)))</f>
        <v>3</v>
      </c>
      <c r="AD34" s="27" t="n">
        <f aca="false">IF('Indicator Data'!AD34="",IF(Config!$C$15="Score as High (5)",5,0),IF(Indicators!$F34="Higher = riskier",1+('Indicator Data'!AD34&gt;=Indicators!$G34)+('Indicator Data'!AD34&gt;=Indicators!$H34)+('Indicator Data'!AD34&gt;=Indicators!$I34)+('Indicator Data'!AD34&gt;=Indicators!$J34),1+('Indicator Data'!AD34&lt;=Indicators!$G34)+('Indicator Data'!AD34&lt;=Indicators!$H34)+('Indicator Data'!AD34&lt;=Indicators!$I34)+('Indicator Data'!AD34&lt;=Indicators!$J34)))</f>
        <v>2</v>
      </c>
      <c r="AE34" s="27" t="n">
        <f aca="false">IF('Indicator Data'!AE34="",IF(Config!$C$15="Score as High (5)",5,0),IF(Indicators!$F34="Higher = riskier",1+('Indicator Data'!AE34&gt;=Indicators!$G34)+('Indicator Data'!AE34&gt;=Indicators!$H34)+('Indicator Data'!AE34&gt;=Indicators!$I34)+('Indicator Data'!AE34&gt;=Indicators!$J34),1+('Indicator Data'!AE34&lt;=Indicators!$G34)+('Indicator Data'!AE34&lt;=Indicators!$H34)+('Indicator Data'!AE34&lt;=Indicators!$I34)+('Indicator Data'!AE34&lt;=Indicators!$J34)))</f>
        <v>2</v>
      </c>
      <c r="AF34" s="27" t="n">
        <f aca="false">IF('Indicator Data'!AF34="",IF(Config!$C$15="Score as High (5)",5,0),IF(Indicators!$F34="Higher = riskier",1+('Indicator Data'!AF34&gt;=Indicators!$G34)+('Indicator Data'!AF34&gt;=Indicators!$H34)+('Indicator Data'!AF34&gt;=Indicators!$I34)+('Indicator Data'!AF34&gt;=Indicators!$J34),1+('Indicator Data'!AF34&lt;=Indicators!$G34)+('Indicator Data'!AF34&lt;=Indicators!$H34)+('Indicator Data'!AF34&lt;=Indicators!$I34)+('Indicator Data'!AF34&lt;=Indicators!$J34)))</f>
        <v>2</v>
      </c>
      <c r="AG34" s="27" t="n">
        <f aca="false">IF('Indicator Data'!AG34="",IF(Config!$C$15="Score as High (5)",5,0),IF(Indicators!$F34="Higher = riskier",1+('Indicator Data'!AG34&gt;=Indicators!$G34)+('Indicator Data'!AG34&gt;=Indicators!$H34)+('Indicator Data'!AG34&gt;=Indicators!$I34)+('Indicator Data'!AG34&gt;=Indicators!$J34),1+('Indicator Data'!AG34&lt;=Indicators!$G34)+('Indicator Data'!AG34&lt;=Indicators!$H34)+('Indicator Data'!AG34&lt;=Indicators!$I34)+('Indicator Data'!AG34&lt;=Indicators!$J34)))</f>
        <v>4</v>
      </c>
    </row>
    <row r="35" customFormat="false" ht="15" hidden="false" customHeight="false" outlineLevel="0" collapsed="false">
      <c r="A35" s="26" t="str">
        <f aca="false">Indicators!A35</f>
        <v>T07</v>
      </c>
      <c r="B35" s="26" t="str">
        <f aca="false">Indicators!C35</f>
        <v>FATCA/CRS reportable accounts (% of accounts)</v>
      </c>
      <c r="C35" s="26" t="str">
        <f aca="false">Indicators!D35</f>
        <v>%</v>
      </c>
      <c r="D35" s="27" t="n">
        <f aca="false">IF('Indicator Data'!D35="",IF(Config!$C$15="Score as High (5)",5,0),IF(Indicators!$F35="Higher = riskier",1+('Indicator Data'!D35&gt;=Indicators!$G35)+('Indicator Data'!D35&gt;=Indicators!$H35)+('Indicator Data'!D35&gt;=Indicators!$I35)+('Indicator Data'!D35&gt;=Indicators!$J35),1+('Indicator Data'!D35&lt;=Indicators!$G35)+('Indicator Data'!D35&lt;=Indicators!$H35)+('Indicator Data'!D35&lt;=Indicators!$I35)+('Indicator Data'!D35&lt;=Indicators!$J35)))</f>
        <v>3</v>
      </c>
      <c r="E35" s="27" t="n">
        <f aca="false">IF('Indicator Data'!E35="",IF(Config!$C$15="Score as High (5)",5,0),IF(Indicators!$F35="Higher = riskier",1+('Indicator Data'!E35&gt;=Indicators!$G35)+('Indicator Data'!E35&gt;=Indicators!$H35)+('Indicator Data'!E35&gt;=Indicators!$I35)+('Indicator Data'!E35&gt;=Indicators!$J35),1+('Indicator Data'!E35&lt;=Indicators!$G35)+('Indicator Data'!E35&lt;=Indicators!$H35)+('Indicator Data'!E35&lt;=Indicators!$I35)+('Indicator Data'!E35&lt;=Indicators!$J35)))</f>
        <v>3</v>
      </c>
      <c r="F35" s="27" t="n">
        <f aca="false">IF('Indicator Data'!F35="",IF(Config!$C$15="Score as High (5)",5,0),IF(Indicators!$F35="Higher = riskier",1+('Indicator Data'!F35&gt;=Indicators!$G35)+('Indicator Data'!F35&gt;=Indicators!$H35)+('Indicator Data'!F35&gt;=Indicators!$I35)+('Indicator Data'!F35&gt;=Indicators!$J35),1+('Indicator Data'!F35&lt;=Indicators!$G35)+('Indicator Data'!F35&lt;=Indicators!$H35)+('Indicator Data'!F35&lt;=Indicators!$I35)+('Indicator Data'!F35&lt;=Indicators!$J35)))</f>
        <v>3</v>
      </c>
      <c r="G35" s="27" t="n">
        <f aca="false">IF('Indicator Data'!G35="",IF(Config!$C$15="Score as High (5)",5,0),IF(Indicators!$F35="Higher = riskier",1+('Indicator Data'!G35&gt;=Indicators!$G35)+('Indicator Data'!G35&gt;=Indicators!$H35)+('Indicator Data'!G35&gt;=Indicators!$I35)+('Indicator Data'!G35&gt;=Indicators!$J35),1+('Indicator Data'!G35&lt;=Indicators!$G35)+('Indicator Data'!G35&lt;=Indicators!$H35)+('Indicator Data'!G35&lt;=Indicators!$I35)+('Indicator Data'!G35&lt;=Indicators!$J35)))</f>
        <v>3</v>
      </c>
      <c r="H35" s="27" t="n">
        <f aca="false">IF('Indicator Data'!H35="",IF(Config!$C$15="Score as High (5)",5,0),IF(Indicators!$F35="Higher = riskier",1+('Indicator Data'!H35&gt;=Indicators!$G35)+('Indicator Data'!H35&gt;=Indicators!$H35)+('Indicator Data'!H35&gt;=Indicators!$I35)+('Indicator Data'!H35&gt;=Indicators!$J35),1+('Indicator Data'!H35&lt;=Indicators!$G35)+('Indicator Data'!H35&lt;=Indicators!$H35)+('Indicator Data'!H35&lt;=Indicators!$I35)+('Indicator Data'!H35&lt;=Indicators!$J35)))</f>
        <v>2</v>
      </c>
      <c r="I35" s="27" t="n">
        <f aca="false">IF('Indicator Data'!I35="",IF(Config!$C$15="Score as High (5)",5,0),IF(Indicators!$F35="Higher = riskier",1+('Indicator Data'!I35&gt;=Indicators!$G35)+('Indicator Data'!I35&gt;=Indicators!$H35)+('Indicator Data'!I35&gt;=Indicators!$I35)+('Indicator Data'!I35&gt;=Indicators!$J35),1+('Indicator Data'!I35&lt;=Indicators!$G35)+('Indicator Data'!I35&lt;=Indicators!$H35)+('Indicator Data'!I35&lt;=Indicators!$I35)+('Indicator Data'!I35&lt;=Indicators!$J35)))</f>
        <v>4</v>
      </c>
      <c r="J35" s="27" t="n">
        <f aca="false">IF('Indicator Data'!J35="",IF(Config!$C$15="Score as High (5)",5,0),IF(Indicators!$F35="Higher = riskier",1+('Indicator Data'!J35&gt;=Indicators!$G35)+('Indicator Data'!J35&gt;=Indicators!$H35)+('Indicator Data'!J35&gt;=Indicators!$I35)+('Indicator Data'!J35&gt;=Indicators!$J35),1+('Indicator Data'!J35&lt;=Indicators!$G35)+('Indicator Data'!J35&lt;=Indicators!$H35)+('Indicator Data'!J35&lt;=Indicators!$I35)+('Indicator Data'!J35&lt;=Indicators!$J35)))</f>
        <v>5</v>
      </c>
      <c r="K35" s="27" t="n">
        <f aca="false">IF('Indicator Data'!K35="",IF(Config!$C$15="Score as High (5)",5,0),IF(Indicators!$F35="Higher = riskier",1+('Indicator Data'!K35&gt;=Indicators!$G35)+('Indicator Data'!K35&gt;=Indicators!$H35)+('Indicator Data'!K35&gt;=Indicators!$I35)+('Indicator Data'!K35&gt;=Indicators!$J35),1+('Indicator Data'!K35&lt;=Indicators!$G35)+('Indicator Data'!K35&lt;=Indicators!$H35)+('Indicator Data'!K35&lt;=Indicators!$I35)+('Indicator Data'!K35&lt;=Indicators!$J35)))</f>
        <v>5</v>
      </c>
      <c r="L35" s="27" t="n">
        <f aca="false">IF('Indicator Data'!L35="",IF(Config!$C$15="Score as High (5)",5,0),IF(Indicators!$F35="Higher = riskier",1+('Indicator Data'!L35&gt;=Indicators!$G35)+('Indicator Data'!L35&gt;=Indicators!$H35)+('Indicator Data'!L35&gt;=Indicators!$I35)+('Indicator Data'!L35&gt;=Indicators!$J35),1+('Indicator Data'!L35&lt;=Indicators!$G35)+('Indicator Data'!L35&lt;=Indicators!$H35)+('Indicator Data'!L35&lt;=Indicators!$I35)+('Indicator Data'!L35&lt;=Indicators!$J35)))</f>
        <v>4</v>
      </c>
      <c r="M35" s="27" t="n">
        <f aca="false">IF('Indicator Data'!M35="",IF(Config!$C$15="Score as High (5)",5,0),IF(Indicators!$F35="Higher = riskier",1+('Indicator Data'!M35&gt;=Indicators!$G35)+('Indicator Data'!M35&gt;=Indicators!$H35)+('Indicator Data'!M35&gt;=Indicators!$I35)+('Indicator Data'!M35&gt;=Indicators!$J35),1+('Indicator Data'!M35&lt;=Indicators!$G35)+('Indicator Data'!M35&lt;=Indicators!$H35)+('Indicator Data'!M35&lt;=Indicators!$I35)+('Indicator Data'!M35&lt;=Indicators!$J35)))</f>
        <v>3</v>
      </c>
      <c r="N35" s="27" t="n">
        <f aca="false">IF('Indicator Data'!N35="",IF(Config!$C$15="Score as High (5)",5,0),IF(Indicators!$F35="Higher = riskier",1+('Indicator Data'!N35&gt;=Indicators!$G35)+('Indicator Data'!N35&gt;=Indicators!$H35)+('Indicator Data'!N35&gt;=Indicators!$I35)+('Indicator Data'!N35&gt;=Indicators!$J35),1+('Indicator Data'!N35&lt;=Indicators!$G35)+('Indicator Data'!N35&lt;=Indicators!$H35)+('Indicator Data'!N35&lt;=Indicators!$I35)+('Indicator Data'!N35&lt;=Indicators!$J35)))</f>
        <v>2</v>
      </c>
      <c r="O35" s="27" t="n">
        <f aca="false">IF('Indicator Data'!O35="",IF(Config!$C$15="Score as High (5)",5,0),IF(Indicators!$F35="Higher = riskier",1+('Indicator Data'!O35&gt;=Indicators!$G35)+('Indicator Data'!O35&gt;=Indicators!$H35)+('Indicator Data'!O35&gt;=Indicators!$I35)+('Indicator Data'!O35&gt;=Indicators!$J35),1+('Indicator Data'!O35&lt;=Indicators!$G35)+('Indicator Data'!O35&lt;=Indicators!$H35)+('Indicator Data'!O35&lt;=Indicators!$I35)+('Indicator Data'!O35&lt;=Indicators!$J35)))</f>
        <v>4</v>
      </c>
      <c r="P35" s="27" t="n">
        <f aca="false">IF('Indicator Data'!P35="",IF(Config!$C$15="Score as High (5)",5,0),IF(Indicators!$F35="Higher = riskier",1+('Indicator Data'!P35&gt;=Indicators!$G35)+('Indicator Data'!P35&gt;=Indicators!$H35)+('Indicator Data'!P35&gt;=Indicators!$I35)+('Indicator Data'!P35&gt;=Indicators!$J35),1+('Indicator Data'!P35&lt;=Indicators!$G35)+('Indicator Data'!P35&lt;=Indicators!$H35)+('Indicator Data'!P35&lt;=Indicators!$I35)+('Indicator Data'!P35&lt;=Indicators!$J35)))</f>
        <v>3</v>
      </c>
      <c r="Q35" s="27" t="n">
        <f aca="false">IF('Indicator Data'!Q35="",IF(Config!$C$15="Score as High (5)",5,0),IF(Indicators!$F35="Higher = riskier",1+('Indicator Data'!Q35&gt;=Indicators!$G35)+('Indicator Data'!Q35&gt;=Indicators!$H35)+('Indicator Data'!Q35&gt;=Indicators!$I35)+('Indicator Data'!Q35&gt;=Indicators!$J35),1+('Indicator Data'!Q35&lt;=Indicators!$G35)+('Indicator Data'!Q35&lt;=Indicators!$H35)+('Indicator Data'!Q35&lt;=Indicators!$I35)+('Indicator Data'!Q35&lt;=Indicators!$J35)))</f>
        <v>3</v>
      </c>
      <c r="R35" s="27" t="n">
        <f aca="false">IF('Indicator Data'!R35="",IF(Config!$C$15="Score as High (5)",5,0),IF(Indicators!$F35="Higher = riskier",1+('Indicator Data'!R35&gt;=Indicators!$G35)+('Indicator Data'!R35&gt;=Indicators!$H35)+('Indicator Data'!R35&gt;=Indicators!$I35)+('Indicator Data'!R35&gt;=Indicators!$J35),1+('Indicator Data'!R35&lt;=Indicators!$G35)+('Indicator Data'!R35&lt;=Indicators!$H35)+('Indicator Data'!R35&lt;=Indicators!$I35)+('Indicator Data'!R35&lt;=Indicators!$J35)))</f>
        <v>4</v>
      </c>
      <c r="S35" s="27" t="n">
        <f aca="false">IF('Indicator Data'!S35="",IF(Config!$C$15="Score as High (5)",5,0),IF(Indicators!$F35="Higher = riskier",1+('Indicator Data'!S35&gt;=Indicators!$G35)+('Indicator Data'!S35&gt;=Indicators!$H35)+('Indicator Data'!S35&gt;=Indicators!$I35)+('Indicator Data'!S35&gt;=Indicators!$J35),1+('Indicator Data'!S35&lt;=Indicators!$G35)+('Indicator Data'!S35&lt;=Indicators!$H35)+('Indicator Data'!S35&lt;=Indicators!$I35)+('Indicator Data'!S35&lt;=Indicators!$J35)))</f>
        <v>4</v>
      </c>
      <c r="T35" s="27" t="n">
        <f aca="false">IF('Indicator Data'!T35="",IF(Config!$C$15="Score as High (5)",5,0),IF(Indicators!$F35="Higher = riskier",1+('Indicator Data'!T35&gt;=Indicators!$G35)+('Indicator Data'!T35&gt;=Indicators!$H35)+('Indicator Data'!T35&gt;=Indicators!$I35)+('Indicator Data'!T35&gt;=Indicators!$J35),1+('Indicator Data'!T35&lt;=Indicators!$G35)+('Indicator Data'!T35&lt;=Indicators!$H35)+('Indicator Data'!T35&lt;=Indicators!$I35)+('Indicator Data'!T35&lt;=Indicators!$J35)))</f>
        <v>1</v>
      </c>
      <c r="U35" s="27" t="n">
        <f aca="false">IF('Indicator Data'!U35="",IF(Config!$C$15="Score as High (5)",5,0),IF(Indicators!$F35="Higher = riskier",1+('Indicator Data'!U35&gt;=Indicators!$G35)+('Indicator Data'!U35&gt;=Indicators!$H35)+('Indicator Data'!U35&gt;=Indicators!$I35)+('Indicator Data'!U35&gt;=Indicators!$J35),1+('Indicator Data'!U35&lt;=Indicators!$G35)+('Indicator Data'!U35&lt;=Indicators!$H35)+('Indicator Data'!U35&lt;=Indicators!$I35)+('Indicator Data'!U35&lt;=Indicators!$J35)))</f>
        <v>4</v>
      </c>
      <c r="V35" s="27" t="n">
        <f aca="false">IF('Indicator Data'!V35="",IF(Config!$C$15="Score as High (5)",5,0),IF(Indicators!$F35="Higher = riskier",1+('Indicator Data'!V35&gt;=Indicators!$G35)+('Indicator Data'!V35&gt;=Indicators!$H35)+('Indicator Data'!V35&gt;=Indicators!$I35)+('Indicator Data'!V35&gt;=Indicators!$J35),1+('Indicator Data'!V35&lt;=Indicators!$G35)+('Indicator Data'!V35&lt;=Indicators!$H35)+('Indicator Data'!V35&lt;=Indicators!$I35)+('Indicator Data'!V35&lt;=Indicators!$J35)))</f>
        <v>2</v>
      </c>
      <c r="W35" s="27" t="n">
        <f aca="false">IF('Indicator Data'!W35="",IF(Config!$C$15="Score as High (5)",5,0),IF(Indicators!$F35="Higher = riskier",1+('Indicator Data'!W35&gt;=Indicators!$G35)+('Indicator Data'!W35&gt;=Indicators!$H35)+('Indicator Data'!W35&gt;=Indicators!$I35)+('Indicator Data'!W35&gt;=Indicators!$J35),1+('Indicator Data'!W35&lt;=Indicators!$G35)+('Indicator Data'!W35&lt;=Indicators!$H35)+('Indicator Data'!W35&lt;=Indicators!$I35)+('Indicator Data'!W35&lt;=Indicators!$J35)))</f>
        <v>2</v>
      </c>
      <c r="X35" s="27" t="n">
        <f aca="false">IF('Indicator Data'!X35="",IF(Config!$C$15="Score as High (5)",5,0),IF(Indicators!$F35="Higher = riskier",1+('Indicator Data'!X35&gt;=Indicators!$G35)+('Indicator Data'!X35&gt;=Indicators!$H35)+('Indicator Data'!X35&gt;=Indicators!$I35)+('Indicator Data'!X35&gt;=Indicators!$J35),1+('Indicator Data'!X35&lt;=Indicators!$G35)+('Indicator Data'!X35&lt;=Indicators!$H35)+('Indicator Data'!X35&lt;=Indicators!$I35)+('Indicator Data'!X35&lt;=Indicators!$J35)))</f>
        <v>2</v>
      </c>
      <c r="Y35" s="27" t="n">
        <f aca="false">IF('Indicator Data'!Y35="",IF(Config!$C$15="Score as High (5)",5,0),IF(Indicators!$F35="Higher = riskier",1+('Indicator Data'!Y35&gt;=Indicators!$G35)+('Indicator Data'!Y35&gt;=Indicators!$H35)+('Indicator Data'!Y35&gt;=Indicators!$I35)+('Indicator Data'!Y35&gt;=Indicators!$J35),1+('Indicator Data'!Y35&lt;=Indicators!$G35)+('Indicator Data'!Y35&lt;=Indicators!$H35)+('Indicator Data'!Y35&lt;=Indicators!$I35)+('Indicator Data'!Y35&lt;=Indicators!$J35)))</f>
        <v>1</v>
      </c>
      <c r="Z35" s="27" t="n">
        <f aca="false">IF('Indicator Data'!Z35="",IF(Config!$C$15="Score as High (5)",5,0),IF(Indicators!$F35="Higher = riskier",1+('Indicator Data'!Z35&gt;=Indicators!$G35)+('Indicator Data'!Z35&gt;=Indicators!$H35)+('Indicator Data'!Z35&gt;=Indicators!$I35)+('Indicator Data'!Z35&gt;=Indicators!$J35),1+('Indicator Data'!Z35&lt;=Indicators!$G35)+('Indicator Data'!Z35&lt;=Indicators!$H35)+('Indicator Data'!Z35&lt;=Indicators!$I35)+('Indicator Data'!Z35&lt;=Indicators!$J35)))</f>
        <v>1</v>
      </c>
      <c r="AA35" s="27" t="n">
        <f aca="false">IF('Indicator Data'!AA35="",IF(Config!$C$15="Score as High (5)",5,0),IF(Indicators!$F35="Higher = riskier",1+('Indicator Data'!AA35&gt;=Indicators!$G35)+('Indicator Data'!AA35&gt;=Indicators!$H35)+('Indicator Data'!AA35&gt;=Indicators!$I35)+('Indicator Data'!AA35&gt;=Indicators!$J35),1+('Indicator Data'!AA35&lt;=Indicators!$G35)+('Indicator Data'!AA35&lt;=Indicators!$H35)+('Indicator Data'!AA35&lt;=Indicators!$I35)+('Indicator Data'!AA35&lt;=Indicators!$J35)))</f>
        <v>2</v>
      </c>
      <c r="AB35" s="27" t="n">
        <f aca="false">IF('Indicator Data'!AB35="",IF(Config!$C$15="Score as High (5)",5,0),IF(Indicators!$F35="Higher = riskier",1+('Indicator Data'!AB35&gt;=Indicators!$G35)+('Indicator Data'!AB35&gt;=Indicators!$H35)+('Indicator Data'!AB35&gt;=Indicators!$I35)+('Indicator Data'!AB35&gt;=Indicators!$J35),1+('Indicator Data'!AB35&lt;=Indicators!$G35)+('Indicator Data'!AB35&lt;=Indicators!$H35)+('Indicator Data'!AB35&lt;=Indicators!$I35)+('Indicator Data'!AB35&lt;=Indicators!$J35)))</f>
        <v>1</v>
      </c>
      <c r="AC35" s="27" t="n">
        <f aca="false">IF('Indicator Data'!AC35="",IF(Config!$C$15="Score as High (5)",5,0),IF(Indicators!$F35="Higher = riskier",1+('Indicator Data'!AC35&gt;=Indicators!$G35)+('Indicator Data'!AC35&gt;=Indicators!$H35)+('Indicator Data'!AC35&gt;=Indicators!$I35)+('Indicator Data'!AC35&gt;=Indicators!$J35),1+('Indicator Data'!AC35&lt;=Indicators!$G35)+('Indicator Data'!AC35&lt;=Indicators!$H35)+('Indicator Data'!AC35&lt;=Indicators!$I35)+('Indicator Data'!AC35&lt;=Indicators!$J35)))</f>
        <v>2</v>
      </c>
      <c r="AD35" s="27" t="n">
        <f aca="false">IF('Indicator Data'!AD35="",IF(Config!$C$15="Score as High (5)",5,0),IF(Indicators!$F35="Higher = riskier",1+('Indicator Data'!AD35&gt;=Indicators!$G35)+('Indicator Data'!AD35&gt;=Indicators!$H35)+('Indicator Data'!AD35&gt;=Indicators!$I35)+('Indicator Data'!AD35&gt;=Indicators!$J35),1+('Indicator Data'!AD35&lt;=Indicators!$G35)+('Indicator Data'!AD35&lt;=Indicators!$H35)+('Indicator Data'!AD35&lt;=Indicators!$I35)+('Indicator Data'!AD35&lt;=Indicators!$J35)))</f>
        <v>1</v>
      </c>
      <c r="AE35" s="27" t="n">
        <f aca="false">IF('Indicator Data'!AE35="",IF(Config!$C$15="Score as High (5)",5,0),IF(Indicators!$F35="Higher = riskier",1+('Indicator Data'!AE35&gt;=Indicators!$G35)+('Indicator Data'!AE35&gt;=Indicators!$H35)+('Indicator Data'!AE35&gt;=Indicators!$I35)+('Indicator Data'!AE35&gt;=Indicators!$J35),1+('Indicator Data'!AE35&lt;=Indicators!$G35)+('Indicator Data'!AE35&lt;=Indicators!$H35)+('Indicator Data'!AE35&lt;=Indicators!$I35)+('Indicator Data'!AE35&lt;=Indicators!$J35)))</f>
        <v>1</v>
      </c>
      <c r="AF35" s="27" t="n">
        <f aca="false">IF('Indicator Data'!AF35="",IF(Config!$C$15="Score as High (5)",5,0),IF(Indicators!$F35="Higher = riskier",1+('Indicator Data'!AF35&gt;=Indicators!$G35)+('Indicator Data'!AF35&gt;=Indicators!$H35)+('Indicator Data'!AF35&gt;=Indicators!$I35)+('Indicator Data'!AF35&gt;=Indicators!$J35),1+('Indicator Data'!AF35&lt;=Indicators!$G35)+('Indicator Data'!AF35&lt;=Indicators!$H35)+('Indicator Data'!AF35&lt;=Indicators!$I35)+('Indicator Data'!AF35&lt;=Indicators!$J35)))</f>
        <v>1</v>
      </c>
      <c r="AG35" s="27" t="n">
        <f aca="false">IF('Indicator Data'!AG35="",IF(Config!$C$15="Score as High (5)",5,0),IF(Indicators!$F35="Higher = riskier",1+('Indicator Data'!AG35&gt;=Indicators!$G35)+('Indicator Data'!AG35&gt;=Indicators!$H35)+('Indicator Data'!AG35&gt;=Indicators!$I35)+('Indicator Data'!AG35&gt;=Indicators!$J35),1+('Indicator Data'!AG35&lt;=Indicators!$G35)+('Indicator Data'!AG35&lt;=Indicators!$H35)+('Indicator Data'!AG35&lt;=Indicators!$I35)+('Indicator Data'!AG35&lt;=Indicators!$J35)))</f>
        <v>2</v>
      </c>
    </row>
  </sheetData>
  <conditionalFormatting sqref="D5:AG35">
    <cfRule type="expression" priority="2" aboveAverage="0" equalAverage="0" bottom="0" percent="0" rank="0" text="" dxfId="0">
      <formula>D5=1</formula>
    </cfRule>
    <cfRule type="expression" priority="3" aboveAverage="0" equalAverage="0" bottom="0" percent="0" rank="0" text="" dxfId="1">
      <formula>D5=2</formula>
    </cfRule>
    <cfRule type="expression" priority="4" aboveAverage="0" equalAverage="0" bottom="0" percent="0" rank="0" text="" dxfId="2">
      <formula>D5=3</formula>
    </cfRule>
    <cfRule type="expression" priority="5" aboveAverage="0" equalAverage="0" bottom="0" percent="0" rank="0" text="" dxfId="3">
      <formula>D5=4</formula>
    </cfRule>
    <cfRule type="expression" priority="6" aboveAverage="0" equalAverage="0" bottom="0" percent="0" rank="0" text="" dxfId="4">
      <formula>D5=5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8"/>
    <col collapsed="false" customWidth="true" hidden="false" outlineLevel="0" max="5" min="5" style="0" width="30"/>
    <col collapsed="false" customWidth="true" hidden="false" outlineLevel="0" max="9" min="6" style="0" width="11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13"/>
    <col collapsed="false" customWidth="true" hidden="false" outlineLevel="0" max="17" min="17" style="0" width="10"/>
    <col collapsed="false" customWidth="true" hidden="false" outlineLevel="0" max="18" min="18" style="0" width="40"/>
    <col collapsed="false" customWidth="true" hidden="false" outlineLevel="0" max="20" min="19" style="0" width="10"/>
    <col collapsed="false" customWidth="true" hidden="false" outlineLevel="0" max="21" min="21" style="0" width="13"/>
    <col collapsed="false" customWidth="true" hidden="false" outlineLevel="0" max="22" min="22" style="0" width="18"/>
    <col collapsed="false" customWidth="true" hidden="false" outlineLevel="0" max="23" min="23" style="0" width="12"/>
  </cols>
  <sheetData>
    <row r="1" customFormat="false" ht="17.35" hidden="false" customHeight="false" outlineLevel="0" collapsed="false">
      <c r="A1" s="1" t="s">
        <v>415</v>
      </c>
    </row>
    <row r="2" customFormat="false" ht="15" hidden="false" customHeight="false" outlineLevel="0" collapsed="false">
      <c r="A2" s="2" t="s">
        <v>416</v>
      </c>
    </row>
    <row r="4" customFormat="false" ht="42" hidden="false" customHeight="true" outlineLevel="0" collapsed="false">
      <c r="A4" s="5" t="s">
        <v>107</v>
      </c>
      <c r="B4" s="5" t="s">
        <v>108</v>
      </c>
      <c r="C4" s="5" t="s">
        <v>110</v>
      </c>
      <c r="D4" s="5" t="s">
        <v>417</v>
      </c>
      <c r="E4" s="5" t="s">
        <v>300</v>
      </c>
      <c r="F4" s="5" t="s">
        <v>87</v>
      </c>
      <c r="G4" s="5" t="s">
        <v>90</v>
      </c>
      <c r="H4" s="5" t="s">
        <v>92</v>
      </c>
      <c r="I4" s="5" t="s">
        <v>94</v>
      </c>
      <c r="J4" s="5" t="s">
        <v>96</v>
      </c>
      <c r="K4" s="5" t="s">
        <v>418</v>
      </c>
      <c r="L4" s="5" t="s">
        <v>419</v>
      </c>
      <c r="M4" s="5" t="s">
        <v>420</v>
      </c>
      <c r="N4" s="5" t="s">
        <v>421</v>
      </c>
      <c r="O4" s="5" t="s">
        <v>422</v>
      </c>
      <c r="P4" s="5" t="s">
        <v>423</v>
      </c>
      <c r="Q4" s="5" t="s">
        <v>424</v>
      </c>
      <c r="R4" s="5" t="s">
        <v>425</v>
      </c>
      <c r="S4" s="5" t="s">
        <v>426</v>
      </c>
      <c r="T4" s="5" t="s">
        <v>427</v>
      </c>
      <c r="U4" s="5" t="s">
        <v>428</v>
      </c>
      <c r="V4" s="5" t="s">
        <v>429</v>
      </c>
      <c r="W4" s="5" t="s">
        <v>430</v>
      </c>
    </row>
    <row r="5" customFormat="false" ht="15" hidden="false" customHeight="false" outlineLevel="0" collapsed="false">
      <c r="A5" s="26" t="str">
        <f aca="false">Entities!$A$5</f>
        <v>JO-HO</v>
      </c>
      <c r="B5" s="12" t="str">
        <f aca="false">INDEX(Entities!$B$5:$B$34,MATCH(A5,Entities!$A$5:$A$34,0))</f>
        <v>Arab Bank plc – Jordan (HO and domestic network)</v>
      </c>
      <c r="C5" s="12" t="str">
        <f aca="false">INDEX(Entities!$D$5:$D$34,MATCH(A5,Entities!$A$5:$A$34,0))</f>
        <v>Jordan (home)</v>
      </c>
      <c r="D5" s="12" t="s">
        <v>233</v>
      </c>
      <c r="E5" s="12" t="str">
        <f aca="false">INDEX('Risk Taxonomy'!$B$5:$B$24,MATCH(D5,'Risk Taxonomy'!$A$5:$A$24,0))</f>
        <v>Money laundering</v>
      </c>
      <c r="F5" s="28" t="n">
        <f aca="false">IFERROR(SUMPRODUCT((Indicators!$B$5:$B$35=F$4)*Indicators!$K$5:$K$35*'Indicator Scores'!$D$5:$D$35)/SUMPRODUCT((Indicators!$B$5:$B$35=F$4)*Indicators!$K$5:$K$35*('Indicator Scores'!$D$5:$D$35&gt;0)),0)</f>
        <v>3.25</v>
      </c>
      <c r="G5" s="28" t="n">
        <f aca="false">IFERROR(SUMPRODUCT((Indicators!$B$5:$B$35=G$4)*Indicators!$K$5:$K$35*'Indicator Scores'!$D$5:$D$35)/SUMPRODUCT((Indicators!$B$5:$B$35=G$4)*Indicators!$K$5:$K$35*('Indicator Scores'!$D$5:$D$35&gt;0)),0)</f>
        <v>2.88888888888889</v>
      </c>
      <c r="H5" s="28" t="n">
        <f aca="false">IFERROR(SUMPRODUCT((Indicators!$B$5:$B$35=H$4)*Indicators!$K$5:$K$35*'Indicator Scores'!$D$5:$D$35)/SUMPRODUCT((Indicators!$B$5:$B$35=H$4)*Indicators!$K$5:$K$35*('Indicator Scores'!$D$5:$D$35&gt;0)),0)</f>
        <v>3</v>
      </c>
      <c r="I5" s="28" t="n">
        <f aca="false">IFERROR(SUMPRODUCT((Indicators!$B$5:$B$35=I$4)*Indicators!$K$5:$K$35*'Indicator Scores'!$D$5:$D$35)/SUMPRODUCT((Indicators!$B$5:$B$35=I$4)*Indicators!$K$5:$K$35*('Indicator Scores'!$D$5:$D$35&gt;0)),0)</f>
        <v>2.85714285714286</v>
      </c>
      <c r="J5" s="28" t="n">
        <f aca="false">IFERROR(SUMPRODUCT((Indicators!$B$5:$B$35=J$4)*Indicators!$K$5:$K$35*'Indicator Scores'!$D$5:$D$35)/SUMPRODUCT((Indicators!$B$5:$B$35=J$4)*Indicators!$K$5:$K$35*('Indicator Scores'!$D$5:$D$35&gt;0)),0)</f>
        <v>2</v>
      </c>
      <c r="K5" s="28" t="n">
        <f aca="false">IFERROR(SUMPRODUCT(F5:J5,INDEX('Factor Weights'!$C$5:$G$11,MATCH(D5,'Factor Weights'!$A$5:$A$11,0),0))/SUMPRODUCT((F5:J5&gt;0)*INDEX('Factor Weights'!$C$5:$G$11,MATCH(D5,'Factor Weights'!$A$5:$A$11,0),0)),0)</f>
        <v>2.92579365079365</v>
      </c>
      <c r="L5" s="29" t="n">
        <f aca="false">MAX(F5:J5)</f>
        <v>3.25</v>
      </c>
      <c r="M5" s="28" t="n">
        <f aca="false">IF(L5&gt;=Config!$C$13,MAX(K5,Config!$C$14),K5)</f>
        <v>2.92579365079365</v>
      </c>
      <c r="N5" s="30" t="n">
        <f aca="false">IF(Config!$C$12="Weighted average",K5,IF(Config!$C$12="Weighted with floor",M5,L5))</f>
        <v>2.92579365079365</v>
      </c>
      <c r="O5" s="31" t="n">
        <f aca="false">IF(N5&lt;Config!$D$5,"",MATCH(N5,Config!$D$5:$D$9,1))</f>
        <v>3</v>
      </c>
      <c r="P5" s="7" t="str">
        <f aca="false">IF(O5="","No data",INDEX(Config!$B$5:$B$9,O5))</f>
        <v>Medium</v>
      </c>
      <c r="Q5" s="32" t="n">
        <v>0</v>
      </c>
      <c r="R5" s="8"/>
      <c r="S5" s="33"/>
      <c r="T5" s="34" t="n">
        <f aca="false">IF(O5="","",IF(AND(S5="Y",Q5&lt;&gt;0),MAX(1,MIN(5,O5+MAX(-Config!$C$27,MIN(Config!$C$27,Q5)))),O5))</f>
        <v>3</v>
      </c>
      <c r="U5" s="35" t="str">
        <f aca="false">IF(T5="","No data",INDEX(Config!$B$5:$B$9,T5))</f>
        <v>Medium</v>
      </c>
      <c r="V5" s="7" t="str">
        <f aca="false">IF(Q5=0,"None",IF(S5="Y","Applied","Pending HO approval"))</f>
        <v>None</v>
      </c>
      <c r="W5" s="36" t="n">
        <f aca="false">SUMPRODUCT((Indicators!$K$5:$K$35&gt;0)*('Indicator Data'!$D$5:$D$35&lt;&gt;""))/SUMPRODUCT(--(Indicators!$K$5:$K$35&gt;0))</f>
        <v>1</v>
      </c>
    </row>
    <row r="6" customFormat="false" ht="15" hidden="false" customHeight="false" outlineLevel="0" collapsed="false">
      <c r="A6" s="26" t="str">
        <f aca="false">Entities!$A$5</f>
        <v>JO-HO</v>
      </c>
      <c r="B6" s="12" t="str">
        <f aca="false">INDEX(Entities!$B$5:$B$34,MATCH(A6,Entities!$A$5:$A$34,0))</f>
        <v>Arab Bank plc – Jordan (HO and domestic network)</v>
      </c>
      <c r="C6" s="12" t="str">
        <f aca="false">INDEX(Entities!$D$5:$D$34,MATCH(A6,Entities!$A$5:$A$34,0))</f>
        <v>Jordan (home)</v>
      </c>
      <c r="D6" s="12" t="s">
        <v>240</v>
      </c>
      <c r="E6" s="12" t="str">
        <f aca="false">INDEX('Risk Taxonomy'!$B$5:$B$24,MATCH(D6,'Risk Taxonomy'!$A$5:$A$24,0))</f>
        <v>Terrorist financing</v>
      </c>
      <c r="F6" s="28" t="n">
        <f aca="false">IFERROR(SUMPRODUCT((Indicators!$B$5:$B$35=F$4)*Indicators!$L$5:$L$35*'Indicator Scores'!$D$5:$D$35)/SUMPRODUCT((Indicators!$B$5:$B$35=F$4)*Indicators!$L$5:$L$35*('Indicator Scores'!$D$5:$D$35&gt;0)),0)</f>
        <v>3.2</v>
      </c>
      <c r="G6" s="28" t="n">
        <f aca="false">IFERROR(SUMPRODUCT((Indicators!$B$5:$B$35=G$4)*Indicators!$L$5:$L$35*'Indicator Scores'!$D$5:$D$35)/SUMPRODUCT((Indicators!$B$5:$B$35=G$4)*Indicators!$L$5:$L$35*('Indicator Scores'!$D$5:$D$35&gt;0)),0)</f>
        <v>2.66666666666667</v>
      </c>
      <c r="H6" s="28" t="n">
        <f aca="false">IFERROR(SUMPRODUCT((Indicators!$B$5:$B$35=H$4)*Indicators!$L$5:$L$35*'Indicator Scores'!$D$5:$D$35)/SUMPRODUCT((Indicators!$B$5:$B$35=H$4)*Indicators!$L$5:$L$35*('Indicator Scores'!$D$5:$D$35&gt;0)),0)</f>
        <v>3.16666666666667</v>
      </c>
      <c r="I6" s="28" t="n">
        <f aca="false">IFERROR(SUMPRODUCT((Indicators!$B$5:$B$35=I$4)*Indicators!$L$5:$L$35*'Indicator Scores'!$D$5:$D$35)/SUMPRODUCT((Indicators!$B$5:$B$35=I$4)*Indicators!$L$5:$L$35*('Indicator Scores'!$D$5:$D$35&gt;0)),0)</f>
        <v>3</v>
      </c>
      <c r="J6" s="28" t="n">
        <f aca="false">IFERROR(SUMPRODUCT((Indicators!$B$5:$B$35=J$4)*Indicators!$L$5:$L$35*'Indicator Scores'!$D$5:$D$35)/SUMPRODUCT((Indicators!$B$5:$B$35=J$4)*Indicators!$L$5:$L$35*('Indicator Scores'!$D$5:$D$35&gt;0)),0)</f>
        <v>2</v>
      </c>
      <c r="K6" s="28" t="n">
        <f aca="false">IFERROR(SUMPRODUCT(F6:J6,INDEX('Factor Weights'!$C$5:$G$11,MATCH(D6,'Factor Weights'!$A$5:$A$11,0),0))/SUMPRODUCT((F6:J6&gt;0)*INDEX('Factor Weights'!$C$5:$G$11,MATCH(D6,'Factor Weights'!$A$5:$A$11,0),0)),0)</f>
        <v>2.775</v>
      </c>
      <c r="L6" s="29" t="n">
        <f aca="false">MAX(F6:J6)</f>
        <v>3.2</v>
      </c>
      <c r="M6" s="28" t="n">
        <f aca="false">IF(L6&gt;=Config!$C$13,MAX(K6,Config!$C$14),K6)</f>
        <v>2.775</v>
      </c>
      <c r="N6" s="30" t="n">
        <f aca="false">IF(Config!$C$12="Weighted average",K6,IF(Config!$C$12="Weighted with floor",M6,L6))</f>
        <v>2.775</v>
      </c>
      <c r="O6" s="31" t="n">
        <f aca="false">IF(N6&lt;Config!$D$5,"",MATCH(N6,Config!$D$5:$D$9,1))</f>
        <v>3</v>
      </c>
      <c r="P6" s="7" t="str">
        <f aca="false">IF(O6="","No data",INDEX(Config!$B$5:$B$9,O6))</f>
        <v>Medium</v>
      </c>
      <c r="Q6" s="32" t="n">
        <v>0</v>
      </c>
      <c r="R6" s="8"/>
      <c r="S6" s="33"/>
      <c r="T6" s="34" t="n">
        <f aca="false">IF(O6="","",IF(AND(S6="Y",Q6&lt;&gt;0),MAX(1,MIN(5,O6+MAX(-Config!$C$27,MIN(Config!$C$27,Q6)))),O6))</f>
        <v>3</v>
      </c>
      <c r="U6" s="35" t="str">
        <f aca="false">IF(T6="","No data",INDEX(Config!$B$5:$B$9,T6))</f>
        <v>Medium</v>
      </c>
      <c r="V6" s="7" t="str">
        <f aca="false">IF(Q6=0,"None",IF(S6="Y","Applied","Pending HO approval"))</f>
        <v>None</v>
      </c>
      <c r="W6" s="36" t="n">
        <f aca="false">SUMPRODUCT((Indicators!$L$5:$L$35&gt;0)*('Indicator Data'!$D$5:$D$35&lt;&gt;""))/SUMPRODUCT(--(Indicators!$L$5:$L$35&gt;0))</f>
        <v>1</v>
      </c>
    </row>
    <row r="7" customFormat="false" ht="15" hidden="false" customHeight="false" outlineLevel="0" collapsed="false">
      <c r="A7" s="26" t="str">
        <f aca="false">Entities!$A$5</f>
        <v>JO-HO</v>
      </c>
      <c r="B7" s="12" t="str">
        <f aca="false">INDEX(Entities!$B$5:$B$34,MATCH(A7,Entities!$A$5:$A$34,0))</f>
        <v>Arab Bank plc – Jordan (HO and domestic network)</v>
      </c>
      <c r="C7" s="12" t="str">
        <f aca="false">INDEX(Entities!$D$5:$D$34,MATCH(A7,Entities!$A$5:$A$34,0))</f>
        <v>Jordan (home)</v>
      </c>
      <c r="D7" s="12" t="s">
        <v>243</v>
      </c>
      <c r="E7" s="12" t="str">
        <f aca="false">INDEX('Risk Taxonomy'!$B$5:$B$24,MATCH(D7,'Risk Taxonomy'!$A$5:$A$24,0))</f>
        <v>Proliferation financing</v>
      </c>
      <c r="F7" s="28" t="n">
        <f aca="false">IFERROR(SUMPRODUCT((Indicators!$B$5:$B$35=F$4)*Indicators!$M$5:$M$35*'Indicator Scores'!$D$5:$D$35)/SUMPRODUCT((Indicators!$B$5:$B$35=F$4)*Indicators!$M$5:$M$35*('Indicator Scores'!$D$5:$D$35&gt;0)),0)</f>
        <v>3.25</v>
      </c>
      <c r="G7" s="28" t="n">
        <f aca="false">IFERROR(SUMPRODUCT((Indicators!$B$5:$B$35=G$4)*Indicators!$M$5:$M$35*'Indicator Scores'!$D$5:$D$35)/SUMPRODUCT((Indicators!$B$5:$B$35=G$4)*Indicators!$M$5:$M$35*('Indicator Scores'!$D$5:$D$35&gt;0)),0)</f>
        <v>3</v>
      </c>
      <c r="H7" s="28" t="n">
        <f aca="false">IFERROR(SUMPRODUCT((Indicators!$B$5:$B$35=H$4)*Indicators!$M$5:$M$35*'Indicator Scores'!$D$5:$D$35)/SUMPRODUCT((Indicators!$B$5:$B$35=H$4)*Indicators!$M$5:$M$35*('Indicator Scores'!$D$5:$D$35&gt;0)),0)</f>
        <v>3.66666666666667</v>
      </c>
      <c r="I7" s="28" t="n">
        <f aca="false">IFERROR(SUMPRODUCT((Indicators!$B$5:$B$35=I$4)*Indicators!$M$5:$M$35*'Indicator Scores'!$D$5:$D$35)/SUMPRODUCT((Indicators!$B$5:$B$35=I$4)*Indicators!$M$5:$M$35*('Indicator Scores'!$D$5:$D$35&gt;0)),0)</f>
        <v>3.66666666666667</v>
      </c>
      <c r="J7" s="28" t="n">
        <f aca="false">IFERROR(SUMPRODUCT((Indicators!$B$5:$B$35=J$4)*Indicators!$M$5:$M$35*'Indicator Scores'!$D$5:$D$35)/SUMPRODUCT((Indicators!$B$5:$B$35=J$4)*Indicators!$M$5:$M$35*('Indicator Scores'!$D$5:$D$35&gt;0)),0)</f>
        <v>3</v>
      </c>
      <c r="K7" s="28" t="n">
        <f aca="false">IFERROR(SUMPRODUCT(F7:J7,INDEX('Factor Weights'!$C$5:$G$11,MATCH(D7,'Factor Weights'!$A$5:$A$11,0),0))/SUMPRODUCT((F7:J7&gt;0)*INDEX('Factor Weights'!$C$5:$G$11,MATCH(D7,'Factor Weights'!$A$5:$A$11,0),0)),0)</f>
        <v>3.27083333333333</v>
      </c>
      <c r="L7" s="29" t="n">
        <f aca="false">MAX(F7:J7)</f>
        <v>3.66666666666667</v>
      </c>
      <c r="M7" s="28" t="n">
        <f aca="false">IF(L7&gt;=Config!$C$13,MAX(K7,Config!$C$14),K7)</f>
        <v>3.27083333333333</v>
      </c>
      <c r="N7" s="30" t="n">
        <f aca="false">IF(Config!$C$12="Weighted average",K7,IF(Config!$C$12="Weighted with floor",M7,L7))</f>
        <v>3.27083333333333</v>
      </c>
      <c r="O7" s="31" t="n">
        <f aca="false">IF(N7&lt;Config!$D$5,"",MATCH(N7,Config!$D$5:$D$9,1))</f>
        <v>3</v>
      </c>
      <c r="P7" s="7" t="str">
        <f aca="false">IF(O7="","No data",INDEX(Config!$B$5:$B$9,O7))</f>
        <v>Medium</v>
      </c>
      <c r="Q7" s="32" t="n">
        <v>0</v>
      </c>
      <c r="R7" s="8"/>
      <c r="S7" s="33"/>
      <c r="T7" s="34" t="n">
        <f aca="false">IF(O7="","",IF(AND(S7="Y",Q7&lt;&gt;0),MAX(1,MIN(5,O7+MAX(-Config!$C$27,MIN(Config!$C$27,Q7)))),O7))</f>
        <v>3</v>
      </c>
      <c r="U7" s="35" t="str">
        <f aca="false">IF(T7="","No data",INDEX(Config!$B$5:$B$9,T7))</f>
        <v>Medium</v>
      </c>
      <c r="V7" s="7" t="str">
        <f aca="false">IF(Q7=0,"None",IF(S7="Y","Applied","Pending HO approval"))</f>
        <v>None</v>
      </c>
      <c r="W7" s="36" t="n">
        <f aca="false">SUMPRODUCT((Indicators!$M$5:$M$35&gt;0)*('Indicator Data'!$D$5:$D$35&lt;&gt;""))/SUMPRODUCT(--(Indicators!$M$5:$M$35&gt;0))</f>
        <v>1</v>
      </c>
    </row>
    <row r="8" customFormat="false" ht="15" hidden="false" customHeight="false" outlineLevel="0" collapsed="false">
      <c r="A8" s="26" t="str">
        <f aca="false">Entities!$A$5</f>
        <v>JO-HO</v>
      </c>
      <c r="B8" s="12" t="str">
        <f aca="false">INDEX(Entities!$B$5:$B$34,MATCH(A8,Entities!$A$5:$A$34,0))</f>
        <v>Arab Bank plc – Jordan (HO and domestic network)</v>
      </c>
      <c r="C8" s="12" t="str">
        <f aca="false">INDEX(Entities!$D$5:$D$34,MATCH(A8,Entities!$A$5:$A$34,0))</f>
        <v>Jordan (home)</v>
      </c>
      <c r="D8" s="12" t="s">
        <v>245</v>
      </c>
      <c r="E8" s="12" t="str">
        <f aca="false">INDEX('Risk Taxonomy'!$B$5:$B$24,MATCH(D8,'Risk Taxonomy'!$A$5:$A$24,0))</f>
        <v>Sanctions</v>
      </c>
      <c r="F8" s="28" t="n">
        <f aca="false">IFERROR(SUMPRODUCT((Indicators!$B$5:$B$35=F$4)*Indicators!$N$5:$N$35*'Indicator Scores'!$D$5:$D$35)/SUMPRODUCT((Indicators!$B$5:$B$35=F$4)*Indicators!$N$5:$N$35*('Indicator Scores'!$D$5:$D$35&gt;0)),0)</f>
        <v>3.28571428571429</v>
      </c>
      <c r="G8" s="28" t="n">
        <f aca="false">IFERROR(SUMPRODUCT((Indicators!$B$5:$B$35=G$4)*Indicators!$N$5:$N$35*'Indicator Scores'!$D$5:$D$35)/SUMPRODUCT((Indicators!$B$5:$B$35=G$4)*Indicators!$N$5:$N$35*('Indicator Scores'!$D$5:$D$35&gt;0)),0)</f>
        <v>3.14285714285714</v>
      </c>
      <c r="H8" s="28" t="n">
        <f aca="false">IFERROR(SUMPRODUCT((Indicators!$B$5:$B$35=H$4)*Indicators!$N$5:$N$35*'Indicator Scores'!$D$5:$D$35)/SUMPRODUCT((Indicators!$B$5:$B$35=H$4)*Indicators!$N$5:$N$35*('Indicator Scores'!$D$5:$D$35&gt;0)),0)</f>
        <v>3.375</v>
      </c>
      <c r="I8" s="28" t="n">
        <f aca="false">IFERROR(SUMPRODUCT((Indicators!$B$5:$B$35=I$4)*Indicators!$N$5:$N$35*'Indicator Scores'!$D$5:$D$35)/SUMPRODUCT((Indicators!$B$5:$B$35=I$4)*Indicators!$N$5:$N$35*('Indicator Scores'!$D$5:$D$35&gt;0)),0)</f>
        <v>3.33333333333333</v>
      </c>
      <c r="J8" s="28" t="n">
        <f aca="false">IFERROR(SUMPRODUCT((Indicators!$B$5:$B$35=J$4)*Indicators!$N$5:$N$35*'Indicator Scores'!$D$5:$D$35)/SUMPRODUCT((Indicators!$B$5:$B$35=J$4)*Indicators!$N$5:$N$35*('Indicator Scores'!$D$5:$D$35&gt;0)),0)</f>
        <v>3</v>
      </c>
      <c r="K8" s="28" t="n">
        <f aca="false">IFERROR(SUMPRODUCT(F8:J8,INDEX('Factor Weights'!$C$5:$G$11,MATCH(D8,'Factor Weights'!$A$5:$A$11,0),0))/SUMPRODUCT((F8:J8&gt;0)*INDEX('Factor Weights'!$C$5:$G$11,MATCH(D8,'Factor Weights'!$A$5:$A$11,0),0)),0)</f>
        <v>3.19166666666667</v>
      </c>
      <c r="L8" s="29" t="n">
        <f aca="false">MAX(F8:J8)</f>
        <v>3.375</v>
      </c>
      <c r="M8" s="28" t="n">
        <f aca="false">IF(L8&gt;=Config!$C$13,MAX(K8,Config!$C$14),K8)</f>
        <v>3.19166666666667</v>
      </c>
      <c r="N8" s="30" t="n">
        <f aca="false">IF(Config!$C$12="Weighted average",K8,IF(Config!$C$12="Weighted with floor",M8,L8))</f>
        <v>3.19166666666667</v>
      </c>
      <c r="O8" s="31" t="n">
        <f aca="false">IF(N8&lt;Config!$D$5,"",MATCH(N8,Config!$D$5:$D$9,1))</f>
        <v>3</v>
      </c>
      <c r="P8" s="7" t="str">
        <f aca="false">IF(O8="","No data",INDEX(Config!$B$5:$B$9,O8))</f>
        <v>Medium</v>
      </c>
      <c r="Q8" s="32" t="n">
        <v>0</v>
      </c>
      <c r="R8" s="8"/>
      <c r="S8" s="33"/>
      <c r="T8" s="34" t="n">
        <f aca="false">IF(O8="","",IF(AND(S8="Y",Q8&lt;&gt;0),MAX(1,MIN(5,O8+MAX(-Config!$C$27,MIN(Config!$C$27,Q8)))),O8))</f>
        <v>3</v>
      </c>
      <c r="U8" s="35" t="str">
        <f aca="false">IF(T8="","No data",INDEX(Config!$B$5:$B$9,T8))</f>
        <v>Medium</v>
      </c>
      <c r="V8" s="7" t="str">
        <f aca="false">IF(Q8=0,"None",IF(S8="Y","Applied","Pending HO approval"))</f>
        <v>None</v>
      </c>
      <c r="W8" s="36" t="n">
        <f aca="false">SUMPRODUCT((Indicators!$N$5:$N$35&gt;0)*('Indicator Data'!$D$5:$D$35&lt;&gt;""))/SUMPRODUCT(--(Indicators!$N$5:$N$35&gt;0))</f>
        <v>1</v>
      </c>
    </row>
    <row r="9" customFormat="false" ht="15" hidden="false" customHeight="false" outlineLevel="0" collapsed="false">
      <c r="A9" s="26" t="str">
        <f aca="false">Entities!$A$5</f>
        <v>JO-HO</v>
      </c>
      <c r="B9" s="12" t="str">
        <f aca="false">INDEX(Entities!$B$5:$B$34,MATCH(A9,Entities!$A$5:$A$34,0))</f>
        <v>Arab Bank plc – Jordan (HO and domestic network)</v>
      </c>
      <c r="C9" s="12" t="str">
        <f aca="false">INDEX(Entities!$D$5:$D$34,MATCH(A9,Entities!$A$5:$A$34,0))</f>
        <v>Jordan (home)</v>
      </c>
      <c r="D9" s="12" t="s">
        <v>248</v>
      </c>
      <c r="E9" s="12" t="str">
        <f aca="false">INDEX('Risk Taxonomy'!$B$5:$B$24,MATCH(D9,'Risk Taxonomy'!$A$5:$A$24,0))</f>
        <v>Bribery and corruption</v>
      </c>
      <c r="F9" s="28" t="n">
        <f aca="false">IFERROR(SUMPRODUCT((Indicators!$B$5:$B$35=F$4)*Indicators!$O$5:$O$35*'Indicator Scores'!$D$5:$D$35)/SUMPRODUCT((Indicators!$B$5:$B$35=F$4)*Indicators!$O$5:$O$35*('Indicator Scores'!$D$5:$D$35&gt;0)),0)</f>
        <v>3.44444444444444</v>
      </c>
      <c r="G9" s="28" t="n">
        <f aca="false">IFERROR(SUMPRODUCT((Indicators!$B$5:$B$35=G$4)*Indicators!$O$5:$O$35*'Indicator Scores'!$D$5:$D$35)/SUMPRODUCT((Indicators!$B$5:$B$35=G$4)*Indicators!$O$5:$O$35*('Indicator Scores'!$D$5:$D$35&gt;0)),0)</f>
        <v>3</v>
      </c>
      <c r="H9" s="28" t="n">
        <f aca="false">IFERROR(SUMPRODUCT((Indicators!$B$5:$B$35=H$4)*Indicators!$O$5:$O$35*'Indicator Scores'!$D$5:$D$35)/SUMPRODUCT((Indicators!$B$5:$B$35=H$4)*Indicators!$O$5:$O$35*('Indicator Scores'!$D$5:$D$35&gt;0)),0)</f>
        <v>2</v>
      </c>
      <c r="I9" s="28" t="n">
        <f aca="false">IFERROR(SUMPRODUCT((Indicators!$B$5:$B$35=I$4)*Indicators!$O$5:$O$35*'Indicator Scores'!$D$5:$D$35)/SUMPRODUCT((Indicators!$B$5:$B$35=I$4)*Indicators!$O$5:$O$35*('Indicator Scores'!$D$5:$D$35&gt;0)),0)</f>
        <v>4</v>
      </c>
      <c r="J9" s="28" t="n">
        <f aca="false">IFERROR(SUMPRODUCT((Indicators!$B$5:$B$35=J$4)*Indicators!$O$5:$O$35*'Indicator Scores'!$D$5:$D$35)/SUMPRODUCT((Indicators!$B$5:$B$35=J$4)*Indicators!$O$5:$O$35*('Indicator Scores'!$D$5:$D$35&gt;0)),0)</f>
        <v>3</v>
      </c>
      <c r="K9" s="28" t="n">
        <f aca="false">IFERROR(SUMPRODUCT(F9:J9,INDEX('Factor Weights'!$C$5:$G$11,MATCH(D9,'Factor Weights'!$A$5:$A$11,0),0))/SUMPRODUCT((F9:J9&gt;0)*INDEX('Factor Weights'!$C$5:$G$11,MATCH(D9,'Factor Weights'!$A$5:$A$11,0),0)),0)</f>
        <v>3.18333333333333</v>
      </c>
      <c r="L9" s="29" t="n">
        <f aca="false">MAX(F9:J9)</f>
        <v>4</v>
      </c>
      <c r="M9" s="28" t="n">
        <f aca="false">IF(L9&gt;=Config!$C$13,MAX(K9,Config!$C$14),K9)</f>
        <v>3.18333333333333</v>
      </c>
      <c r="N9" s="30" t="n">
        <f aca="false">IF(Config!$C$12="Weighted average",K9,IF(Config!$C$12="Weighted with floor",M9,L9))</f>
        <v>3.18333333333333</v>
      </c>
      <c r="O9" s="31" t="n">
        <f aca="false">IF(N9&lt;Config!$D$5,"",MATCH(N9,Config!$D$5:$D$9,1))</f>
        <v>3</v>
      </c>
      <c r="P9" s="7" t="str">
        <f aca="false">IF(O9="","No data",INDEX(Config!$B$5:$B$9,O9))</f>
        <v>Medium</v>
      </c>
      <c r="Q9" s="32" t="n">
        <v>0</v>
      </c>
      <c r="R9" s="8"/>
      <c r="S9" s="33"/>
      <c r="T9" s="34" t="n">
        <f aca="false">IF(O9="","",IF(AND(S9="Y",Q9&lt;&gt;0),MAX(1,MIN(5,O9+MAX(-Config!$C$27,MIN(Config!$C$27,Q9)))),O9))</f>
        <v>3</v>
      </c>
      <c r="U9" s="35" t="str">
        <f aca="false">IF(T9="","No data",INDEX(Config!$B$5:$B$9,T9))</f>
        <v>Medium</v>
      </c>
      <c r="V9" s="7" t="str">
        <f aca="false">IF(Q9=0,"None",IF(S9="Y","Applied","Pending HO approval"))</f>
        <v>None</v>
      </c>
      <c r="W9" s="36" t="n">
        <f aca="false">SUMPRODUCT((Indicators!$O$5:$O$35&gt;0)*('Indicator Data'!$D$5:$D$35&lt;&gt;""))/SUMPRODUCT(--(Indicators!$O$5:$O$35&gt;0))</f>
        <v>1</v>
      </c>
    </row>
    <row r="10" customFormat="false" ht="15" hidden="false" customHeight="false" outlineLevel="0" collapsed="false">
      <c r="A10" s="26" t="str">
        <f aca="false">Entities!$A$5</f>
        <v>JO-HO</v>
      </c>
      <c r="B10" s="12" t="str">
        <f aca="false">INDEX(Entities!$B$5:$B$34,MATCH(A10,Entities!$A$5:$A$34,0))</f>
        <v>Arab Bank plc – Jordan (HO and domestic network)</v>
      </c>
      <c r="C10" s="12" t="str">
        <f aca="false">INDEX(Entities!$D$5:$D$34,MATCH(A10,Entities!$A$5:$A$34,0))</f>
        <v>Jordan (home)</v>
      </c>
      <c r="D10" s="12" t="s">
        <v>251</v>
      </c>
      <c r="E10" s="12" t="str">
        <f aca="false">INDEX('Risk Taxonomy'!$B$5:$B$24,MATCH(D10,'Risk Taxonomy'!$A$5:$A$24,0))</f>
        <v>Fraud</v>
      </c>
      <c r="F10" s="28" t="n">
        <f aca="false">IFERROR(SUMPRODUCT((Indicators!$B$5:$B$35=F$4)*Indicators!$P$5:$P$35*'Indicator Scores'!$D$5:$D$35)/SUMPRODUCT((Indicators!$B$5:$B$35=F$4)*Indicators!$P$5:$P$35*('Indicator Scores'!$D$5:$D$35&gt;0)),0)</f>
        <v>3</v>
      </c>
      <c r="G10" s="28" t="n">
        <f aca="false">IFERROR(SUMPRODUCT((Indicators!$B$5:$B$35=G$4)*Indicators!$P$5:$P$35*'Indicator Scores'!$D$5:$D$35)/SUMPRODUCT((Indicators!$B$5:$B$35=G$4)*Indicators!$P$5:$P$35*('Indicator Scores'!$D$5:$D$35&gt;0)),0)</f>
        <v>2.75</v>
      </c>
      <c r="H10" s="28" t="n">
        <f aca="false">IFERROR(SUMPRODUCT((Indicators!$B$5:$B$35=H$4)*Indicators!$P$5:$P$35*'Indicator Scores'!$D$5:$D$35)/SUMPRODUCT((Indicators!$B$5:$B$35=H$4)*Indicators!$P$5:$P$35*('Indicator Scores'!$D$5:$D$35&gt;0)),0)</f>
        <v>3</v>
      </c>
      <c r="I10" s="28" t="n">
        <f aca="false">IFERROR(SUMPRODUCT((Indicators!$B$5:$B$35=I$4)*Indicators!$P$5:$P$35*'Indicator Scores'!$D$5:$D$35)/SUMPRODUCT((Indicators!$B$5:$B$35=I$4)*Indicators!$P$5:$P$35*('Indicator Scores'!$D$5:$D$35&gt;0)),0)</f>
        <v>2.55555555555556</v>
      </c>
      <c r="J10" s="28" t="n">
        <f aca="false">IFERROR(SUMPRODUCT((Indicators!$B$5:$B$35=J$4)*Indicators!$P$5:$P$35*'Indicator Scores'!$D$5:$D$35)/SUMPRODUCT((Indicators!$B$5:$B$35=J$4)*Indicators!$P$5:$P$35*('Indicator Scores'!$D$5:$D$35&gt;0)),0)</f>
        <v>2.6</v>
      </c>
      <c r="K10" s="28" t="n">
        <f aca="false">IFERROR(SUMPRODUCT(F10:J10,INDEX('Factor Weights'!$C$5:$G$11,MATCH(D10,'Factor Weights'!$A$5:$A$11,0),0))/SUMPRODUCT((F10:J10&gt;0)*INDEX('Factor Weights'!$C$5:$G$11,MATCH(D10,'Factor Weights'!$A$5:$A$11,0),0)),0)</f>
        <v>2.76166666666667</v>
      </c>
      <c r="L10" s="29" t="n">
        <f aca="false">MAX(F10:J10)</f>
        <v>3</v>
      </c>
      <c r="M10" s="28" t="n">
        <f aca="false">IF(L10&gt;=Config!$C$13,MAX(K10,Config!$C$14),K10)</f>
        <v>2.76166666666667</v>
      </c>
      <c r="N10" s="30" t="n">
        <f aca="false">IF(Config!$C$12="Weighted average",K10,IF(Config!$C$12="Weighted with floor",M10,L10))</f>
        <v>2.76166666666667</v>
      </c>
      <c r="O10" s="31" t="n">
        <f aca="false">IF(N10&lt;Config!$D$5,"",MATCH(N10,Config!$D$5:$D$9,1))</f>
        <v>3</v>
      </c>
      <c r="P10" s="7" t="str">
        <f aca="false">IF(O10="","No data",INDEX(Config!$B$5:$B$9,O10))</f>
        <v>Medium</v>
      </c>
      <c r="Q10" s="32" t="n">
        <v>0</v>
      </c>
      <c r="R10" s="8"/>
      <c r="S10" s="33"/>
      <c r="T10" s="34" t="n">
        <f aca="false">IF(O10="","",IF(AND(S10="Y",Q10&lt;&gt;0),MAX(1,MIN(5,O10+MAX(-Config!$C$27,MIN(Config!$C$27,Q10)))),O10))</f>
        <v>3</v>
      </c>
      <c r="U10" s="35" t="str">
        <f aca="false">IF(T10="","No data",INDEX(Config!$B$5:$B$9,T10))</f>
        <v>Medium</v>
      </c>
      <c r="V10" s="7" t="str">
        <f aca="false">IF(Q10=0,"None",IF(S10="Y","Applied","Pending HO approval"))</f>
        <v>None</v>
      </c>
      <c r="W10" s="36" t="n">
        <f aca="false">SUMPRODUCT((Indicators!$P$5:$P$35&gt;0)*('Indicator Data'!$D$5:$D$35&lt;&gt;""))/SUMPRODUCT(--(Indicators!$P$5:$P$35&gt;0))</f>
        <v>1</v>
      </c>
    </row>
    <row r="11" customFormat="false" ht="15" hidden="false" customHeight="false" outlineLevel="0" collapsed="false">
      <c r="A11" s="26" t="str">
        <f aca="false">Entities!$A$5</f>
        <v>JO-HO</v>
      </c>
      <c r="B11" s="12" t="str">
        <f aca="false">INDEX(Entities!$B$5:$B$34,MATCH(A11,Entities!$A$5:$A$34,0))</f>
        <v>Arab Bank plc – Jordan (HO and domestic network)</v>
      </c>
      <c r="C11" s="12" t="str">
        <f aca="false">INDEX(Entities!$D$5:$D$34,MATCH(A11,Entities!$A$5:$A$34,0))</f>
        <v>Jordan (home)</v>
      </c>
      <c r="D11" s="12" t="s">
        <v>254</v>
      </c>
      <c r="E11" s="12" t="str">
        <f aca="false">INDEX('Risk Taxonomy'!$B$5:$B$24,MATCH(D11,'Risk Taxonomy'!$A$5:$A$24,0))</f>
        <v>Tax evasion and tax transparency</v>
      </c>
      <c r="F11" s="28" t="n">
        <f aca="false">IFERROR(SUMPRODUCT((Indicators!$B$5:$B$35=F$4)*Indicators!$Q$5:$Q$35*'Indicator Scores'!$D$5:$D$35)/SUMPRODUCT((Indicators!$B$5:$B$35=F$4)*Indicators!$Q$5:$Q$35*('Indicator Scores'!$D$5:$D$35&gt;0)),0)</f>
        <v>3.11111111111111</v>
      </c>
      <c r="G11" s="28" t="n">
        <f aca="false">IFERROR(SUMPRODUCT((Indicators!$B$5:$B$35=G$4)*Indicators!$Q$5:$Q$35*'Indicator Scores'!$D$5:$D$35)/SUMPRODUCT((Indicators!$B$5:$B$35=G$4)*Indicators!$Q$5:$Q$35*('Indicator Scores'!$D$5:$D$35&gt;0)),0)</f>
        <v>3</v>
      </c>
      <c r="H11" s="28" t="n">
        <f aca="false">IFERROR(SUMPRODUCT((Indicators!$B$5:$B$35=H$4)*Indicators!$Q$5:$Q$35*'Indicator Scores'!$D$5:$D$35)/SUMPRODUCT((Indicators!$B$5:$B$35=H$4)*Indicators!$Q$5:$Q$35*('Indicator Scores'!$D$5:$D$35&gt;0)),0)</f>
        <v>2.5</v>
      </c>
      <c r="I11" s="28" t="n">
        <f aca="false">IFERROR(SUMPRODUCT((Indicators!$B$5:$B$35=I$4)*Indicators!$Q$5:$Q$35*'Indicator Scores'!$D$5:$D$35)/SUMPRODUCT((Indicators!$B$5:$B$35=I$4)*Indicators!$Q$5:$Q$35*('Indicator Scores'!$D$5:$D$35&gt;0)),0)</f>
        <v>3</v>
      </c>
      <c r="J11" s="28" t="n">
        <f aca="false">IFERROR(SUMPRODUCT((Indicators!$B$5:$B$35=J$4)*Indicators!$Q$5:$Q$35*'Indicator Scores'!$D$5:$D$35)/SUMPRODUCT((Indicators!$B$5:$B$35=J$4)*Indicators!$Q$5:$Q$35*('Indicator Scores'!$D$5:$D$35&gt;0)),0)</f>
        <v>2.6</v>
      </c>
      <c r="K11" s="28" t="n">
        <f aca="false">IFERROR(SUMPRODUCT(F11:J11,INDEX('Factor Weights'!$C$5:$G$11,MATCH(D11,'Factor Weights'!$A$5:$A$11,0),0))/SUMPRODUCT((F11:J11&gt;0)*INDEX('Factor Weights'!$C$5:$G$11,MATCH(D11,'Factor Weights'!$A$5:$A$11,0),0)),0)</f>
        <v>2.89888888888889</v>
      </c>
      <c r="L11" s="29" t="n">
        <f aca="false">MAX(F11:J11)</f>
        <v>3.11111111111111</v>
      </c>
      <c r="M11" s="28" t="n">
        <f aca="false">IF(L11&gt;=Config!$C$13,MAX(K11,Config!$C$14),K11)</f>
        <v>2.89888888888889</v>
      </c>
      <c r="N11" s="30" t="n">
        <f aca="false">IF(Config!$C$12="Weighted average",K11,IF(Config!$C$12="Weighted with floor",M11,L11))</f>
        <v>2.89888888888889</v>
      </c>
      <c r="O11" s="31" t="n">
        <f aca="false">IF(N11&lt;Config!$D$5,"",MATCH(N11,Config!$D$5:$D$9,1))</f>
        <v>3</v>
      </c>
      <c r="P11" s="7" t="str">
        <f aca="false">IF(O11="","No data",INDEX(Config!$B$5:$B$9,O11))</f>
        <v>Medium</v>
      </c>
      <c r="Q11" s="32" t="n">
        <v>0</v>
      </c>
      <c r="R11" s="8"/>
      <c r="S11" s="33"/>
      <c r="T11" s="34" t="n">
        <f aca="false">IF(O11="","",IF(AND(S11="Y",Q11&lt;&gt;0),MAX(1,MIN(5,O11+MAX(-Config!$C$27,MIN(Config!$C$27,Q11)))),O11))</f>
        <v>3</v>
      </c>
      <c r="U11" s="35" t="str">
        <f aca="false">IF(T11="","No data",INDEX(Config!$B$5:$B$9,T11))</f>
        <v>Medium</v>
      </c>
      <c r="V11" s="7" t="str">
        <f aca="false">IF(Q11=0,"None",IF(S11="Y","Applied","Pending HO approval"))</f>
        <v>None</v>
      </c>
      <c r="W11" s="36" t="n">
        <f aca="false">SUMPRODUCT((Indicators!$Q$5:$Q$35&gt;0)*('Indicator Data'!$D$5:$D$35&lt;&gt;""))/SUMPRODUCT(--(Indicators!$Q$5:$Q$35&gt;0))</f>
        <v>1</v>
      </c>
    </row>
    <row r="12" customFormat="false" ht="15" hidden="false" customHeight="false" outlineLevel="0" collapsed="false">
      <c r="A12" s="26" t="str">
        <f aca="false">Entities!$A$6</f>
        <v>JO-IIAB</v>
      </c>
      <c r="B12" s="12" t="str">
        <f aca="false">INDEX(Entities!$B$5:$B$34,MATCH(A12,Entities!$A$5:$A$34,0))</f>
        <v>Islamic International Arab Bank</v>
      </c>
      <c r="C12" s="12" t="str">
        <f aca="false">INDEX(Entities!$D$5:$D$34,MATCH(A12,Entities!$A$5:$A$34,0))</f>
        <v>Jordan (home)</v>
      </c>
      <c r="D12" s="12" t="s">
        <v>233</v>
      </c>
      <c r="E12" s="12" t="str">
        <f aca="false">INDEX('Risk Taxonomy'!$B$5:$B$24,MATCH(D12,'Risk Taxonomy'!$A$5:$A$24,0))</f>
        <v>Money laundering</v>
      </c>
      <c r="F12" s="28" t="n">
        <f aca="false">IFERROR(SUMPRODUCT((Indicators!$B$5:$B$35=F$4)*Indicators!$K$5:$K$35*'Indicator Scores'!$E$5:$E$35)/SUMPRODUCT((Indicators!$B$5:$B$35=F$4)*Indicators!$K$5:$K$35*('Indicator Scores'!$E$5:$E$35&gt;0)),0)</f>
        <v>3.25</v>
      </c>
      <c r="G12" s="28" t="n">
        <f aca="false">IFERROR(SUMPRODUCT((Indicators!$B$5:$B$35=G$4)*Indicators!$K$5:$K$35*'Indicator Scores'!$E$5:$E$35)/SUMPRODUCT((Indicators!$B$5:$B$35=G$4)*Indicators!$K$5:$K$35*('Indicator Scores'!$E$5:$E$35&gt;0)),0)</f>
        <v>2.33333333333333</v>
      </c>
      <c r="H12" s="28" t="n">
        <f aca="false">IFERROR(SUMPRODUCT((Indicators!$B$5:$B$35=H$4)*Indicators!$K$5:$K$35*'Indicator Scores'!$E$5:$E$35)/SUMPRODUCT((Indicators!$B$5:$B$35=H$4)*Indicators!$K$5:$K$35*('Indicator Scores'!$E$5:$E$35&gt;0)),0)</f>
        <v>2.9</v>
      </c>
      <c r="I12" s="28" t="n">
        <f aca="false">IFERROR(SUMPRODUCT((Indicators!$B$5:$B$35=I$4)*Indicators!$K$5:$K$35*'Indicator Scores'!$E$5:$E$35)/SUMPRODUCT((Indicators!$B$5:$B$35=I$4)*Indicators!$K$5:$K$35*('Indicator Scores'!$E$5:$E$35&gt;0)),0)</f>
        <v>2.71428571428571</v>
      </c>
      <c r="J12" s="28" t="n">
        <f aca="false">IFERROR(SUMPRODUCT((Indicators!$B$5:$B$35=J$4)*Indicators!$K$5:$K$35*'Indicator Scores'!$E$5:$E$35)/SUMPRODUCT((Indicators!$B$5:$B$35=J$4)*Indicators!$K$5:$K$35*('Indicator Scores'!$E$5:$E$35&gt;0)),0)</f>
        <v>3</v>
      </c>
      <c r="K12" s="28" t="n">
        <f aca="false">IFERROR(SUMPRODUCT(F12:J12,INDEX('Factor Weights'!$C$5:$G$11,MATCH(D12,'Factor Weights'!$A$5:$A$11,0),0))/SUMPRODUCT((F12:J12&gt;0)*INDEX('Factor Weights'!$C$5:$G$11,MATCH(D12,'Factor Weights'!$A$5:$A$11,0),0)),0)</f>
        <v>2.84547619047619</v>
      </c>
      <c r="L12" s="29" t="n">
        <f aca="false">MAX(F12:J12)</f>
        <v>3.25</v>
      </c>
      <c r="M12" s="28" t="n">
        <f aca="false">IF(L12&gt;=Config!$C$13,MAX(K12,Config!$C$14),K12)</f>
        <v>2.84547619047619</v>
      </c>
      <c r="N12" s="30" t="n">
        <f aca="false">IF(Config!$C$12="Weighted average",K12,IF(Config!$C$12="Weighted with floor",M12,L12))</f>
        <v>2.84547619047619</v>
      </c>
      <c r="O12" s="31" t="n">
        <f aca="false">IF(N12&lt;Config!$D$5,"",MATCH(N12,Config!$D$5:$D$9,1))</f>
        <v>3</v>
      </c>
      <c r="P12" s="7" t="str">
        <f aca="false">IF(O12="","No data",INDEX(Config!$B$5:$B$9,O12))</f>
        <v>Medium</v>
      </c>
      <c r="Q12" s="32" t="n">
        <v>0</v>
      </c>
      <c r="R12" s="8"/>
      <c r="S12" s="33"/>
      <c r="T12" s="34" t="n">
        <f aca="false">IF(O12="","",IF(AND(S12="Y",Q12&lt;&gt;0),MAX(1,MIN(5,O12+MAX(-Config!$C$27,MIN(Config!$C$27,Q12)))),O12))</f>
        <v>3</v>
      </c>
      <c r="U12" s="35" t="str">
        <f aca="false">IF(T12="","No data",INDEX(Config!$B$5:$B$9,T12))</f>
        <v>Medium</v>
      </c>
      <c r="V12" s="7" t="str">
        <f aca="false">IF(Q12=0,"None",IF(S12="Y","Applied","Pending HO approval"))</f>
        <v>None</v>
      </c>
      <c r="W12" s="36" t="n">
        <f aca="false">SUMPRODUCT((Indicators!$K$5:$K$35&gt;0)*('Indicator Data'!$E$5:$E$35&lt;&gt;""))/SUMPRODUCT(--(Indicators!$K$5:$K$35&gt;0))</f>
        <v>1</v>
      </c>
    </row>
    <row r="13" customFormat="false" ht="15" hidden="false" customHeight="false" outlineLevel="0" collapsed="false">
      <c r="A13" s="26" t="str">
        <f aca="false">Entities!$A$6</f>
        <v>JO-IIAB</v>
      </c>
      <c r="B13" s="12" t="str">
        <f aca="false">INDEX(Entities!$B$5:$B$34,MATCH(A13,Entities!$A$5:$A$34,0))</f>
        <v>Islamic International Arab Bank</v>
      </c>
      <c r="C13" s="12" t="str">
        <f aca="false">INDEX(Entities!$D$5:$D$34,MATCH(A13,Entities!$A$5:$A$34,0))</f>
        <v>Jordan (home)</v>
      </c>
      <c r="D13" s="12" t="s">
        <v>240</v>
      </c>
      <c r="E13" s="12" t="str">
        <f aca="false">INDEX('Risk Taxonomy'!$B$5:$B$24,MATCH(D13,'Risk Taxonomy'!$A$5:$A$24,0))</f>
        <v>Terrorist financing</v>
      </c>
      <c r="F13" s="28" t="n">
        <f aca="false">IFERROR(SUMPRODUCT((Indicators!$B$5:$B$35=F$4)*Indicators!$L$5:$L$35*'Indicator Scores'!$E$5:$E$35)/SUMPRODUCT((Indicators!$B$5:$B$35=F$4)*Indicators!$L$5:$L$35*('Indicator Scores'!$E$5:$E$35&gt;0)),0)</f>
        <v>3.4</v>
      </c>
      <c r="G13" s="28" t="n">
        <f aca="false">IFERROR(SUMPRODUCT((Indicators!$B$5:$B$35=G$4)*Indicators!$L$5:$L$35*'Indicator Scores'!$E$5:$E$35)/SUMPRODUCT((Indicators!$B$5:$B$35=G$4)*Indicators!$L$5:$L$35*('Indicator Scores'!$E$5:$E$35&gt;0)),0)</f>
        <v>2.66666666666667</v>
      </c>
      <c r="H13" s="28" t="n">
        <f aca="false">IFERROR(SUMPRODUCT((Indicators!$B$5:$B$35=H$4)*Indicators!$L$5:$L$35*'Indicator Scores'!$E$5:$E$35)/SUMPRODUCT((Indicators!$B$5:$B$35=H$4)*Indicators!$L$5:$L$35*('Indicator Scores'!$E$5:$E$35&gt;0)),0)</f>
        <v>3.16666666666667</v>
      </c>
      <c r="I13" s="28" t="n">
        <f aca="false">IFERROR(SUMPRODUCT((Indicators!$B$5:$B$35=I$4)*Indicators!$L$5:$L$35*'Indicator Scores'!$E$5:$E$35)/SUMPRODUCT((Indicators!$B$5:$B$35=I$4)*Indicators!$L$5:$L$35*('Indicator Scores'!$E$5:$E$35&gt;0)),0)</f>
        <v>2.66666666666667</v>
      </c>
      <c r="J13" s="28" t="n">
        <f aca="false">IFERROR(SUMPRODUCT((Indicators!$B$5:$B$35=J$4)*Indicators!$L$5:$L$35*'Indicator Scores'!$E$5:$E$35)/SUMPRODUCT((Indicators!$B$5:$B$35=J$4)*Indicators!$L$5:$L$35*('Indicator Scores'!$E$5:$E$35&gt;0)),0)</f>
        <v>3.28571428571429</v>
      </c>
      <c r="K13" s="28" t="n">
        <f aca="false">IFERROR(SUMPRODUCT(F13:J13,INDEX('Factor Weights'!$C$5:$G$11,MATCH(D13,'Factor Weights'!$A$5:$A$11,0),0))/SUMPRODUCT((F13:J13&gt;0)*INDEX('Factor Weights'!$C$5:$G$11,MATCH(D13,'Factor Weights'!$A$5:$A$11,0),0)),0)</f>
        <v>3.04880952380952</v>
      </c>
      <c r="L13" s="29" t="n">
        <f aca="false">MAX(F13:J13)</f>
        <v>3.4</v>
      </c>
      <c r="M13" s="28" t="n">
        <f aca="false">IF(L13&gt;=Config!$C$13,MAX(K13,Config!$C$14),K13)</f>
        <v>3.04880952380952</v>
      </c>
      <c r="N13" s="30" t="n">
        <f aca="false">IF(Config!$C$12="Weighted average",K13,IF(Config!$C$12="Weighted with floor",M13,L13))</f>
        <v>3.04880952380952</v>
      </c>
      <c r="O13" s="31" t="n">
        <f aca="false">IF(N13&lt;Config!$D$5,"",MATCH(N13,Config!$D$5:$D$9,1))</f>
        <v>3</v>
      </c>
      <c r="P13" s="7" t="str">
        <f aca="false">IF(O13="","No data",INDEX(Config!$B$5:$B$9,O13))</f>
        <v>Medium</v>
      </c>
      <c r="Q13" s="32" t="n">
        <v>0</v>
      </c>
      <c r="R13" s="8"/>
      <c r="S13" s="33"/>
      <c r="T13" s="34" t="n">
        <f aca="false">IF(O13="","",IF(AND(S13="Y",Q13&lt;&gt;0),MAX(1,MIN(5,O13+MAX(-Config!$C$27,MIN(Config!$C$27,Q13)))),O13))</f>
        <v>3</v>
      </c>
      <c r="U13" s="35" t="str">
        <f aca="false">IF(T13="","No data",INDEX(Config!$B$5:$B$9,T13))</f>
        <v>Medium</v>
      </c>
      <c r="V13" s="7" t="str">
        <f aca="false">IF(Q13=0,"None",IF(S13="Y","Applied","Pending HO approval"))</f>
        <v>None</v>
      </c>
      <c r="W13" s="36" t="n">
        <f aca="false">SUMPRODUCT((Indicators!$L$5:$L$35&gt;0)*('Indicator Data'!$E$5:$E$35&lt;&gt;""))/SUMPRODUCT(--(Indicators!$L$5:$L$35&gt;0))</f>
        <v>1</v>
      </c>
    </row>
    <row r="14" customFormat="false" ht="15" hidden="false" customHeight="false" outlineLevel="0" collapsed="false">
      <c r="A14" s="26" t="str">
        <f aca="false">Entities!$A$6</f>
        <v>JO-IIAB</v>
      </c>
      <c r="B14" s="12" t="str">
        <f aca="false">INDEX(Entities!$B$5:$B$34,MATCH(A14,Entities!$A$5:$A$34,0))</f>
        <v>Islamic International Arab Bank</v>
      </c>
      <c r="C14" s="12" t="str">
        <f aca="false">INDEX(Entities!$D$5:$D$34,MATCH(A14,Entities!$A$5:$A$34,0))</f>
        <v>Jordan (home)</v>
      </c>
      <c r="D14" s="12" t="s">
        <v>243</v>
      </c>
      <c r="E14" s="12" t="str">
        <f aca="false">INDEX('Risk Taxonomy'!$B$5:$B$24,MATCH(D14,'Risk Taxonomy'!$A$5:$A$24,0))</f>
        <v>Proliferation financing</v>
      </c>
      <c r="F14" s="28" t="n">
        <f aca="false">IFERROR(SUMPRODUCT((Indicators!$B$5:$B$35=F$4)*Indicators!$M$5:$M$35*'Indicator Scores'!$E$5:$E$35)/SUMPRODUCT((Indicators!$B$5:$B$35=F$4)*Indicators!$M$5:$M$35*('Indicator Scores'!$E$5:$E$35&gt;0)),0)</f>
        <v>4</v>
      </c>
      <c r="G14" s="28" t="n">
        <f aca="false">IFERROR(SUMPRODUCT((Indicators!$B$5:$B$35=G$4)*Indicators!$M$5:$M$35*'Indicator Scores'!$E$5:$E$35)/SUMPRODUCT((Indicators!$B$5:$B$35=G$4)*Indicators!$M$5:$M$35*('Indicator Scores'!$E$5:$E$35&gt;0)),0)</f>
        <v>2.25</v>
      </c>
      <c r="H14" s="28" t="n">
        <f aca="false">IFERROR(SUMPRODUCT((Indicators!$B$5:$B$35=H$4)*Indicators!$M$5:$M$35*'Indicator Scores'!$E$5:$E$35)/SUMPRODUCT((Indicators!$B$5:$B$35=H$4)*Indicators!$M$5:$M$35*('Indicator Scores'!$E$5:$E$35&gt;0)),0)</f>
        <v>3</v>
      </c>
      <c r="I14" s="28" t="n">
        <f aca="false">IFERROR(SUMPRODUCT((Indicators!$B$5:$B$35=I$4)*Indicators!$M$5:$M$35*'Indicator Scores'!$E$5:$E$35)/SUMPRODUCT((Indicators!$B$5:$B$35=I$4)*Indicators!$M$5:$M$35*('Indicator Scores'!$E$5:$E$35&gt;0)),0)</f>
        <v>2</v>
      </c>
      <c r="J14" s="28" t="n">
        <f aca="false">IFERROR(SUMPRODUCT((Indicators!$B$5:$B$35=J$4)*Indicators!$M$5:$M$35*'Indicator Scores'!$E$5:$E$35)/SUMPRODUCT((Indicators!$B$5:$B$35=J$4)*Indicators!$M$5:$M$35*('Indicator Scores'!$E$5:$E$35&gt;0)),0)</f>
        <v>3</v>
      </c>
      <c r="K14" s="28" t="n">
        <f aca="false">IFERROR(SUMPRODUCT(F14:J14,INDEX('Factor Weights'!$C$5:$G$11,MATCH(D14,'Factor Weights'!$A$5:$A$11,0),0))/SUMPRODUCT((F14:J14&gt;0)*INDEX('Factor Weights'!$C$5:$G$11,MATCH(D14,'Factor Weights'!$A$5:$A$11,0),0)),0)</f>
        <v>2.875</v>
      </c>
      <c r="L14" s="29" t="n">
        <f aca="false">MAX(F14:J14)</f>
        <v>4</v>
      </c>
      <c r="M14" s="28" t="n">
        <f aca="false">IF(L14&gt;=Config!$C$13,MAX(K14,Config!$C$14),K14)</f>
        <v>2.875</v>
      </c>
      <c r="N14" s="30" t="n">
        <f aca="false">IF(Config!$C$12="Weighted average",K14,IF(Config!$C$12="Weighted with floor",M14,L14))</f>
        <v>2.875</v>
      </c>
      <c r="O14" s="31" t="n">
        <f aca="false">IF(N14&lt;Config!$D$5,"",MATCH(N14,Config!$D$5:$D$9,1))</f>
        <v>3</v>
      </c>
      <c r="P14" s="7" t="str">
        <f aca="false">IF(O14="","No data",INDEX(Config!$B$5:$B$9,O14))</f>
        <v>Medium</v>
      </c>
      <c r="Q14" s="32" t="n">
        <v>0</v>
      </c>
      <c r="R14" s="8"/>
      <c r="S14" s="33"/>
      <c r="T14" s="34" t="n">
        <f aca="false">IF(O14="","",IF(AND(S14="Y",Q14&lt;&gt;0),MAX(1,MIN(5,O14+MAX(-Config!$C$27,MIN(Config!$C$27,Q14)))),O14))</f>
        <v>3</v>
      </c>
      <c r="U14" s="35" t="str">
        <f aca="false">IF(T14="","No data",INDEX(Config!$B$5:$B$9,T14))</f>
        <v>Medium</v>
      </c>
      <c r="V14" s="7" t="str">
        <f aca="false">IF(Q14=0,"None",IF(S14="Y","Applied","Pending HO approval"))</f>
        <v>None</v>
      </c>
      <c r="W14" s="36" t="n">
        <f aca="false">SUMPRODUCT((Indicators!$M$5:$M$35&gt;0)*('Indicator Data'!$E$5:$E$35&lt;&gt;""))/SUMPRODUCT(--(Indicators!$M$5:$M$35&gt;0))</f>
        <v>1</v>
      </c>
    </row>
    <row r="15" customFormat="false" ht="15" hidden="false" customHeight="false" outlineLevel="0" collapsed="false">
      <c r="A15" s="26" t="str">
        <f aca="false">Entities!$A$6</f>
        <v>JO-IIAB</v>
      </c>
      <c r="B15" s="12" t="str">
        <f aca="false">INDEX(Entities!$B$5:$B$34,MATCH(A15,Entities!$A$5:$A$34,0))</f>
        <v>Islamic International Arab Bank</v>
      </c>
      <c r="C15" s="12" t="str">
        <f aca="false">INDEX(Entities!$D$5:$D$34,MATCH(A15,Entities!$A$5:$A$34,0))</f>
        <v>Jordan (home)</v>
      </c>
      <c r="D15" s="12" t="s">
        <v>245</v>
      </c>
      <c r="E15" s="12" t="str">
        <f aca="false">INDEX('Risk Taxonomy'!$B$5:$B$24,MATCH(D15,'Risk Taxonomy'!$A$5:$A$24,0))</f>
        <v>Sanctions</v>
      </c>
      <c r="F15" s="28" t="n">
        <f aca="false">IFERROR(SUMPRODUCT((Indicators!$B$5:$B$35=F$4)*Indicators!$N$5:$N$35*'Indicator Scores'!$E$5:$E$35)/SUMPRODUCT((Indicators!$B$5:$B$35=F$4)*Indicators!$N$5:$N$35*('Indicator Scores'!$E$5:$E$35&gt;0)),0)</f>
        <v>3.71428571428571</v>
      </c>
      <c r="G15" s="28" t="n">
        <f aca="false">IFERROR(SUMPRODUCT((Indicators!$B$5:$B$35=G$4)*Indicators!$N$5:$N$35*'Indicator Scores'!$E$5:$E$35)/SUMPRODUCT((Indicators!$B$5:$B$35=G$4)*Indicators!$N$5:$N$35*('Indicator Scores'!$E$5:$E$35&gt;0)),0)</f>
        <v>2.28571428571429</v>
      </c>
      <c r="H15" s="28" t="n">
        <f aca="false">IFERROR(SUMPRODUCT((Indicators!$B$5:$B$35=H$4)*Indicators!$N$5:$N$35*'Indicator Scores'!$E$5:$E$35)/SUMPRODUCT((Indicators!$B$5:$B$35=H$4)*Indicators!$N$5:$N$35*('Indicator Scores'!$E$5:$E$35&gt;0)),0)</f>
        <v>2.875</v>
      </c>
      <c r="I15" s="28" t="n">
        <f aca="false">IFERROR(SUMPRODUCT((Indicators!$B$5:$B$35=I$4)*Indicators!$N$5:$N$35*'Indicator Scores'!$E$5:$E$35)/SUMPRODUCT((Indicators!$B$5:$B$35=I$4)*Indicators!$N$5:$N$35*('Indicator Scores'!$E$5:$E$35&gt;0)),0)</f>
        <v>2</v>
      </c>
      <c r="J15" s="28" t="n">
        <f aca="false">IFERROR(SUMPRODUCT((Indicators!$B$5:$B$35=J$4)*Indicators!$N$5:$N$35*'Indicator Scores'!$E$5:$E$35)/SUMPRODUCT((Indicators!$B$5:$B$35=J$4)*Indicators!$N$5:$N$35*('Indicator Scores'!$E$5:$E$35&gt;0)),0)</f>
        <v>3.2</v>
      </c>
      <c r="K15" s="28" t="n">
        <f aca="false">IFERROR(SUMPRODUCT(F15:J15,INDEX('Factor Weights'!$C$5:$G$11,MATCH(D15,'Factor Weights'!$A$5:$A$11,0),0))/SUMPRODUCT((F15:J15&gt;0)*INDEX('Factor Weights'!$C$5:$G$11,MATCH(D15,'Factor Weights'!$A$5:$A$11,0),0)),0)</f>
        <v>2.78642857142857</v>
      </c>
      <c r="L15" s="29" t="n">
        <f aca="false">MAX(F15:J15)</f>
        <v>3.71428571428571</v>
      </c>
      <c r="M15" s="28" t="n">
        <f aca="false">IF(L15&gt;=Config!$C$13,MAX(K15,Config!$C$14),K15)</f>
        <v>2.78642857142857</v>
      </c>
      <c r="N15" s="30" t="n">
        <f aca="false">IF(Config!$C$12="Weighted average",K15,IF(Config!$C$12="Weighted with floor",M15,L15))</f>
        <v>2.78642857142857</v>
      </c>
      <c r="O15" s="31" t="n">
        <f aca="false">IF(N15&lt;Config!$D$5,"",MATCH(N15,Config!$D$5:$D$9,1))</f>
        <v>3</v>
      </c>
      <c r="P15" s="7" t="str">
        <f aca="false">IF(O15="","No data",INDEX(Config!$B$5:$B$9,O15))</f>
        <v>Medium</v>
      </c>
      <c r="Q15" s="32" t="n">
        <v>0</v>
      </c>
      <c r="R15" s="8"/>
      <c r="S15" s="33"/>
      <c r="T15" s="34" t="n">
        <f aca="false">IF(O15="","",IF(AND(S15="Y",Q15&lt;&gt;0),MAX(1,MIN(5,O15+MAX(-Config!$C$27,MIN(Config!$C$27,Q15)))),O15))</f>
        <v>3</v>
      </c>
      <c r="U15" s="35" t="str">
        <f aca="false">IF(T15="","No data",INDEX(Config!$B$5:$B$9,T15))</f>
        <v>Medium</v>
      </c>
      <c r="V15" s="7" t="str">
        <f aca="false">IF(Q15=0,"None",IF(S15="Y","Applied","Pending HO approval"))</f>
        <v>None</v>
      </c>
      <c r="W15" s="36" t="n">
        <f aca="false">SUMPRODUCT((Indicators!$N$5:$N$35&gt;0)*('Indicator Data'!$E$5:$E$35&lt;&gt;""))/SUMPRODUCT(--(Indicators!$N$5:$N$35&gt;0))</f>
        <v>1</v>
      </c>
    </row>
    <row r="16" customFormat="false" ht="15" hidden="false" customHeight="false" outlineLevel="0" collapsed="false">
      <c r="A16" s="26" t="str">
        <f aca="false">Entities!$A$6</f>
        <v>JO-IIAB</v>
      </c>
      <c r="B16" s="12" t="str">
        <f aca="false">INDEX(Entities!$B$5:$B$34,MATCH(A16,Entities!$A$5:$A$34,0))</f>
        <v>Islamic International Arab Bank</v>
      </c>
      <c r="C16" s="12" t="str">
        <f aca="false">INDEX(Entities!$D$5:$D$34,MATCH(A16,Entities!$A$5:$A$34,0))</f>
        <v>Jordan (home)</v>
      </c>
      <c r="D16" s="12" t="s">
        <v>248</v>
      </c>
      <c r="E16" s="12" t="str">
        <f aca="false">INDEX('Risk Taxonomy'!$B$5:$B$24,MATCH(D16,'Risk Taxonomy'!$A$5:$A$24,0))</f>
        <v>Bribery and corruption</v>
      </c>
      <c r="F16" s="28" t="n">
        <f aca="false">IFERROR(SUMPRODUCT((Indicators!$B$5:$B$35=F$4)*Indicators!$O$5:$O$35*'Indicator Scores'!$E$5:$E$35)/SUMPRODUCT((Indicators!$B$5:$B$35=F$4)*Indicators!$O$5:$O$35*('Indicator Scores'!$E$5:$E$35&gt;0)),0)</f>
        <v>3.66666666666667</v>
      </c>
      <c r="G16" s="28" t="n">
        <f aca="false">IFERROR(SUMPRODUCT((Indicators!$B$5:$B$35=G$4)*Indicators!$O$5:$O$35*'Indicator Scores'!$E$5:$E$35)/SUMPRODUCT((Indicators!$B$5:$B$35=G$4)*Indicators!$O$5:$O$35*('Indicator Scores'!$E$5:$E$35&gt;0)),0)</f>
        <v>2.6</v>
      </c>
      <c r="H16" s="28" t="n">
        <f aca="false">IFERROR(SUMPRODUCT((Indicators!$B$5:$B$35=H$4)*Indicators!$O$5:$O$35*'Indicator Scores'!$E$5:$E$35)/SUMPRODUCT((Indicators!$B$5:$B$35=H$4)*Indicators!$O$5:$O$35*('Indicator Scores'!$E$5:$E$35&gt;0)),0)</f>
        <v>3</v>
      </c>
      <c r="I16" s="28" t="n">
        <f aca="false">IFERROR(SUMPRODUCT((Indicators!$B$5:$B$35=I$4)*Indicators!$O$5:$O$35*'Indicator Scores'!$E$5:$E$35)/SUMPRODUCT((Indicators!$B$5:$B$35=I$4)*Indicators!$O$5:$O$35*('Indicator Scores'!$E$5:$E$35&gt;0)),0)</f>
        <v>2.6</v>
      </c>
      <c r="J16" s="28" t="n">
        <f aca="false">IFERROR(SUMPRODUCT((Indicators!$B$5:$B$35=J$4)*Indicators!$O$5:$O$35*'Indicator Scores'!$E$5:$E$35)/SUMPRODUCT((Indicators!$B$5:$B$35=J$4)*Indicators!$O$5:$O$35*('Indicator Scores'!$E$5:$E$35&gt;0)),0)</f>
        <v>2</v>
      </c>
      <c r="K16" s="28" t="n">
        <f aca="false">IFERROR(SUMPRODUCT(F16:J16,INDEX('Factor Weights'!$C$5:$G$11,MATCH(D16,'Factor Weights'!$A$5:$A$11,0),0))/SUMPRODUCT((F16:J16&gt;0)*INDEX('Factor Weights'!$C$5:$G$11,MATCH(D16,'Factor Weights'!$A$5:$A$11,0),0)),0)</f>
        <v>2.92</v>
      </c>
      <c r="L16" s="29" t="n">
        <f aca="false">MAX(F16:J16)</f>
        <v>3.66666666666667</v>
      </c>
      <c r="M16" s="28" t="n">
        <f aca="false">IF(L16&gt;=Config!$C$13,MAX(K16,Config!$C$14),K16)</f>
        <v>2.92</v>
      </c>
      <c r="N16" s="30" t="n">
        <f aca="false">IF(Config!$C$12="Weighted average",K16,IF(Config!$C$12="Weighted with floor",M16,L16))</f>
        <v>2.92</v>
      </c>
      <c r="O16" s="31" t="n">
        <f aca="false">IF(N16&lt;Config!$D$5,"",MATCH(N16,Config!$D$5:$D$9,1))</f>
        <v>3</v>
      </c>
      <c r="P16" s="7" t="str">
        <f aca="false">IF(O16="","No data",INDEX(Config!$B$5:$B$9,O16))</f>
        <v>Medium</v>
      </c>
      <c r="Q16" s="32" t="n">
        <v>0</v>
      </c>
      <c r="R16" s="8"/>
      <c r="S16" s="33"/>
      <c r="T16" s="34" t="n">
        <f aca="false">IF(O16="","",IF(AND(S16="Y",Q16&lt;&gt;0),MAX(1,MIN(5,O16+MAX(-Config!$C$27,MIN(Config!$C$27,Q16)))),O16))</f>
        <v>3</v>
      </c>
      <c r="U16" s="35" t="str">
        <f aca="false">IF(T16="","No data",INDEX(Config!$B$5:$B$9,T16))</f>
        <v>Medium</v>
      </c>
      <c r="V16" s="7" t="str">
        <f aca="false">IF(Q16=0,"None",IF(S16="Y","Applied","Pending HO approval"))</f>
        <v>None</v>
      </c>
      <c r="W16" s="36" t="n">
        <f aca="false">SUMPRODUCT((Indicators!$O$5:$O$35&gt;0)*('Indicator Data'!$E$5:$E$35&lt;&gt;""))/SUMPRODUCT(--(Indicators!$O$5:$O$35&gt;0))</f>
        <v>1</v>
      </c>
    </row>
    <row r="17" customFormat="false" ht="15" hidden="false" customHeight="false" outlineLevel="0" collapsed="false">
      <c r="A17" s="26" t="str">
        <f aca="false">Entities!$A$6</f>
        <v>JO-IIAB</v>
      </c>
      <c r="B17" s="12" t="str">
        <f aca="false">INDEX(Entities!$B$5:$B$34,MATCH(A17,Entities!$A$5:$A$34,0))</f>
        <v>Islamic International Arab Bank</v>
      </c>
      <c r="C17" s="12" t="str">
        <f aca="false">INDEX(Entities!$D$5:$D$34,MATCH(A17,Entities!$A$5:$A$34,0))</f>
        <v>Jordan (home)</v>
      </c>
      <c r="D17" s="12" t="s">
        <v>251</v>
      </c>
      <c r="E17" s="12" t="str">
        <f aca="false">INDEX('Risk Taxonomy'!$B$5:$B$24,MATCH(D17,'Risk Taxonomy'!$A$5:$A$24,0))</f>
        <v>Fraud</v>
      </c>
      <c r="F17" s="28" t="n">
        <f aca="false">IFERROR(SUMPRODUCT((Indicators!$B$5:$B$35=F$4)*Indicators!$P$5:$P$35*'Indicator Scores'!$E$5:$E$35)/SUMPRODUCT((Indicators!$B$5:$B$35=F$4)*Indicators!$P$5:$P$35*('Indicator Scores'!$E$5:$E$35&gt;0)),0)</f>
        <v>2.33333333333333</v>
      </c>
      <c r="G17" s="28" t="n">
        <f aca="false">IFERROR(SUMPRODUCT((Indicators!$B$5:$B$35=G$4)*Indicators!$P$5:$P$35*'Indicator Scores'!$E$5:$E$35)/SUMPRODUCT((Indicators!$B$5:$B$35=G$4)*Indicators!$P$5:$P$35*('Indicator Scores'!$E$5:$E$35&gt;0)),0)</f>
        <v>2.75</v>
      </c>
      <c r="H17" s="28" t="n">
        <f aca="false">IFERROR(SUMPRODUCT((Indicators!$B$5:$B$35=H$4)*Indicators!$P$5:$P$35*'Indicator Scores'!$E$5:$E$35)/SUMPRODUCT((Indicators!$B$5:$B$35=H$4)*Indicators!$P$5:$P$35*('Indicator Scores'!$E$5:$E$35&gt;0)),0)</f>
        <v>3.2</v>
      </c>
      <c r="I17" s="28" t="n">
        <f aca="false">IFERROR(SUMPRODUCT((Indicators!$B$5:$B$35=I$4)*Indicators!$P$5:$P$35*'Indicator Scores'!$E$5:$E$35)/SUMPRODUCT((Indicators!$B$5:$B$35=I$4)*Indicators!$P$5:$P$35*('Indicator Scores'!$E$5:$E$35&gt;0)),0)</f>
        <v>3</v>
      </c>
      <c r="J17" s="28" t="n">
        <f aca="false">IFERROR(SUMPRODUCT((Indicators!$B$5:$B$35=J$4)*Indicators!$P$5:$P$35*'Indicator Scores'!$E$5:$E$35)/SUMPRODUCT((Indicators!$B$5:$B$35=J$4)*Indicators!$P$5:$P$35*('Indicator Scores'!$E$5:$E$35&gt;0)),0)</f>
        <v>2.4</v>
      </c>
      <c r="K17" s="28" t="n">
        <f aca="false">IFERROR(SUMPRODUCT(F17:J17,INDEX('Factor Weights'!$C$5:$G$11,MATCH(D17,'Factor Weights'!$A$5:$A$11,0),0))/SUMPRODUCT((F17:J17&gt;0)*INDEX('Factor Weights'!$C$5:$G$11,MATCH(D17,'Factor Weights'!$A$5:$A$11,0),0)),0)</f>
        <v>2.76166666666667</v>
      </c>
      <c r="L17" s="29" t="n">
        <f aca="false">MAX(F17:J17)</f>
        <v>3.2</v>
      </c>
      <c r="M17" s="28" t="n">
        <f aca="false">IF(L17&gt;=Config!$C$13,MAX(K17,Config!$C$14),K17)</f>
        <v>2.76166666666667</v>
      </c>
      <c r="N17" s="30" t="n">
        <f aca="false">IF(Config!$C$12="Weighted average",K17,IF(Config!$C$12="Weighted with floor",M17,L17))</f>
        <v>2.76166666666667</v>
      </c>
      <c r="O17" s="31" t="n">
        <f aca="false">IF(N17&lt;Config!$D$5,"",MATCH(N17,Config!$D$5:$D$9,1))</f>
        <v>3</v>
      </c>
      <c r="P17" s="7" t="str">
        <f aca="false">IF(O17="","No data",INDEX(Config!$B$5:$B$9,O17))</f>
        <v>Medium</v>
      </c>
      <c r="Q17" s="32" t="n">
        <v>0</v>
      </c>
      <c r="R17" s="8"/>
      <c r="S17" s="33"/>
      <c r="T17" s="34" t="n">
        <f aca="false">IF(O17="","",IF(AND(S17="Y",Q17&lt;&gt;0),MAX(1,MIN(5,O17+MAX(-Config!$C$27,MIN(Config!$C$27,Q17)))),O17))</f>
        <v>3</v>
      </c>
      <c r="U17" s="35" t="str">
        <f aca="false">IF(T17="","No data",INDEX(Config!$B$5:$B$9,T17))</f>
        <v>Medium</v>
      </c>
      <c r="V17" s="7" t="str">
        <f aca="false">IF(Q17=0,"None",IF(S17="Y","Applied","Pending HO approval"))</f>
        <v>None</v>
      </c>
      <c r="W17" s="36" t="n">
        <f aca="false">SUMPRODUCT((Indicators!$P$5:$P$35&gt;0)*('Indicator Data'!$E$5:$E$35&lt;&gt;""))/SUMPRODUCT(--(Indicators!$P$5:$P$35&gt;0))</f>
        <v>1</v>
      </c>
    </row>
    <row r="18" customFormat="false" ht="15" hidden="false" customHeight="false" outlineLevel="0" collapsed="false">
      <c r="A18" s="26" t="str">
        <f aca="false">Entities!$A$6</f>
        <v>JO-IIAB</v>
      </c>
      <c r="B18" s="12" t="str">
        <f aca="false">INDEX(Entities!$B$5:$B$34,MATCH(A18,Entities!$A$5:$A$34,0))</f>
        <v>Islamic International Arab Bank</v>
      </c>
      <c r="C18" s="12" t="str">
        <f aca="false">INDEX(Entities!$D$5:$D$34,MATCH(A18,Entities!$A$5:$A$34,0))</f>
        <v>Jordan (home)</v>
      </c>
      <c r="D18" s="12" t="s">
        <v>254</v>
      </c>
      <c r="E18" s="12" t="str">
        <f aca="false">INDEX('Risk Taxonomy'!$B$5:$B$24,MATCH(D18,'Risk Taxonomy'!$A$5:$A$24,0))</f>
        <v>Tax evasion and tax transparency</v>
      </c>
      <c r="F18" s="28" t="n">
        <f aca="false">IFERROR(SUMPRODUCT((Indicators!$B$5:$B$35=F$4)*Indicators!$Q$5:$Q$35*'Indicator Scores'!$E$5:$E$35)/SUMPRODUCT((Indicators!$B$5:$B$35=F$4)*Indicators!$Q$5:$Q$35*('Indicator Scores'!$E$5:$E$35&gt;0)),0)</f>
        <v>3.55555555555556</v>
      </c>
      <c r="G18" s="28" t="n">
        <f aca="false">IFERROR(SUMPRODUCT((Indicators!$B$5:$B$35=G$4)*Indicators!$Q$5:$Q$35*'Indicator Scores'!$E$5:$E$35)/SUMPRODUCT((Indicators!$B$5:$B$35=G$4)*Indicators!$Q$5:$Q$35*('Indicator Scores'!$E$5:$E$35&gt;0)),0)</f>
        <v>2.16666666666667</v>
      </c>
      <c r="H18" s="28" t="n">
        <f aca="false">IFERROR(SUMPRODUCT((Indicators!$B$5:$B$35=H$4)*Indicators!$Q$5:$Q$35*'Indicator Scores'!$E$5:$E$35)/SUMPRODUCT((Indicators!$B$5:$B$35=H$4)*Indicators!$Q$5:$Q$35*('Indicator Scores'!$E$5:$E$35&gt;0)),0)</f>
        <v>2.5</v>
      </c>
      <c r="I18" s="28" t="n">
        <f aca="false">IFERROR(SUMPRODUCT((Indicators!$B$5:$B$35=I$4)*Indicators!$Q$5:$Q$35*'Indicator Scores'!$E$5:$E$35)/SUMPRODUCT((Indicators!$B$5:$B$35=I$4)*Indicators!$Q$5:$Q$35*('Indicator Scores'!$E$5:$E$35&gt;0)),0)</f>
        <v>2.5</v>
      </c>
      <c r="J18" s="28" t="n">
        <f aca="false">IFERROR(SUMPRODUCT((Indicators!$B$5:$B$35=J$4)*Indicators!$Q$5:$Q$35*'Indicator Scores'!$E$5:$E$35)/SUMPRODUCT((Indicators!$B$5:$B$35=J$4)*Indicators!$Q$5:$Q$35*('Indicator Scores'!$E$5:$E$35&gt;0)),0)</f>
        <v>3</v>
      </c>
      <c r="K18" s="28" t="n">
        <f aca="false">IFERROR(SUMPRODUCT(F18:J18,INDEX('Factor Weights'!$C$5:$G$11,MATCH(D18,'Factor Weights'!$A$5:$A$11,0),0))/SUMPRODUCT((F18:J18&gt;0)*INDEX('Factor Weights'!$C$5:$G$11,MATCH(D18,'Factor Weights'!$A$5:$A$11,0),0)),0)</f>
        <v>2.83611111111111</v>
      </c>
      <c r="L18" s="29" t="n">
        <f aca="false">MAX(F18:J18)</f>
        <v>3.55555555555556</v>
      </c>
      <c r="M18" s="28" t="n">
        <f aca="false">IF(L18&gt;=Config!$C$13,MAX(K18,Config!$C$14),K18)</f>
        <v>2.83611111111111</v>
      </c>
      <c r="N18" s="30" t="n">
        <f aca="false">IF(Config!$C$12="Weighted average",K18,IF(Config!$C$12="Weighted with floor",M18,L18))</f>
        <v>2.83611111111111</v>
      </c>
      <c r="O18" s="31" t="n">
        <f aca="false">IF(N18&lt;Config!$D$5,"",MATCH(N18,Config!$D$5:$D$9,1))</f>
        <v>3</v>
      </c>
      <c r="P18" s="7" t="str">
        <f aca="false">IF(O18="","No data",INDEX(Config!$B$5:$B$9,O18))</f>
        <v>Medium</v>
      </c>
      <c r="Q18" s="32" t="n">
        <v>0</v>
      </c>
      <c r="R18" s="8"/>
      <c r="S18" s="33"/>
      <c r="T18" s="34" t="n">
        <f aca="false">IF(O18="","",IF(AND(S18="Y",Q18&lt;&gt;0),MAX(1,MIN(5,O18+MAX(-Config!$C$27,MIN(Config!$C$27,Q18)))),O18))</f>
        <v>3</v>
      </c>
      <c r="U18" s="35" t="str">
        <f aca="false">IF(T18="","No data",INDEX(Config!$B$5:$B$9,T18))</f>
        <v>Medium</v>
      </c>
      <c r="V18" s="7" t="str">
        <f aca="false">IF(Q18=0,"None",IF(S18="Y","Applied","Pending HO approval"))</f>
        <v>None</v>
      </c>
      <c r="W18" s="36" t="n">
        <f aca="false">SUMPRODUCT((Indicators!$Q$5:$Q$35&gt;0)*('Indicator Data'!$E$5:$E$35&lt;&gt;""))/SUMPRODUCT(--(Indicators!$Q$5:$Q$35&gt;0))</f>
        <v>1</v>
      </c>
    </row>
    <row r="19" customFormat="false" ht="15" hidden="false" customHeight="false" outlineLevel="0" collapsed="false">
      <c r="A19" s="26" t="str">
        <f aca="false">Entities!$A$7</f>
        <v>JO-INV</v>
      </c>
      <c r="B19" s="12" t="str">
        <f aca="false">INDEX(Entities!$B$5:$B$34,MATCH(A19,Entities!$A$5:$A$34,0))</f>
        <v>Al-Arabi Investment Group (AB Invest)</v>
      </c>
      <c r="C19" s="12" t="str">
        <f aca="false">INDEX(Entities!$D$5:$D$34,MATCH(A19,Entities!$A$5:$A$34,0))</f>
        <v>Jordan (home)</v>
      </c>
      <c r="D19" s="12" t="s">
        <v>233</v>
      </c>
      <c r="E19" s="12" t="str">
        <f aca="false">INDEX('Risk Taxonomy'!$B$5:$B$24,MATCH(D19,'Risk Taxonomy'!$A$5:$A$24,0))</f>
        <v>Money laundering</v>
      </c>
      <c r="F19" s="28" t="n">
        <f aca="false">IFERROR(SUMPRODUCT((Indicators!$B$5:$B$35=F$4)*Indicators!$K$5:$K$35*'Indicator Scores'!$F$5:$F$35)/SUMPRODUCT((Indicators!$B$5:$B$35=F$4)*Indicators!$K$5:$K$35*('Indicator Scores'!$F$5:$F$35&gt;0)),0)</f>
        <v>2.16666666666667</v>
      </c>
      <c r="G19" s="28" t="n">
        <f aca="false">IFERROR(SUMPRODUCT((Indicators!$B$5:$B$35=G$4)*Indicators!$K$5:$K$35*'Indicator Scores'!$F$5:$F$35)/SUMPRODUCT((Indicators!$B$5:$B$35=G$4)*Indicators!$K$5:$K$35*('Indicator Scores'!$F$5:$F$35&gt;0)),0)</f>
        <v>2.33333333333333</v>
      </c>
      <c r="H19" s="28" t="n">
        <f aca="false">IFERROR(SUMPRODUCT((Indicators!$B$5:$B$35=H$4)*Indicators!$K$5:$K$35*'Indicator Scores'!$F$5:$F$35)/SUMPRODUCT((Indicators!$B$5:$B$35=H$4)*Indicators!$K$5:$K$35*('Indicator Scores'!$F$5:$F$35&gt;0)),0)</f>
        <v>1.6</v>
      </c>
      <c r="I19" s="28" t="n">
        <f aca="false">IFERROR(SUMPRODUCT((Indicators!$B$5:$B$35=I$4)*Indicators!$K$5:$K$35*'Indicator Scores'!$F$5:$F$35)/SUMPRODUCT((Indicators!$B$5:$B$35=I$4)*Indicators!$K$5:$K$35*('Indicator Scores'!$F$5:$F$35&gt;0)),0)</f>
        <v>2.14285714285714</v>
      </c>
      <c r="J19" s="28" t="n">
        <f aca="false">IFERROR(SUMPRODUCT((Indicators!$B$5:$B$35=J$4)*Indicators!$K$5:$K$35*'Indicator Scores'!$F$5:$F$35)/SUMPRODUCT((Indicators!$B$5:$B$35=J$4)*Indicators!$K$5:$K$35*('Indicator Scores'!$F$5:$F$35&gt;0)),0)</f>
        <v>2.4</v>
      </c>
      <c r="K19" s="28" t="n">
        <f aca="false">IFERROR(SUMPRODUCT(F19:J19,INDEX('Factor Weights'!$C$5:$G$11,MATCH(D19,'Factor Weights'!$A$5:$A$11,0),0))/SUMPRODUCT((F19:J19&gt;0)*INDEX('Factor Weights'!$C$5:$G$11,MATCH(D19,'Factor Weights'!$A$5:$A$11,0),0)),0)</f>
        <v>2.1147619047619</v>
      </c>
      <c r="L19" s="29" t="n">
        <f aca="false">MAX(F19:J19)</f>
        <v>2.4</v>
      </c>
      <c r="M19" s="28" t="n">
        <f aca="false">IF(L19&gt;=Config!$C$13,MAX(K19,Config!$C$14),K19)</f>
        <v>2.1147619047619</v>
      </c>
      <c r="N19" s="30" t="n">
        <f aca="false">IF(Config!$C$12="Weighted average",K19,IF(Config!$C$12="Weighted with floor",M19,L19))</f>
        <v>2.1147619047619</v>
      </c>
      <c r="O19" s="31" t="n">
        <f aca="false">IF(N19&lt;Config!$D$5,"",MATCH(N19,Config!$D$5:$D$9,1))</f>
        <v>2</v>
      </c>
      <c r="P19" s="7" t="str">
        <f aca="false">IF(O19="","No data",INDEX(Config!$B$5:$B$9,O19))</f>
        <v>Medium-Low</v>
      </c>
      <c r="Q19" s="32" t="n">
        <v>0</v>
      </c>
      <c r="R19" s="8"/>
      <c r="S19" s="33"/>
      <c r="T19" s="34" t="n">
        <f aca="false">IF(O19="","",IF(AND(S19="Y",Q19&lt;&gt;0),MAX(1,MIN(5,O19+MAX(-Config!$C$27,MIN(Config!$C$27,Q19)))),O19))</f>
        <v>2</v>
      </c>
      <c r="U19" s="35" t="str">
        <f aca="false">IF(T19="","No data",INDEX(Config!$B$5:$B$9,T19))</f>
        <v>Medium-Low</v>
      </c>
      <c r="V19" s="7" t="str">
        <f aca="false">IF(Q19=0,"None",IF(S19="Y","Applied","Pending HO approval"))</f>
        <v>None</v>
      </c>
      <c r="W19" s="36" t="n">
        <f aca="false">SUMPRODUCT((Indicators!$K$5:$K$35&gt;0)*('Indicator Data'!$F$5:$F$35&lt;&gt;""))/SUMPRODUCT(--(Indicators!$K$5:$K$35&gt;0))</f>
        <v>1</v>
      </c>
    </row>
    <row r="20" customFormat="false" ht="15" hidden="false" customHeight="false" outlineLevel="0" collapsed="false">
      <c r="A20" s="26" t="str">
        <f aca="false">Entities!$A$7</f>
        <v>JO-INV</v>
      </c>
      <c r="B20" s="12" t="str">
        <f aca="false">INDEX(Entities!$B$5:$B$34,MATCH(A20,Entities!$A$5:$A$34,0))</f>
        <v>Al-Arabi Investment Group (AB Invest)</v>
      </c>
      <c r="C20" s="12" t="str">
        <f aca="false">INDEX(Entities!$D$5:$D$34,MATCH(A20,Entities!$A$5:$A$34,0))</f>
        <v>Jordan (home)</v>
      </c>
      <c r="D20" s="12" t="s">
        <v>240</v>
      </c>
      <c r="E20" s="12" t="str">
        <f aca="false">INDEX('Risk Taxonomy'!$B$5:$B$24,MATCH(D20,'Risk Taxonomy'!$A$5:$A$24,0))</f>
        <v>Terrorist financing</v>
      </c>
      <c r="F20" s="28" t="n">
        <f aca="false">IFERROR(SUMPRODUCT((Indicators!$B$5:$B$35=F$4)*Indicators!$L$5:$L$35*'Indicator Scores'!$F$5:$F$35)/SUMPRODUCT((Indicators!$B$5:$B$35=F$4)*Indicators!$L$5:$L$35*('Indicator Scores'!$F$5:$F$35&gt;0)),0)</f>
        <v>1.9</v>
      </c>
      <c r="G20" s="28" t="n">
        <f aca="false">IFERROR(SUMPRODUCT((Indicators!$B$5:$B$35=G$4)*Indicators!$L$5:$L$35*'Indicator Scores'!$F$5:$F$35)/SUMPRODUCT((Indicators!$B$5:$B$35=G$4)*Indicators!$L$5:$L$35*('Indicator Scores'!$F$5:$F$35&gt;0)),0)</f>
        <v>2.22222222222222</v>
      </c>
      <c r="H20" s="28" t="n">
        <f aca="false">IFERROR(SUMPRODUCT((Indicators!$B$5:$B$35=H$4)*Indicators!$L$5:$L$35*'Indicator Scores'!$F$5:$F$35)/SUMPRODUCT((Indicators!$B$5:$B$35=H$4)*Indicators!$L$5:$L$35*('Indicator Scores'!$F$5:$F$35&gt;0)),0)</f>
        <v>1.33333333333333</v>
      </c>
      <c r="I20" s="28" t="n">
        <f aca="false">IFERROR(SUMPRODUCT((Indicators!$B$5:$B$35=I$4)*Indicators!$L$5:$L$35*'Indicator Scores'!$F$5:$F$35)/SUMPRODUCT((Indicators!$B$5:$B$35=I$4)*Indicators!$L$5:$L$35*('Indicator Scores'!$F$5:$F$35&gt;0)),0)</f>
        <v>1.83333333333333</v>
      </c>
      <c r="J20" s="28" t="n">
        <f aca="false">IFERROR(SUMPRODUCT((Indicators!$B$5:$B$35=J$4)*Indicators!$L$5:$L$35*'Indicator Scores'!$F$5:$F$35)/SUMPRODUCT((Indicators!$B$5:$B$35=J$4)*Indicators!$L$5:$L$35*('Indicator Scores'!$F$5:$F$35&gt;0)),0)</f>
        <v>2.28571428571429</v>
      </c>
      <c r="K20" s="28" t="n">
        <f aca="false">IFERROR(SUMPRODUCT(F20:J20,INDEX('Factor Weights'!$C$5:$G$11,MATCH(D20,'Factor Weights'!$A$5:$A$11,0),0))/SUMPRODUCT((F20:J20&gt;0)*INDEX('Factor Weights'!$C$5:$G$11,MATCH(D20,'Factor Weights'!$A$5:$A$11,0),0)),0)</f>
        <v>1.98214285714286</v>
      </c>
      <c r="L20" s="29" t="n">
        <f aca="false">MAX(F20:J20)</f>
        <v>2.28571428571429</v>
      </c>
      <c r="M20" s="28" t="n">
        <f aca="false">IF(L20&gt;=Config!$C$13,MAX(K20,Config!$C$14),K20)</f>
        <v>1.98214285714286</v>
      </c>
      <c r="N20" s="30" t="n">
        <f aca="false">IF(Config!$C$12="Weighted average",K20,IF(Config!$C$12="Weighted with floor",M20,L20))</f>
        <v>1.98214285714286</v>
      </c>
      <c r="O20" s="31" t="n">
        <f aca="false">IF(N20&lt;Config!$D$5,"",MATCH(N20,Config!$D$5:$D$9,1))</f>
        <v>2</v>
      </c>
      <c r="P20" s="7" t="str">
        <f aca="false">IF(O20="","No data",INDEX(Config!$B$5:$B$9,O20))</f>
        <v>Medium-Low</v>
      </c>
      <c r="Q20" s="32" t="n">
        <v>0</v>
      </c>
      <c r="R20" s="8"/>
      <c r="S20" s="33"/>
      <c r="T20" s="34" t="n">
        <f aca="false">IF(O20="","",IF(AND(S20="Y",Q20&lt;&gt;0),MAX(1,MIN(5,O20+MAX(-Config!$C$27,MIN(Config!$C$27,Q20)))),O20))</f>
        <v>2</v>
      </c>
      <c r="U20" s="35" t="str">
        <f aca="false">IF(T20="","No data",INDEX(Config!$B$5:$B$9,T20))</f>
        <v>Medium-Low</v>
      </c>
      <c r="V20" s="7" t="str">
        <f aca="false">IF(Q20=0,"None",IF(S20="Y","Applied","Pending HO approval"))</f>
        <v>None</v>
      </c>
      <c r="W20" s="36" t="n">
        <f aca="false">SUMPRODUCT((Indicators!$L$5:$L$35&gt;0)*('Indicator Data'!$F$5:$F$35&lt;&gt;""))/SUMPRODUCT(--(Indicators!$L$5:$L$35&gt;0))</f>
        <v>1</v>
      </c>
    </row>
    <row r="21" customFormat="false" ht="15" hidden="false" customHeight="false" outlineLevel="0" collapsed="false">
      <c r="A21" s="26" t="str">
        <f aca="false">Entities!$A$7</f>
        <v>JO-INV</v>
      </c>
      <c r="B21" s="12" t="str">
        <f aca="false">INDEX(Entities!$B$5:$B$34,MATCH(A21,Entities!$A$5:$A$34,0))</f>
        <v>Al-Arabi Investment Group (AB Invest)</v>
      </c>
      <c r="C21" s="12" t="str">
        <f aca="false">INDEX(Entities!$D$5:$D$34,MATCH(A21,Entities!$A$5:$A$34,0))</f>
        <v>Jordan (home)</v>
      </c>
      <c r="D21" s="12" t="s">
        <v>243</v>
      </c>
      <c r="E21" s="12" t="str">
        <f aca="false">INDEX('Risk Taxonomy'!$B$5:$B$24,MATCH(D21,'Risk Taxonomy'!$A$5:$A$24,0))</f>
        <v>Proliferation financing</v>
      </c>
      <c r="F21" s="28" t="n">
        <f aca="false">IFERROR(SUMPRODUCT((Indicators!$B$5:$B$35=F$4)*Indicators!$M$5:$M$35*'Indicator Scores'!$F$5:$F$35)/SUMPRODUCT((Indicators!$B$5:$B$35=F$4)*Indicators!$M$5:$M$35*('Indicator Scores'!$F$5:$F$35&gt;0)),0)</f>
        <v>3</v>
      </c>
      <c r="G21" s="28" t="n">
        <f aca="false">IFERROR(SUMPRODUCT((Indicators!$B$5:$B$35=G$4)*Indicators!$M$5:$M$35*'Indicator Scores'!$F$5:$F$35)/SUMPRODUCT((Indicators!$B$5:$B$35=G$4)*Indicators!$M$5:$M$35*('Indicator Scores'!$F$5:$F$35&gt;0)),0)</f>
        <v>1.875</v>
      </c>
      <c r="H21" s="28" t="n">
        <f aca="false">IFERROR(SUMPRODUCT((Indicators!$B$5:$B$35=H$4)*Indicators!$M$5:$M$35*'Indicator Scores'!$F$5:$F$35)/SUMPRODUCT((Indicators!$B$5:$B$35=H$4)*Indicators!$M$5:$M$35*('Indicator Scores'!$F$5:$F$35&gt;0)),0)</f>
        <v>1.22222222222222</v>
      </c>
      <c r="I21" s="28" t="n">
        <f aca="false">IFERROR(SUMPRODUCT((Indicators!$B$5:$B$35=I$4)*Indicators!$M$5:$M$35*'Indicator Scores'!$F$5:$F$35)/SUMPRODUCT((Indicators!$B$5:$B$35=I$4)*Indicators!$M$5:$M$35*('Indicator Scores'!$F$5:$F$35&gt;0)),0)</f>
        <v>1.66666666666667</v>
      </c>
      <c r="J21" s="28" t="n">
        <f aca="false">IFERROR(SUMPRODUCT((Indicators!$B$5:$B$35=J$4)*Indicators!$M$5:$M$35*'Indicator Scores'!$F$5:$F$35)/SUMPRODUCT((Indicators!$B$5:$B$35=J$4)*Indicators!$M$5:$M$35*('Indicator Scores'!$F$5:$F$35&gt;0)),0)</f>
        <v>2</v>
      </c>
      <c r="K21" s="28" t="n">
        <f aca="false">IFERROR(SUMPRODUCT(F21:J21,INDEX('Factor Weights'!$C$5:$G$11,MATCH(D21,'Factor Weights'!$A$5:$A$11,0),0))/SUMPRODUCT((F21:J21&gt;0)*INDEX('Factor Weights'!$C$5:$G$11,MATCH(D21,'Factor Weights'!$A$5:$A$11,0),0)),0)</f>
        <v>1.8625</v>
      </c>
      <c r="L21" s="29" t="n">
        <f aca="false">MAX(F21:J21)</f>
        <v>3</v>
      </c>
      <c r="M21" s="28" t="n">
        <f aca="false">IF(L21&gt;=Config!$C$13,MAX(K21,Config!$C$14),K21)</f>
        <v>1.8625</v>
      </c>
      <c r="N21" s="30" t="n">
        <f aca="false">IF(Config!$C$12="Weighted average",K21,IF(Config!$C$12="Weighted with floor",M21,L21))</f>
        <v>1.8625</v>
      </c>
      <c r="O21" s="31" t="n">
        <f aca="false">IF(N21&lt;Config!$D$5,"",MATCH(N21,Config!$D$5:$D$9,1))</f>
        <v>2</v>
      </c>
      <c r="P21" s="7" t="str">
        <f aca="false">IF(O21="","No data",INDEX(Config!$B$5:$B$9,O21))</f>
        <v>Medium-Low</v>
      </c>
      <c r="Q21" s="32" t="n">
        <v>0</v>
      </c>
      <c r="R21" s="8"/>
      <c r="S21" s="33"/>
      <c r="T21" s="34" t="n">
        <f aca="false">IF(O21="","",IF(AND(S21="Y",Q21&lt;&gt;0),MAX(1,MIN(5,O21+MAX(-Config!$C$27,MIN(Config!$C$27,Q21)))),O21))</f>
        <v>2</v>
      </c>
      <c r="U21" s="35" t="str">
        <f aca="false">IF(T21="","No data",INDEX(Config!$B$5:$B$9,T21))</f>
        <v>Medium-Low</v>
      </c>
      <c r="V21" s="7" t="str">
        <f aca="false">IF(Q21=0,"None",IF(S21="Y","Applied","Pending HO approval"))</f>
        <v>None</v>
      </c>
      <c r="W21" s="36" t="n">
        <f aca="false">SUMPRODUCT((Indicators!$M$5:$M$35&gt;0)*('Indicator Data'!$F$5:$F$35&lt;&gt;""))/SUMPRODUCT(--(Indicators!$M$5:$M$35&gt;0))</f>
        <v>1</v>
      </c>
    </row>
    <row r="22" customFormat="false" ht="15" hidden="false" customHeight="false" outlineLevel="0" collapsed="false">
      <c r="A22" s="26" t="str">
        <f aca="false">Entities!$A$7</f>
        <v>JO-INV</v>
      </c>
      <c r="B22" s="12" t="str">
        <f aca="false">INDEX(Entities!$B$5:$B$34,MATCH(A22,Entities!$A$5:$A$34,0))</f>
        <v>Al-Arabi Investment Group (AB Invest)</v>
      </c>
      <c r="C22" s="12" t="str">
        <f aca="false">INDEX(Entities!$D$5:$D$34,MATCH(A22,Entities!$A$5:$A$34,0))</f>
        <v>Jordan (home)</v>
      </c>
      <c r="D22" s="12" t="s">
        <v>245</v>
      </c>
      <c r="E22" s="12" t="str">
        <f aca="false">INDEX('Risk Taxonomy'!$B$5:$B$24,MATCH(D22,'Risk Taxonomy'!$A$5:$A$24,0))</f>
        <v>Sanctions</v>
      </c>
      <c r="F22" s="28" t="n">
        <f aca="false">IFERROR(SUMPRODUCT((Indicators!$B$5:$B$35=F$4)*Indicators!$N$5:$N$35*'Indicator Scores'!$F$5:$F$35)/SUMPRODUCT((Indicators!$B$5:$B$35=F$4)*Indicators!$N$5:$N$35*('Indicator Scores'!$F$5:$F$35&gt;0)),0)</f>
        <v>2.71428571428571</v>
      </c>
      <c r="G22" s="28" t="n">
        <f aca="false">IFERROR(SUMPRODUCT((Indicators!$B$5:$B$35=G$4)*Indicators!$N$5:$N$35*'Indicator Scores'!$F$5:$F$35)/SUMPRODUCT((Indicators!$B$5:$B$35=G$4)*Indicators!$N$5:$N$35*('Indicator Scores'!$F$5:$F$35&gt;0)),0)</f>
        <v>2</v>
      </c>
      <c r="H22" s="28" t="n">
        <f aca="false">IFERROR(SUMPRODUCT((Indicators!$B$5:$B$35=H$4)*Indicators!$N$5:$N$35*'Indicator Scores'!$F$5:$F$35)/SUMPRODUCT((Indicators!$B$5:$B$35=H$4)*Indicators!$N$5:$N$35*('Indicator Scores'!$F$5:$F$35&gt;0)),0)</f>
        <v>1.375</v>
      </c>
      <c r="I22" s="28" t="n">
        <f aca="false">IFERROR(SUMPRODUCT((Indicators!$B$5:$B$35=I$4)*Indicators!$N$5:$N$35*'Indicator Scores'!$F$5:$F$35)/SUMPRODUCT((Indicators!$B$5:$B$35=I$4)*Indicators!$N$5:$N$35*('Indicator Scores'!$F$5:$F$35&gt;0)),0)</f>
        <v>1.33333333333333</v>
      </c>
      <c r="J22" s="28" t="n">
        <f aca="false">IFERROR(SUMPRODUCT((Indicators!$B$5:$B$35=J$4)*Indicators!$N$5:$N$35*'Indicator Scores'!$F$5:$F$35)/SUMPRODUCT((Indicators!$B$5:$B$35=J$4)*Indicators!$N$5:$N$35*('Indicator Scores'!$F$5:$F$35&gt;0)),0)</f>
        <v>1.8</v>
      </c>
      <c r="K22" s="28" t="n">
        <f aca="false">IFERROR(SUMPRODUCT(F22:J22,INDEX('Factor Weights'!$C$5:$G$11,MATCH(D22,'Factor Weights'!$A$5:$A$11,0),0))/SUMPRODUCT((F22:J22&gt;0)*INDEX('Factor Weights'!$C$5:$G$11,MATCH(D22,'Factor Weights'!$A$5:$A$11,0),0)),0)</f>
        <v>1.90880952380952</v>
      </c>
      <c r="L22" s="29" t="n">
        <f aca="false">MAX(F22:J22)</f>
        <v>2.71428571428571</v>
      </c>
      <c r="M22" s="28" t="n">
        <f aca="false">IF(L22&gt;=Config!$C$13,MAX(K22,Config!$C$14),K22)</f>
        <v>1.90880952380952</v>
      </c>
      <c r="N22" s="30" t="n">
        <f aca="false">IF(Config!$C$12="Weighted average",K22,IF(Config!$C$12="Weighted with floor",M22,L22))</f>
        <v>1.90880952380952</v>
      </c>
      <c r="O22" s="31" t="n">
        <f aca="false">IF(N22&lt;Config!$D$5,"",MATCH(N22,Config!$D$5:$D$9,1))</f>
        <v>2</v>
      </c>
      <c r="P22" s="7" t="str">
        <f aca="false">IF(O22="","No data",INDEX(Config!$B$5:$B$9,O22))</f>
        <v>Medium-Low</v>
      </c>
      <c r="Q22" s="32" t="n">
        <v>0</v>
      </c>
      <c r="R22" s="8"/>
      <c r="S22" s="33"/>
      <c r="T22" s="34" t="n">
        <f aca="false">IF(O22="","",IF(AND(S22="Y",Q22&lt;&gt;0),MAX(1,MIN(5,O22+MAX(-Config!$C$27,MIN(Config!$C$27,Q22)))),O22))</f>
        <v>2</v>
      </c>
      <c r="U22" s="35" t="str">
        <f aca="false">IF(T22="","No data",INDEX(Config!$B$5:$B$9,T22))</f>
        <v>Medium-Low</v>
      </c>
      <c r="V22" s="7" t="str">
        <f aca="false">IF(Q22=0,"None",IF(S22="Y","Applied","Pending HO approval"))</f>
        <v>None</v>
      </c>
      <c r="W22" s="36" t="n">
        <f aca="false">SUMPRODUCT((Indicators!$N$5:$N$35&gt;0)*('Indicator Data'!$F$5:$F$35&lt;&gt;""))/SUMPRODUCT(--(Indicators!$N$5:$N$35&gt;0))</f>
        <v>1</v>
      </c>
    </row>
    <row r="23" customFormat="false" ht="15" hidden="false" customHeight="false" outlineLevel="0" collapsed="false">
      <c r="A23" s="26" t="str">
        <f aca="false">Entities!$A$7</f>
        <v>JO-INV</v>
      </c>
      <c r="B23" s="12" t="str">
        <f aca="false">INDEX(Entities!$B$5:$B$34,MATCH(A23,Entities!$A$5:$A$34,0))</f>
        <v>Al-Arabi Investment Group (AB Invest)</v>
      </c>
      <c r="C23" s="12" t="str">
        <f aca="false">INDEX(Entities!$D$5:$D$34,MATCH(A23,Entities!$A$5:$A$34,0))</f>
        <v>Jordan (home)</v>
      </c>
      <c r="D23" s="12" t="s">
        <v>248</v>
      </c>
      <c r="E23" s="12" t="str">
        <f aca="false">INDEX('Risk Taxonomy'!$B$5:$B$24,MATCH(D23,'Risk Taxonomy'!$A$5:$A$24,0))</f>
        <v>Bribery and corruption</v>
      </c>
      <c r="F23" s="28" t="n">
        <f aca="false">IFERROR(SUMPRODUCT((Indicators!$B$5:$B$35=F$4)*Indicators!$O$5:$O$35*'Indicator Scores'!$F$5:$F$35)/SUMPRODUCT((Indicators!$B$5:$B$35=F$4)*Indicators!$O$5:$O$35*('Indicator Scores'!$F$5:$F$35&gt;0)),0)</f>
        <v>2</v>
      </c>
      <c r="G23" s="28" t="n">
        <f aca="false">IFERROR(SUMPRODUCT((Indicators!$B$5:$B$35=G$4)*Indicators!$O$5:$O$35*'Indicator Scores'!$F$5:$F$35)/SUMPRODUCT((Indicators!$B$5:$B$35=G$4)*Indicators!$O$5:$O$35*('Indicator Scores'!$F$5:$F$35&gt;0)),0)</f>
        <v>2.6</v>
      </c>
      <c r="H23" s="28" t="n">
        <f aca="false">IFERROR(SUMPRODUCT((Indicators!$B$5:$B$35=H$4)*Indicators!$O$5:$O$35*'Indicator Scores'!$F$5:$F$35)/SUMPRODUCT((Indicators!$B$5:$B$35=H$4)*Indicators!$O$5:$O$35*('Indicator Scores'!$F$5:$F$35&gt;0)),0)</f>
        <v>1.5</v>
      </c>
      <c r="I23" s="28" t="n">
        <f aca="false">IFERROR(SUMPRODUCT((Indicators!$B$5:$B$35=I$4)*Indicators!$O$5:$O$35*'Indicator Scores'!$F$5:$F$35)/SUMPRODUCT((Indicators!$B$5:$B$35=I$4)*Indicators!$O$5:$O$35*('Indicator Scores'!$F$5:$F$35&gt;0)),0)</f>
        <v>3.2</v>
      </c>
      <c r="J23" s="28" t="n">
        <f aca="false">IFERROR(SUMPRODUCT((Indicators!$B$5:$B$35=J$4)*Indicators!$O$5:$O$35*'Indicator Scores'!$F$5:$F$35)/SUMPRODUCT((Indicators!$B$5:$B$35=J$4)*Indicators!$O$5:$O$35*('Indicator Scores'!$F$5:$F$35&gt;0)),0)</f>
        <v>3</v>
      </c>
      <c r="K23" s="28" t="n">
        <f aca="false">IFERROR(SUMPRODUCT(F23:J23,INDEX('Factor Weights'!$C$5:$G$11,MATCH(D23,'Factor Weights'!$A$5:$A$11,0),0))/SUMPRODUCT((F23:J23&gt;0)*INDEX('Factor Weights'!$C$5:$G$11,MATCH(D23,'Factor Weights'!$A$5:$A$11,0),0)),0)</f>
        <v>2.415</v>
      </c>
      <c r="L23" s="29" t="n">
        <f aca="false">MAX(F23:J23)</f>
        <v>3.2</v>
      </c>
      <c r="M23" s="28" t="n">
        <f aca="false">IF(L23&gt;=Config!$C$13,MAX(K23,Config!$C$14),K23)</f>
        <v>2.415</v>
      </c>
      <c r="N23" s="30" t="n">
        <f aca="false">IF(Config!$C$12="Weighted average",K23,IF(Config!$C$12="Weighted with floor",M23,L23))</f>
        <v>2.415</v>
      </c>
      <c r="O23" s="31" t="n">
        <f aca="false">IF(N23&lt;Config!$D$5,"",MATCH(N23,Config!$D$5:$D$9,1))</f>
        <v>2</v>
      </c>
      <c r="P23" s="7" t="str">
        <f aca="false">IF(O23="","No data",INDEX(Config!$B$5:$B$9,O23))</f>
        <v>Medium-Low</v>
      </c>
      <c r="Q23" s="32" t="n">
        <v>0</v>
      </c>
      <c r="R23" s="8"/>
      <c r="S23" s="33"/>
      <c r="T23" s="34" t="n">
        <f aca="false">IF(O23="","",IF(AND(S23="Y",Q23&lt;&gt;0),MAX(1,MIN(5,O23+MAX(-Config!$C$27,MIN(Config!$C$27,Q23)))),O23))</f>
        <v>2</v>
      </c>
      <c r="U23" s="35" t="str">
        <f aca="false">IF(T23="","No data",INDEX(Config!$B$5:$B$9,T23))</f>
        <v>Medium-Low</v>
      </c>
      <c r="V23" s="7" t="str">
        <f aca="false">IF(Q23=0,"None",IF(S23="Y","Applied","Pending HO approval"))</f>
        <v>None</v>
      </c>
      <c r="W23" s="36" t="n">
        <f aca="false">SUMPRODUCT((Indicators!$O$5:$O$35&gt;0)*('Indicator Data'!$F$5:$F$35&lt;&gt;""))/SUMPRODUCT(--(Indicators!$O$5:$O$35&gt;0))</f>
        <v>1</v>
      </c>
    </row>
    <row r="24" customFormat="false" ht="15" hidden="false" customHeight="false" outlineLevel="0" collapsed="false">
      <c r="A24" s="26" t="str">
        <f aca="false">Entities!$A$7</f>
        <v>JO-INV</v>
      </c>
      <c r="B24" s="12" t="str">
        <f aca="false">INDEX(Entities!$B$5:$B$34,MATCH(A24,Entities!$A$5:$A$34,0))</f>
        <v>Al-Arabi Investment Group (AB Invest)</v>
      </c>
      <c r="C24" s="12" t="str">
        <f aca="false">INDEX(Entities!$D$5:$D$34,MATCH(A24,Entities!$A$5:$A$34,0))</f>
        <v>Jordan (home)</v>
      </c>
      <c r="D24" s="12" t="s">
        <v>251</v>
      </c>
      <c r="E24" s="12" t="str">
        <f aca="false">INDEX('Risk Taxonomy'!$B$5:$B$24,MATCH(D24,'Risk Taxonomy'!$A$5:$A$24,0))</f>
        <v>Fraud</v>
      </c>
      <c r="F24" s="28" t="n">
        <f aca="false">IFERROR(SUMPRODUCT((Indicators!$B$5:$B$35=F$4)*Indicators!$P$5:$P$35*'Indicator Scores'!$F$5:$F$35)/SUMPRODUCT((Indicators!$B$5:$B$35=F$4)*Indicators!$P$5:$P$35*('Indicator Scores'!$F$5:$F$35&gt;0)),0)</f>
        <v>2</v>
      </c>
      <c r="G24" s="28" t="n">
        <f aca="false">IFERROR(SUMPRODUCT((Indicators!$B$5:$B$35=G$4)*Indicators!$P$5:$P$35*'Indicator Scores'!$F$5:$F$35)/SUMPRODUCT((Indicators!$B$5:$B$35=G$4)*Indicators!$P$5:$P$35*('Indicator Scores'!$F$5:$F$35&gt;0)),0)</f>
        <v>2.5</v>
      </c>
      <c r="H24" s="28" t="n">
        <f aca="false">IFERROR(SUMPRODUCT((Indicators!$B$5:$B$35=H$4)*Indicators!$P$5:$P$35*'Indicator Scores'!$F$5:$F$35)/SUMPRODUCT((Indicators!$B$5:$B$35=H$4)*Indicators!$P$5:$P$35*('Indicator Scores'!$F$5:$F$35&gt;0)),0)</f>
        <v>1.8</v>
      </c>
      <c r="I24" s="28" t="n">
        <f aca="false">IFERROR(SUMPRODUCT((Indicators!$B$5:$B$35=I$4)*Indicators!$P$5:$P$35*'Indicator Scores'!$F$5:$F$35)/SUMPRODUCT((Indicators!$B$5:$B$35=I$4)*Indicators!$P$5:$P$35*('Indicator Scores'!$F$5:$F$35&gt;0)),0)</f>
        <v>2.11111111111111</v>
      </c>
      <c r="J24" s="28" t="n">
        <f aca="false">IFERROR(SUMPRODUCT((Indicators!$B$5:$B$35=J$4)*Indicators!$P$5:$P$35*'Indicator Scores'!$F$5:$F$35)/SUMPRODUCT((Indicators!$B$5:$B$35=J$4)*Indicators!$P$5:$P$35*('Indicator Scores'!$F$5:$F$35&gt;0)),0)</f>
        <v>2</v>
      </c>
      <c r="K24" s="28" t="n">
        <f aca="false">IFERROR(SUMPRODUCT(F24:J24,INDEX('Factor Weights'!$C$5:$G$11,MATCH(D24,'Factor Weights'!$A$5:$A$11,0),0))/SUMPRODUCT((F24:J24&gt;0)*INDEX('Factor Weights'!$C$5:$G$11,MATCH(D24,'Factor Weights'!$A$5:$A$11,0),0)),0)</f>
        <v>2.04333333333333</v>
      </c>
      <c r="L24" s="29" t="n">
        <f aca="false">MAX(F24:J24)</f>
        <v>2.5</v>
      </c>
      <c r="M24" s="28" t="n">
        <f aca="false">IF(L24&gt;=Config!$C$13,MAX(K24,Config!$C$14),K24)</f>
        <v>2.04333333333333</v>
      </c>
      <c r="N24" s="30" t="n">
        <f aca="false">IF(Config!$C$12="Weighted average",K24,IF(Config!$C$12="Weighted with floor",M24,L24))</f>
        <v>2.04333333333333</v>
      </c>
      <c r="O24" s="31" t="n">
        <f aca="false">IF(N24&lt;Config!$D$5,"",MATCH(N24,Config!$D$5:$D$9,1))</f>
        <v>2</v>
      </c>
      <c r="P24" s="7" t="str">
        <f aca="false">IF(O24="","No data",INDEX(Config!$B$5:$B$9,O24))</f>
        <v>Medium-Low</v>
      </c>
      <c r="Q24" s="32" t="n">
        <v>0</v>
      </c>
      <c r="R24" s="8"/>
      <c r="S24" s="33"/>
      <c r="T24" s="34" t="n">
        <f aca="false">IF(O24="","",IF(AND(S24="Y",Q24&lt;&gt;0),MAX(1,MIN(5,O24+MAX(-Config!$C$27,MIN(Config!$C$27,Q24)))),O24))</f>
        <v>2</v>
      </c>
      <c r="U24" s="35" t="str">
        <f aca="false">IF(T24="","No data",INDEX(Config!$B$5:$B$9,T24))</f>
        <v>Medium-Low</v>
      </c>
      <c r="V24" s="7" t="str">
        <f aca="false">IF(Q24=0,"None",IF(S24="Y","Applied","Pending HO approval"))</f>
        <v>None</v>
      </c>
      <c r="W24" s="36" t="n">
        <f aca="false">SUMPRODUCT((Indicators!$P$5:$P$35&gt;0)*('Indicator Data'!$F$5:$F$35&lt;&gt;""))/SUMPRODUCT(--(Indicators!$P$5:$P$35&gt;0))</f>
        <v>1</v>
      </c>
    </row>
    <row r="25" customFormat="false" ht="15" hidden="false" customHeight="false" outlineLevel="0" collapsed="false">
      <c r="A25" s="26" t="str">
        <f aca="false">Entities!$A$7</f>
        <v>JO-INV</v>
      </c>
      <c r="B25" s="12" t="str">
        <f aca="false">INDEX(Entities!$B$5:$B$34,MATCH(A25,Entities!$A$5:$A$34,0))</f>
        <v>Al-Arabi Investment Group (AB Invest)</v>
      </c>
      <c r="C25" s="12" t="str">
        <f aca="false">INDEX(Entities!$D$5:$D$34,MATCH(A25,Entities!$A$5:$A$34,0))</f>
        <v>Jordan (home)</v>
      </c>
      <c r="D25" s="12" t="s">
        <v>254</v>
      </c>
      <c r="E25" s="12" t="str">
        <f aca="false">INDEX('Risk Taxonomy'!$B$5:$B$24,MATCH(D25,'Risk Taxonomy'!$A$5:$A$24,0))</f>
        <v>Tax evasion and tax transparency</v>
      </c>
      <c r="F25" s="28" t="n">
        <f aca="false">IFERROR(SUMPRODUCT((Indicators!$B$5:$B$35=F$4)*Indicators!$Q$5:$Q$35*'Indicator Scores'!$F$5:$F$35)/SUMPRODUCT((Indicators!$B$5:$B$35=F$4)*Indicators!$Q$5:$Q$35*('Indicator Scores'!$F$5:$F$35&gt;0)),0)</f>
        <v>2.88888888888889</v>
      </c>
      <c r="G25" s="28" t="n">
        <f aca="false">IFERROR(SUMPRODUCT((Indicators!$B$5:$B$35=G$4)*Indicators!$Q$5:$Q$35*'Indicator Scores'!$F$5:$F$35)/SUMPRODUCT((Indicators!$B$5:$B$35=G$4)*Indicators!$Q$5:$Q$35*('Indicator Scores'!$F$5:$F$35&gt;0)),0)</f>
        <v>3.16666666666667</v>
      </c>
      <c r="H25" s="28" t="n">
        <f aca="false">IFERROR(SUMPRODUCT((Indicators!$B$5:$B$35=H$4)*Indicators!$Q$5:$Q$35*'Indicator Scores'!$F$5:$F$35)/SUMPRODUCT((Indicators!$B$5:$B$35=H$4)*Indicators!$Q$5:$Q$35*('Indicator Scores'!$F$5:$F$35&gt;0)),0)</f>
        <v>2.16666666666667</v>
      </c>
      <c r="I25" s="28" t="n">
        <f aca="false">IFERROR(SUMPRODUCT((Indicators!$B$5:$B$35=I$4)*Indicators!$Q$5:$Q$35*'Indicator Scores'!$F$5:$F$35)/SUMPRODUCT((Indicators!$B$5:$B$35=I$4)*Indicators!$Q$5:$Q$35*('Indicator Scores'!$F$5:$F$35&gt;0)),0)</f>
        <v>3</v>
      </c>
      <c r="J25" s="28" t="n">
        <f aca="false">IFERROR(SUMPRODUCT((Indicators!$B$5:$B$35=J$4)*Indicators!$Q$5:$Q$35*'Indicator Scores'!$F$5:$F$35)/SUMPRODUCT((Indicators!$B$5:$B$35=J$4)*Indicators!$Q$5:$Q$35*('Indicator Scores'!$F$5:$F$35&gt;0)),0)</f>
        <v>2.6</v>
      </c>
      <c r="K25" s="28" t="n">
        <f aca="false">IFERROR(SUMPRODUCT(F25:J25,INDEX('Factor Weights'!$C$5:$G$11,MATCH(D25,'Factor Weights'!$A$5:$A$11,0),0))/SUMPRODUCT((F25:J25&gt;0)*INDEX('Factor Weights'!$C$5:$G$11,MATCH(D25,'Factor Weights'!$A$5:$A$11,0),0)),0)</f>
        <v>2.79611111111111</v>
      </c>
      <c r="L25" s="29" t="n">
        <f aca="false">MAX(F25:J25)</f>
        <v>3.16666666666667</v>
      </c>
      <c r="M25" s="28" t="n">
        <f aca="false">IF(L25&gt;=Config!$C$13,MAX(K25,Config!$C$14),K25)</f>
        <v>2.79611111111111</v>
      </c>
      <c r="N25" s="30" t="n">
        <f aca="false">IF(Config!$C$12="Weighted average",K25,IF(Config!$C$12="Weighted with floor",M25,L25))</f>
        <v>2.79611111111111</v>
      </c>
      <c r="O25" s="31" t="n">
        <f aca="false">IF(N25&lt;Config!$D$5,"",MATCH(N25,Config!$D$5:$D$9,1))</f>
        <v>3</v>
      </c>
      <c r="P25" s="7" t="str">
        <f aca="false">IF(O25="","No data",INDEX(Config!$B$5:$B$9,O25))</f>
        <v>Medium</v>
      </c>
      <c r="Q25" s="32" t="n">
        <v>0</v>
      </c>
      <c r="R25" s="8"/>
      <c r="S25" s="33"/>
      <c r="T25" s="34" t="n">
        <f aca="false">IF(O25="","",IF(AND(S25="Y",Q25&lt;&gt;0),MAX(1,MIN(5,O25+MAX(-Config!$C$27,MIN(Config!$C$27,Q25)))),O25))</f>
        <v>3</v>
      </c>
      <c r="U25" s="35" t="str">
        <f aca="false">IF(T25="","No data",INDEX(Config!$B$5:$B$9,T25))</f>
        <v>Medium</v>
      </c>
      <c r="V25" s="7" t="str">
        <f aca="false">IF(Q25=0,"None",IF(S25="Y","Applied","Pending HO approval"))</f>
        <v>None</v>
      </c>
      <c r="W25" s="36" t="n">
        <f aca="false">SUMPRODUCT((Indicators!$Q$5:$Q$35&gt;0)*('Indicator Data'!$F$5:$F$35&lt;&gt;""))/SUMPRODUCT(--(Indicators!$Q$5:$Q$35&gt;0))</f>
        <v>1</v>
      </c>
    </row>
    <row r="26" customFormat="false" ht="15" hidden="false" customHeight="false" outlineLevel="0" collapsed="false">
      <c r="A26" s="26" t="str">
        <f aca="false">Entities!$A$8</f>
        <v>JO-INS</v>
      </c>
      <c r="B26" s="12" t="str">
        <f aca="false">INDEX(Entities!$B$5:$B$34,MATCH(A26,Entities!$A$5:$A$34,0))</f>
        <v>Insurance subsidiary – Jordan</v>
      </c>
      <c r="C26" s="12" t="str">
        <f aca="false">INDEX(Entities!$D$5:$D$34,MATCH(A26,Entities!$A$5:$A$34,0))</f>
        <v>Jordan (home)</v>
      </c>
      <c r="D26" s="12" t="s">
        <v>233</v>
      </c>
      <c r="E26" s="12" t="str">
        <f aca="false">INDEX('Risk Taxonomy'!$B$5:$B$24,MATCH(D26,'Risk Taxonomy'!$A$5:$A$24,0))</f>
        <v>Money laundering</v>
      </c>
      <c r="F26" s="28" t="n">
        <f aca="false">IFERROR(SUMPRODUCT((Indicators!$B$5:$B$35=F$4)*Indicators!$K$5:$K$35*'Indicator Scores'!$G$5:$G$35)/SUMPRODUCT((Indicators!$B$5:$B$35=F$4)*Indicators!$K$5:$K$35*('Indicator Scores'!$G$5:$G$35&gt;0)),0)</f>
        <v>3.25</v>
      </c>
      <c r="G26" s="28" t="n">
        <f aca="false">IFERROR(SUMPRODUCT((Indicators!$B$5:$B$35=G$4)*Indicators!$K$5:$K$35*'Indicator Scores'!$G$5:$G$35)/SUMPRODUCT((Indicators!$B$5:$B$35=G$4)*Indicators!$K$5:$K$35*('Indicator Scores'!$G$5:$G$35&gt;0)),0)</f>
        <v>3.11111111111111</v>
      </c>
      <c r="H26" s="28" t="n">
        <f aca="false">IFERROR(SUMPRODUCT((Indicators!$B$5:$B$35=H$4)*Indicators!$K$5:$K$35*'Indicator Scores'!$G$5:$G$35)/SUMPRODUCT((Indicators!$B$5:$B$35=H$4)*Indicators!$K$5:$K$35*('Indicator Scores'!$G$5:$G$35&gt;0)),0)</f>
        <v>2</v>
      </c>
      <c r="I26" s="28" t="n">
        <f aca="false">IFERROR(SUMPRODUCT((Indicators!$B$5:$B$35=I$4)*Indicators!$K$5:$K$35*'Indicator Scores'!$G$5:$G$35)/SUMPRODUCT((Indicators!$B$5:$B$35=I$4)*Indicators!$K$5:$K$35*('Indicator Scores'!$G$5:$G$35&gt;0)),0)</f>
        <v>1.85714285714286</v>
      </c>
      <c r="J26" s="28" t="n">
        <f aca="false">IFERROR(SUMPRODUCT((Indicators!$B$5:$B$35=J$4)*Indicators!$K$5:$K$35*'Indicator Scores'!$G$5:$G$35)/SUMPRODUCT((Indicators!$B$5:$B$35=J$4)*Indicators!$K$5:$K$35*('Indicator Scores'!$G$5:$G$35&gt;0)),0)</f>
        <v>2.5</v>
      </c>
      <c r="K26" s="28" t="n">
        <f aca="false">IFERROR(SUMPRODUCT(F26:J26,INDEX('Factor Weights'!$C$5:$G$11,MATCH(D26,'Factor Weights'!$A$5:$A$11,0),0))/SUMPRODUCT((F26:J26&gt;0)*INDEX('Factor Weights'!$C$5:$G$11,MATCH(D26,'Factor Weights'!$A$5:$A$11,0),0)),0)</f>
        <v>2.68134920634921</v>
      </c>
      <c r="L26" s="29" t="n">
        <f aca="false">MAX(F26:J26)</f>
        <v>3.25</v>
      </c>
      <c r="M26" s="28" t="n">
        <f aca="false">IF(L26&gt;=Config!$C$13,MAX(K26,Config!$C$14),K26)</f>
        <v>2.68134920634921</v>
      </c>
      <c r="N26" s="30" t="n">
        <f aca="false">IF(Config!$C$12="Weighted average",K26,IF(Config!$C$12="Weighted with floor",M26,L26))</f>
        <v>2.68134920634921</v>
      </c>
      <c r="O26" s="31" t="n">
        <f aca="false">IF(N26&lt;Config!$D$5,"",MATCH(N26,Config!$D$5:$D$9,1))</f>
        <v>3</v>
      </c>
      <c r="P26" s="7" t="str">
        <f aca="false">IF(O26="","No data",INDEX(Config!$B$5:$B$9,O26))</f>
        <v>Medium</v>
      </c>
      <c r="Q26" s="32" t="n">
        <v>0</v>
      </c>
      <c r="R26" s="8"/>
      <c r="S26" s="33"/>
      <c r="T26" s="34" t="n">
        <f aca="false">IF(O26="","",IF(AND(S26="Y",Q26&lt;&gt;0),MAX(1,MIN(5,O26+MAX(-Config!$C$27,MIN(Config!$C$27,Q26)))),O26))</f>
        <v>3</v>
      </c>
      <c r="U26" s="35" t="str">
        <f aca="false">IF(T26="","No data",INDEX(Config!$B$5:$B$9,T26))</f>
        <v>Medium</v>
      </c>
      <c r="V26" s="7" t="str">
        <f aca="false">IF(Q26=0,"None",IF(S26="Y","Applied","Pending HO approval"))</f>
        <v>None</v>
      </c>
      <c r="W26" s="36" t="n">
        <f aca="false">SUMPRODUCT((Indicators!$K$5:$K$35&gt;0)*('Indicator Data'!$G$5:$G$35&lt;&gt;""))/SUMPRODUCT(--(Indicators!$K$5:$K$35&gt;0))</f>
        <v>1</v>
      </c>
    </row>
    <row r="27" customFormat="false" ht="15" hidden="false" customHeight="false" outlineLevel="0" collapsed="false">
      <c r="A27" s="26" t="str">
        <f aca="false">Entities!$A$8</f>
        <v>JO-INS</v>
      </c>
      <c r="B27" s="12" t="str">
        <f aca="false">INDEX(Entities!$B$5:$B$34,MATCH(A27,Entities!$A$5:$A$34,0))</f>
        <v>Insurance subsidiary – Jordan</v>
      </c>
      <c r="C27" s="12" t="str">
        <f aca="false">INDEX(Entities!$D$5:$D$34,MATCH(A27,Entities!$A$5:$A$34,0))</f>
        <v>Jordan (home)</v>
      </c>
      <c r="D27" s="12" t="s">
        <v>240</v>
      </c>
      <c r="E27" s="12" t="str">
        <f aca="false">INDEX('Risk Taxonomy'!$B$5:$B$24,MATCH(D27,'Risk Taxonomy'!$A$5:$A$24,0))</f>
        <v>Terrorist financing</v>
      </c>
      <c r="F27" s="28" t="n">
        <f aca="false">IFERROR(SUMPRODUCT((Indicators!$B$5:$B$35=F$4)*Indicators!$L$5:$L$35*'Indicator Scores'!$G$5:$G$35)/SUMPRODUCT((Indicators!$B$5:$B$35=F$4)*Indicators!$L$5:$L$35*('Indicator Scores'!$G$5:$G$35&gt;0)),0)</f>
        <v>2.7</v>
      </c>
      <c r="G27" s="28" t="n">
        <f aca="false">IFERROR(SUMPRODUCT((Indicators!$B$5:$B$35=G$4)*Indicators!$L$5:$L$35*'Indicator Scores'!$G$5:$G$35)/SUMPRODUCT((Indicators!$B$5:$B$35=G$4)*Indicators!$L$5:$L$35*('Indicator Scores'!$G$5:$G$35&gt;0)),0)</f>
        <v>3.22222222222222</v>
      </c>
      <c r="H27" s="28" t="n">
        <f aca="false">IFERROR(SUMPRODUCT((Indicators!$B$5:$B$35=H$4)*Indicators!$L$5:$L$35*'Indicator Scores'!$G$5:$G$35)/SUMPRODUCT((Indicators!$B$5:$B$35=H$4)*Indicators!$L$5:$L$35*('Indicator Scores'!$G$5:$G$35&gt;0)),0)</f>
        <v>1.33333333333333</v>
      </c>
      <c r="I27" s="28" t="n">
        <f aca="false">IFERROR(SUMPRODUCT((Indicators!$B$5:$B$35=I$4)*Indicators!$L$5:$L$35*'Indicator Scores'!$G$5:$G$35)/SUMPRODUCT((Indicators!$B$5:$B$35=I$4)*Indicators!$L$5:$L$35*('Indicator Scores'!$G$5:$G$35&gt;0)),0)</f>
        <v>2</v>
      </c>
      <c r="J27" s="28" t="n">
        <f aca="false">IFERROR(SUMPRODUCT((Indicators!$B$5:$B$35=J$4)*Indicators!$L$5:$L$35*'Indicator Scores'!$G$5:$G$35)/SUMPRODUCT((Indicators!$B$5:$B$35=J$4)*Indicators!$L$5:$L$35*('Indicator Scores'!$G$5:$G$35&gt;0)),0)</f>
        <v>2.14285714285714</v>
      </c>
      <c r="K27" s="28" t="n">
        <f aca="false">IFERROR(SUMPRODUCT(F27:J27,INDEX('Factor Weights'!$C$5:$G$11,MATCH(D27,'Factor Weights'!$A$5:$A$11,0),0))/SUMPRODUCT((F27:J27&gt;0)*INDEX('Factor Weights'!$C$5:$G$11,MATCH(D27,'Factor Weights'!$A$5:$A$11,0),0)),0)</f>
        <v>2.4702380952381</v>
      </c>
      <c r="L27" s="29" t="n">
        <f aca="false">MAX(F27:J27)</f>
        <v>3.22222222222222</v>
      </c>
      <c r="M27" s="28" t="n">
        <f aca="false">IF(L27&gt;=Config!$C$13,MAX(K27,Config!$C$14),K27)</f>
        <v>2.4702380952381</v>
      </c>
      <c r="N27" s="30" t="n">
        <f aca="false">IF(Config!$C$12="Weighted average",K27,IF(Config!$C$12="Weighted with floor",M27,L27))</f>
        <v>2.4702380952381</v>
      </c>
      <c r="O27" s="31" t="n">
        <f aca="false">IF(N27&lt;Config!$D$5,"",MATCH(N27,Config!$D$5:$D$9,1))</f>
        <v>2</v>
      </c>
      <c r="P27" s="7" t="str">
        <f aca="false">IF(O27="","No data",INDEX(Config!$B$5:$B$9,O27))</f>
        <v>Medium-Low</v>
      </c>
      <c r="Q27" s="32" t="n">
        <v>0</v>
      </c>
      <c r="R27" s="8"/>
      <c r="S27" s="33"/>
      <c r="T27" s="34" t="n">
        <f aca="false">IF(O27="","",IF(AND(S27="Y",Q27&lt;&gt;0),MAX(1,MIN(5,O27+MAX(-Config!$C$27,MIN(Config!$C$27,Q27)))),O27))</f>
        <v>2</v>
      </c>
      <c r="U27" s="35" t="str">
        <f aca="false">IF(T27="","No data",INDEX(Config!$B$5:$B$9,T27))</f>
        <v>Medium-Low</v>
      </c>
      <c r="V27" s="7" t="str">
        <f aca="false">IF(Q27=0,"None",IF(S27="Y","Applied","Pending HO approval"))</f>
        <v>None</v>
      </c>
      <c r="W27" s="36" t="n">
        <f aca="false">SUMPRODUCT((Indicators!$L$5:$L$35&gt;0)*('Indicator Data'!$G$5:$G$35&lt;&gt;""))/SUMPRODUCT(--(Indicators!$L$5:$L$35&gt;0))</f>
        <v>1</v>
      </c>
    </row>
    <row r="28" customFormat="false" ht="15" hidden="false" customHeight="false" outlineLevel="0" collapsed="false">
      <c r="A28" s="26" t="str">
        <f aca="false">Entities!$A$8</f>
        <v>JO-INS</v>
      </c>
      <c r="B28" s="12" t="str">
        <f aca="false">INDEX(Entities!$B$5:$B$34,MATCH(A28,Entities!$A$5:$A$34,0))</f>
        <v>Insurance subsidiary – Jordan</v>
      </c>
      <c r="C28" s="12" t="str">
        <f aca="false">INDEX(Entities!$D$5:$D$34,MATCH(A28,Entities!$A$5:$A$34,0))</f>
        <v>Jordan (home)</v>
      </c>
      <c r="D28" s="12" t="s">
        <v>243</v>
      </c>
      <c r="E28" s="12" t="str">
        <f aca="false">INDEX('Risk Taxonomy'!$B$5:$B$24,MATCH(D28,'Risk Taxonomy'!$A$5:$A$24,0))</f>
        <v>Proliferation financing</v>
      </c>
      <c r="F28" s="28" t="n">
        <f aca="false">IFERROR(SUMPRODUCT((Indicators!$B$5:$B$35=F$4)*Indicators!$M$5:$M$35*'Indicator Scores'!$G$5:$G$35)/SUMPRODUCT((Indicators!$B$5:$B$35=F$4)*Indicators!$M$5:$M$35*('Indicator Scores'!$G$5:$G$35&gt;0)),0)</f>
        <v>3.75</v>
      </c>
      <c r="G28" s="28" t="n">
        <f aca="false">IFERROR(SUMPRODUCT((Indicators!$B$5:$B$35=G$4)*Indicators!$M$5:$M$35*'Indicator Scores'!$G$5:$G$35)/SUMPRODUCT((Indicators!$B$5:$B$35=G$4)*Indicators!$M$5:$M$35*('Indicator Scores'!$G$5:$G$35&gt;0)),0)</f>
        <v>3.75</v>
      </c>
      <c r="H28" s="28" t="n">
        <f aca="false">IFERROR(SUMPRODUCT((Indicators!$B$5:$B$35=H$4)*Indicators!$M$5:$M$35*'Indicator Scores'!$G$5:$G$35)/SUMPRODUCT((Indicators!$B$5:$B$35=H$4)*Indicators!$M$5:$M$35*('Indicator Scores'!$G$5:$G$35&gt;0)),0)</f>
        <v>1.22222222222222</v>
      </c>
      <c r="I28" s="28" t="n">
        <f aca="false">IFERROR(SUMPRODUCT((Indicators!$B$5:$B$35=I$4)*Indicators!$M$5:$M$35*'Indicator Scores'!$G$5:$G$35)/SUMPRODUCT((Indicators!$B$5:$B$35=I$4)*Indicators!$M$5:$M$35*('Indicator Scores'!$G$5:$G$35&gt;0)),0)</f>
        <v>2.66666666666667</v>
      </c>
      <c r="J28" s="28" t="n">
        <f aca="false">IFERROR(SUMPRODUCT((Indicators!$B$5:$B$35=J$4)*Indicators!$M$5:$M$35*'Indicator Scores'!$G$5:$G$35)/SUMPRODUCT((Indicators!$B$5:$B$35=J$4)*Indicators!$M$5:$M$35*('Indicator Scores'!$G$5:$G$35&gt;0)),0)</f>
        <v>2.5</v>
      </c>
      <c r="K28" s="28" t="n">
        <f aca="false">IFERROR(SUMPRODUCT(F28:J28,INDEX('Factor Weights'!$C$5:$G$11,MATCH(D28,'Factor Weights'!$A$5:$A$11,0),0))/SUMPRODUCT((F28:J28&gt;0)*INDEX('Factor Weights'!$C$5:$G$11,MATCH(D28,'Factor Weights'!$A$5:$A$11,0),0)),0)</f>
        <v>2.6875</v>
      </c>
      <c r="L28" s="29" t="n">
        <f aca="false">MAX(F28:J28)</f>
        <v>3.75</v>
      </c>
      <c r="M28" s="28" t="n">
        <f aca="false">IF(L28&gt;=Config!$C$13,MAX(K28,Config!$C$14),K28)</f>
        <v>2.6875</v>
      </c>
      <c r="N28" s="30" t="n">
        <f aca="false">IF(Config!$C$12="Weighted average",K28,IF(Config!$C$12="Weighted with floor",M28,L28))</f>
        <v>2.6875</v>
      </c>
      <c r="O28" s="31" t="n">
        <f aca="false">IF(N28&lt;Config!$D$5,"",MATCH(N28,Config!$D$5:$D$9,1))</f>
        <v>3</v>
      </c>
      <c r="P28" s="7" t="str">
        <f aca="false">IF(O28="","No data",INDEX(Config!$B$5:$B$9,O28))</f>
        <v>Medium</v>
      </c>
      <c r="Q28" s="32" t="n">
        <v>0</v>
      </c>
      <c r="R28" s="8"/>
      <c r="S28" s="33"/>
      <c r="T28" s="34" t="n">
        <f aca="false">IF(O28="","",IF(AND(S28="Y",Q28&lt;&gt;0),MAX(1,MIN(5,O28+MAX(-Config!$C$27,MIN(Config!$C$27,Q28)))),O28))</f>
        <v>3</v>
      </c>
      <c r="U28" s="35" t="str">
        <f aca="false">IF(T28="","No data",INDEX(Config!$B$5:$B$9,T28))</f>
        <v>Medium</v>
      </c>
      <c r="V28" s="7" t="str">
        <f aca="false">IF(Q28=0,"None",IF(S28="Y","Applied","Pending HO approval"))</f>
        <v>None</v>
      </c>
      <c r="W28" s="36" t="n">
        <f aca="false">SUMPRODUCT((Indicators!$M$5:$M$35&gt;0)*('Indicator Data'!$G$5:$G$35&lt;&gt;""))/SUMPRODUCT(--(Indicators!$M$5:$M$35&gt;0))</f>
        <v>1</v>
      </c>
    </row>
    <row r="29" customFormat="false" ht="15" hidden="false" customHeight="false" outlineLevel="0" collapsed="false">
      <c r="A29" s="26" t="str">
        <f aca="false">Entities!$A$8</f>
        <v>JO-INS</v>
      </c>
      <c r="B29" s="12" t="str">
        <f aca="false">INDEX(Entities!$B$5:$B$34,MATCH(A29,Entities!$A$5:$A$34,0))</f>
        <v>Insurance subsidiary – Jordan</v>
      </c>
      <c r="C29" s="12" t="str">
        <f aca="false">INDEX(Entities!$D$5:$D$34,MATCH(A29,Entities!$A$5:$A$34,0))</f>
        <v>Jordan (home)</v>
      </c>
      <c r="D29" s="12" t="s">
        <v>245</v>
      </c>
      <c r="E29" s="12" t="str">
        <f aca="false">INDEX('Risk Taxonomy'!$B$5:$B$24,MATCH(D29,'Risk Taxonomy'!$A$5:$A$24,0))</f>
        <v>Sanctions</v>
      </c>
      <c r="F29" s="28" t="n">
        <f aca="false">IFERROR(SUMPRODUCT((Indicators!$B$5:$B$35=F$4)*Indicators!$N$5:$N$35*'Indicator Scores'!$G$5:$G$35)/SUMPRODUCT((Indicators!$B$5:$B$35=F$4)*Indicators!$N$5:$N$35*('Indicator Scores'!$G$5:$G$35&gt;0)),0)</f>
        <v>3.42857142857143</v>
      </c>
      <c r="G29" s="28" t="n">
        <f aca="false">IFERROR(SUMPRODUCT((Indicators!$B$5:$B$35=G$4)*Indicators!$N$5:$N$35*'Indicator Scores'!$G$5:$G$35)/SUMPRODUCT((Indicators!$B$5:$B$35=G$4)*Indicators!$N$5:$N$35*('Indicator Scores'!$G$5:$G$35&gt;0)),0)</f>
        <v>3.85714285714286</v>
      </c>
      <c r="H29" s="28" t="n">
        <f aca="false">IFERROR(SUMPRODUCT((Indicators!$B$5:$B$35=H$4)*Indicators!$N$5:$N$35*'Indicator Scores'!$G$5:$G$35)/SUMPRODUCT((Indicators!$B$5:$B$35=H$4)*Indicators!$N$5:$N$35*('Indicator Scores'!$G$5:$G$35&gt;0)),0)</f>
        <v>1.625</v>
      </c>
      <c r="I29" s="28" t="n">
        <f aca="false">IFERROR(SUMPRODUCT((Indicators!$B$5:$B$35=I$4)*Indicators!$N$5:$N$35*'Indicator Scores'!$G$5:$G$35)/SUMPRODUCT((Indicators!$B$5:$B$35=I$4)*Indicators!$N$5:$N$35*('Indicator Scores'!$G$5:$G$35&gt;0)),0)</f>
        <v>2.33333333333333</v>
      </c>
      <c r="J29" s="28" t="n">
        <f aca="false">IFERROR(SUMPRODUCT((Indicators!$B$5:$B$35=J$4)*Indicators!$N$5:$N$35*'Indicator Scores'!$G$5:$G$35)/SUMPRODUCT((Indicators!$B$5:$B$35=J$4)*Indicators!$N$5:$N$35*('Indicator Scores'!$G$5:$G$35&gt;0)),0)</f>
        <v>2.2</v>
      </c>
      <c r="K29" s="28" t="n">
        <f aca="false">IFERROR(SUMPRODUCT(F29:J29,INDEX('Factor Weights'!$C$5:$G$11,MATCH(D29,'Factor Weights'!$A$5:$A$11,0),0))/SUMPRODUCT((F29:J29&gt;0)*INDEX('Factor Weights'!$C$5:$G$11,MATCH(D29,'Factor Weights'!$A$5:$A$11,0),0)),0)</f>
        <v>2.93880952380952</v>
      </c>
      <c r="L29" s="29" t="n">
        <f aca="false">MAX(F29:J29)</f>
        <v>3.85714285714286</v>
      </c>
      <c r="M29" s="28" t="n">
        <f aca="false">IF(L29&gt;=Config!$C$13,MAX(K29,Config!$C$14),K29)</f>
        <v>2.93880952380952</v>
      </c>
      <c r="N29" s="30" t="n">
        <f aca="false">IF(Config!$C$12="Weighted average",K29,IF(Config!$C$12="Weighted with floor",M29,L29))</f>
        <v>2.93880952380952</v>
      </c>
      <c r="O29" s="31" t="n">
        <f aca="false">IF(N29&lt;Config!$D$5,"",MATCH(N29,Config!$D$5:$D$9,1))</f>
        <v>3</v>
      </c>
      <c r="P29" s="7" t="str">
        <f aca="false">IF(O29="","No data",INDEX(Config!$B$5:$B$9,O29))</f>
        <v>Medium</v>
      </c>
      <c r="Q29" s="32" t="n">
        <v>0</v>
      </c>
      <c r="R29" s="8"/>
      <c r="S29" s="33"/>
      <c r="T29" s="34" t="n">
        <f aca="false">IF(O29="","",IF(AND(S29="Y",Q29&lt;&gt;0),MAX(1,MIN(5,O29+MAX(-Config!$C$27,MIN(Config!$C$27,Q29)))),O29))</f>
        <v>3</v>
      </c>
      <c r="U29" s="35" t="str">
        <f aca="false">IF(T29="","No data",INDEX(Config!$B$5:$B$9,T29))</f>
        <v>Medium</v>
      </c>
      <c r="V29" s="7" t="str">
        <f aca="false">IF(Q29=0,"None",IF(S29="Y","Applied","Pending HO approval"))</f>
        <v>None</v>
      </c>
      <c r="W29" s="36" t="n">
        <f aca="false">SUMPRODUCT((Indicators!$N$5:$N$35&gt;0)*('Indicator Data'!$G$5:$G$35&lt;&gt;""))/SUMPRODUCT(--(Indicators!$N$5:$N$35&gt;0))</f>
        <v>1</v>
      </c>
    </row>
    <row r="30" customFormat="false" ht="15" hidden="false" customHeight="false" outlineLevel="0" collapsed="false">
      <c r="A30" s="26" t="str">
        <f aca="false">Entities!$A$8</f>
        <v>JO-INS</v>
      </c>
      <c r="B30" s="12" t="str">
        <f aca="false">INDEX(Entities!$B$5:$B$34,MATCH(A30,Entities!$A$5:$A$34,0))</f>
        <v>Insurance subsidiary – Jordan</v>
      </c>
      <c r="C30" s="12" t="str">
        <f aca="false">INDEX(Entities!$D$5:$D$34,MATCH(A30,Entities!$A$5:$A$34,0))</f>
        <v>Jordan (home)</v>
      </c>
      <c r="D30" s="12" t="s">
        <v>248</v>
      </c>
      <c r="E30" s="12" t="str">
        <f aca="false">INDEX('Risk Taxonomy'!$B$5:$B$24,MATCH(D30,'Risk Taxonomy'!$A$5:$A$24,0))</f>
        <v>Bribery and corruption</v>
      </c>
      <c r="F30" s="28" t="n">
        <f aca="false">IFERROR(SUMPRODUCT((Indicators!$B$5:$B$35=F$4)*Indicators!$O$5:$O$35*'Indicator Scores'!$G$5:$G$35)/SUMPRODUCT((Indicators!$B$5:$B$35=F$4)*Indicators!$O$5:$O$35*('Indicator Scores'!$G$5:$G$35&gt;0)),0)</f>
        <v>3</v>
      </c>
      <c r="G30" s="28" t="n">
        <f aca="false">IFERROR(SUMPRODUCT((Indicators!$B$5:$B$35=G$4)*Indicators!$O$5:$O$35*'Indicator Scores'!$G$5:$G$35)/SUMPRODUCT((Indicators!$B$5:$B$35=G$4)*Indicators!$O$5:$O$35*('Indicator Scores'!$G$5:$G$35&gt;0)),0)</f>
        <v>3</v>
      </c>
      <c r="H30" s="28" t="n">
        <f aca="false">IFERROR(SUMPRODUCT((Indicators!$B$5:$B$35=H$4)*Indicators!$O$5:$O$35*'Indicator Scores'!$G$5:$G$35)/SUMPRODUCT((Indicators!$B$5:$B$35=H$4)*Indicators!$O$5:$O$35*('Indicator Scores'!$G$5:$G$35&gt;0)),0)</f>
        <v>2.5</v>
      </c>
      <c r="I30" s="28" t="n">
        <f aca="false">IFERROR(SUMPRODUCT((Indicators!$B$5:$B$35=I$4)*Indicators!$O$5:$O$35*'Indicator Scores'!$G$5:$G$35)/SUMPRODUCT((Indicators!$B$5:$B$35=I$4)*Indicators!$O$5:$O$35*('Indicator Scores'!$G$5:$G$35&gt;0)),0)</f>
        <v>3</v>
      </c>
      <c r="J30" s="28" t="n">
        <f aca="false">IFERROR(SUMPRODUCT((Indicators!$B$5:$B$35=J$4)*Indicators!$O$5:$O$35*'Indicator Scores'!$G$5:$G$35)/SUMPRODUCT((Indicators!$B$5:$B$35=J$4)*Indicators!$O$5:$O$35*('Indicator Scores'!$G$5:$G$35&gt;0)),0)</f>
        <v>4</v>
      </c>
      <c r="K30" s="28" t="n">
        <f aca="false">IFERROR(SUMPRODUCT(F30:J30,INDEX('Factor Weights'!$C$5:$G$11,MATCH(D30,'Factor Weights'!$A$5:$A$11,0),0))/SUMPRODUCT((F30:J30&gt;0)*INDEX('Factor Weights'!$C$5:$G$11,MATCH(D30,'Factor Weights'!$A$5:$A$11,0),0)),0)</f>
        <v>3.025</v>
      </c>
      <c r="L30" s="29" t="n">
        <f aca="false">MAX(F30:J30)</f>
        <v>4</v>
      </c>
      <c r="M30" s="28" t="n">
        <f aca="false">IF(L30&gt;=Config!$C$13,MAX(K30,Config!$C$14),K30)</f>
        <v>3.025</v>
      </c>
      <c r="N30" s="30" t="n">
        <f aca="false">IF(Config!$C$12="Weighted average",K30,IF(Config!$C$12="Weighted with floor",M30,L30))</f>
        <v>3.025</v>
      </c>
      <c r="O30" s="31" t="n">
        <f aca="false">IF(N30&lt;Config!$D$5,"",MATCH(N30,Config!$D$5:$D$9,1))</f>
        <v>3</v>
      </c>
      <c r="P30" s="7" t="str">
        <f aca="false">IF(O30="","No data",INDEX(Config!$B$5:$B$9,O30))</f>
        <v>Medium</v>
      </c>
      <c r="Q30" s="32" t="n">
        <v>0</v>
      </c>
      <c r="R30" s="8"/>
      <c r="S30" s="33"/>
      <c r="T30" s="34" t="n">
        <f aca="false">IF(O30="","",IF(AND(S30="Y",Q30&lt;&gt;0),MAX(1,MIN(5,O30+MAX(-Config!$C$27,MIN(Config!$C$27,Q30)))),O30))</f>
        <v>3</v>
      </c>
      <c r="U30" s="35" t="str">
        <f aca="false">IF(T30="","No data",INDEX(Config!$B$5:$B$9,T30))</f>
        <v>Medium</v>
      </c>
      <c r="V30" s="7" t="str">
        <f aca="false">IF(Q30=0,"None",IF(S30="Y","Applied","Pending HO approval"))</f>
        <v>None</v>
      </c>
      <c r="W30" s="36" t="n">
        <f aca="false">SUMPRODUCT((Indicators!$O$5:$O$35&gt;0)*('Indicator Data'!$G$5:$G$35&lt;&gt;""))/SUMPRODUCT(--(Indicators!$O$5:$O$35&gt;0))</f>
        <v>1</v>
      </c>
    </row>
    <row r="31" customFormat="false" ht="15" hidden="false" customHeight="false" outlineLevel="0" collapsed="false">
      <c r="A31" s="26" t="str">
        <f aca="false">Entities!$A$8</f>
        <v>JO-INS</v>
      </c>
      <c r="B31" s="12" t="str">
        <f aca="false">INDEX(Entities!$B$5:$B$34,MATCH(A31,Entities!$A$5:$A$34,0))</f>
        <v>Insurance subsidiary – Jordan</v>
      </c>
      <c r="C31" s="12" t="str">
        <f aca="false">INDEX(Entities!$D$5:$D$34,MATCH(A31,Entities!$A$5:$A$34,0))</f>
        <v>Jordan (home)</v>
      </c>
      <c r="D31" s="12" t="s">
        <v>251</v>
      </c>
      <c r="E31" s="12" t="str">
        <f aca="false">INDEX('Risk Taxonomy'!$B$5:$B$24,MATCH(D31,'Risk Taxonomy'!$A$5:$A$24,0))</f>
        <v>Fraud</v>
      </c>
      <c r="F31" s="28" t="n">
        <f aca="false">IFERROR(SUMPRODUCT((Indicators!$B$5:$B$35=F$4)*Indicators!$P$5:$P$35*'Indicator Scores'!$G$5:$G$35)/SUMPRODUCT((Indicators!$B$5:$B$35=F$4)*Indicators!$P$5:$P$35*('Indicator Scores'!$G$5:$G$35&gt;0)),0)</f>
        <v>3</v>
      </c>
      <c r="G31" s="28" t="n">
        <f aca="false">IFERROR(SUMPRODUCT((Indicators!$B$5:$B$35=G$4)*Indicators!$P$5:$P$35*'Indicator Scores'!$G$5:$G$35)/SUMPRODUCT((Indicators!$B$5:$B$35=G$4)*Indicators!$P$5:$P$35*('Indicator Scores'!$G$5:$G$35&gt;0)),0)</f>
        <v>3</v>
      </c>
      <c r="H31" s="28" t="n">
        <f aca="false">IFERROR(SUMPRODUCT((Indicators!$B$5:$B$35=H$4)*Indicators!$P$5:$P$35*'Indicator Scores'!$G$5:$G$35)/SUMPRODUCT((Indicators!$B$5:$B$35=H$4)*Indicators!$P$5:$P$35*('Indicator Scores'!$G$5:$G$35&gt;0)),0)</f>
        <v>1.8</v>
      </c>
      <c r="I31" s="28" t="n">
        <f aca="false">IFERROR(SUMPRODUCT((Indicators!$B$5:$B$35=I$4)*Indicators!$P$5:$P$35*'Indicator Scores'!$G$5:$G$35)/SUMPRODUCT((Indicators!$B$5:$B$35=I$4)*Indicators!$P$5:$P$35*('Indicator Scores'!$G$5:$G$35&gt;0)),0)</f>
        <v>1.55555555555556</v>
      </c>
      <c r="J31" s="28" t="n">
        <f aca="false">IFERROR(SUMPRODUCT((Indicators!$B$5:$B$35=J$4)*Indicators!$P$5:$P$35*'Indicator Scores'!$G$5:$G$35)/SUMPRODUCT((Indicators!$B$5:$B$35=J$4)*Indicators!$P$5:$P$35*('Indicator Scores'!$G$5:$G$35&gt;0)),0)</f>
        <v>2</v>
      </c>
      <c r="K31" s="28" t="n">
        <f aca="false">IFERROR(SUMPRODUCT(F31:J31,INDEX('Factor Weights'!$C$5:$G$11,MATCH(D31,'Factor Weights'!$A$5:$A$11,0),0))/SUMPRODUCT((F31:J31&gt;0)*INDEX('Factor Weights'!$C$5:$G$11,MATCH(D31,'Factor Weights'!$A$5:$A$11,0),0)),0)</f>
        <v>2.12666666666667</v>
      </c>
      <c r="L31" s="29" t="n">
        <f aca="false">MAX(F31:J31)</f>
        <v>3</v>
      </c>
      <c r="M31" s="28" t="n">
        <f aca="false">IF(L31&gt;=Config!$C$13,MAX(K31,Config!$C$14),K31)</f>
        <v>2.12666666666667</v>
      </c>
      <c r="N31" s="30" t="n">
        <f aca="false">IF(Config!$C$12="Weighted average",K31,IF(Config!$C$12="Weighted with floor",M31,L31))</f>
        <v>2.12666666666667</v>
      </c>
      <c r="O31" s="31" t="n">
        <f aca="false">IF(N31&lt;Config!$D$5,"",MATCH(N31,Config!$D$5:$D$9,1))</f>
        <v>2</v>
      </c>
      <c r="P31" s="7" t="str">
        <f aca="false">IF(O31="","No data",INDEX(Config!$B$5:$B$9,O31))</f>
        <v>Medium-Low</v>
      </c>
      <c r="Q31" s="32" t="n">
        <v>0</v>
      </c>
      <c r="R31" s="8"/>
      <c r="S31" s="33"/>
      <c r="T31" s="34" t="n">
        <f aca="false">IF(O31="","",IF(AND(S31="Y",Q31&lt;&gt;0),MAX(1,MIN(5,O31+MAX(-Config!$C$27,MIN(Config!$C$27,Q31)))),O31))</f>
        <v>2</v>
      </c>
      <c r="U31" s="35" t="str">
        <f aca="false">IF(T31="","No data",INDEX(Config!$B$5:$B$9,T31))</f>
        <v>Medium-Low</v>
      </c>
      <c r="V31" s="7" t="str">
        <f aca="false">IF(Q31=0,"None",IF(S31="Y","Applied","Pending HO approval"))</f>
        <v>None</v>
      </c>
      <c r="W31" s="36" t="n">
        <f aca="false">SUMPRODUCT((Indicators!$P$5:$P$35&gt;0)*('Indicator Data'!$G$5:$G$35&lt;&gt;""))/SUMPRODUCT(--(Indicators!$P$5:$P$35&gt;0))</f>
        <v>1</v>
      </c>
    </row>
    <row r="32" customFormat="false" ht="15" hidden="false" customHeight="false" outlineLevel="0" collapsed="false">
      <c r="A32" s="26" t="str">
        <f aca="false">Entities!$A$8</f>
        <v>JO-INS</v>
      </c>
      <c r="B32" s="12" t="str">
        <f aca="false">INDEX(Entities!$B$5:$B$34,MATCH(A32,Entities!$A$5:$A$34,0))</f>
        <v>Insurance subsidiary – Jordan</v>
      </c>
      <c r="C32" s="12" t="str">
        <f aca="false">INDEX(Entities!$D$5:$D$34,MATCH(A32,Entities!$A$5:$A$34,0))</f>
        <v>Jordan (home)</v>
      </c>
      <c r="D32" s="12" t="s">
        <v>254</v>
      </c>
      <c r="E32" s="12" t="str">
        <f aca="false">INDEX('Risk Taxonomy'!$B$5:$B$24,MATCH(D32,'Risk Taxonomy'!$A$5:$A$24,0))</f>
        <v>Tax evasion and tax transparency</v>
      </c>
      <c r="F32" s="28" t="n">
        <f aca="false">IFERROR(SUMPRODUCT((Indicators!$B$5:$B$35=F$4)*Indicators!$Q$5:$Q$35*'Indicator Scores'!$G$5:$G$35)/SUMPRODUCT((Indicators!$B$5:$B$35=F$4)*Indicators!$Q$5:$Q$35*('Indicator Scores'!$G$5:$G$35&gt;0)),0)</f>
        <v>3.44444444444444</v>
      </c>
      <c r="G32" s="28" t="n">
        <f aca="false">IFERROR(SUMPRODUCT((Indicators!$B$5:$B$35=G$4)*Indicators!$Q$5:$Q$35*'Indicator Scores'!$G$5:$G$35)/SUMPRODUCT((Indicators!$B$5:$B$35=G$4)*Indicators!$Q$5:$Q$35*('Indicator Scores'!$G$5:$G$35&gt;0)),0)</f>
        <v>2.5</v>
      </c>
      <c r="H32" s="28" t="n">
        <f aca="false">IFERROR(SUMPRODUCT((Indicators!$B$5:$B$35=H$4)*Indicators!$Q$5:$Q$35*'Indicator Scores'!$G$5:$G$35)/SUMPRODUCT((Indicators!$B$5:$B$35=H$4)*Indicators!$Q$5:$Q$35*('Indicator Scores'!$G$5:$G$35&gt;0)),0)</f>
        <v>3.16666666666667</v>
      </c>
      <c r="I32" s="28" t="n">
        <f aca="false">IFERROR(SUMPRODUCT((Indicators!$B$5:$B$35=I$4)*Indicators!$Q$5:$Q$35*'Indicator Scores'!$G$5:$G$35)/SUMPRODUCT((Indicators!$B$5:$B$35=I$4)*Indicators!$Q$5:$Q$35*('Indicator Scores'!$G$5:$G$35&gt;0)),0)</f>
        <v>2</v>
      </c>
      <c r="J32" s="28" t="n">
        <f aca="false">IFERROR(SUMPRODUCT((Indicators!$B$5:$B$35=J$4)*Indicators!$Q$5:$Q$35*'Indicator Scores'!$G$5:$G$35)/SUMPRODUCT((Indicators!$B$5:$B$35=J$4)*Indicators!$Q$5:$Q$35*('Indicator Scores'!$G$5:$G$35&gt;0)),0)</f>
        <v>2.6</v>
      </c>
      <c r="K32" s="28" t="n">
        <f aca="false">IFERROR(SUMPRODUCT(F32:J32,INDEX('Factor Weights'!$C$5:$G$11,MATCH(D32,'Factor Weights'!$A$5:$A$11,0),0))/SUMPRODUCT((F32:J32&gt;0)*INDEX('Factor Weights'!$C$5:$G$11,MATCH(D32,'Factor Weights'!$A$5:$A$11,0),0)),0)</f>
        <v>2.92388888888889</v>
      </c>
      <c r="L32" s="29" t="n">
        <f aca="false">MAX(F32:J32)</f>
        <v>3.44444444444444</v>
      </c>
      <c r="M32" s="28" t="n">
        <f aca="false">IF(L32&gt;=Config!$C$13,MAX(K32,Config!$C$14),K32)</f>
        <v>2.92388888888889</v>
      </c>
      <c r="N32" s="30" t="n">
        <f aca="false">IF(Config!$C$12="Weighted average",K32,IF(Config!$C$12="Weighted with floor",M32,L32))</f>
        <v>2.92388888888889</v>
      </c>
      <c r="O32" s="31" t="n">
        <f aca="false">IF(N32&lt;Config!$D$5,"",MATCH(N32,Config!$D$5:$D$9,1))</f>
        <v>3</v>
      </c>
      <c r="P32" s="7" t="str">
        <f aca="false">IF(O32="","No data",INDEX(Config!$B$5:$B$9,O32))</f>
        <v>Medium</v>
      </c>
      <c r="Q32" s="32" t="n">
        <v>0</v>
      </c>
      <c r="R32" s="8"/>
      <c r="S32" s="33"/>
      <c r="T32" s="34" t="n">
        <f aca="false">IF(O32="","",IF(AND(S32="Y",Q32&lt;&gt;0),MAX(1,MIN(5,O32+MAX(-Config!$C$27,MIN(Config!$C$27,Q32)))),O32))</f>
        <v>3</v>
      </c>
      <c r="U32" s="35" t="str">
        <f aca="false">IF(T32="","No data",INDEX(Config!$B$5:$B$9,T32))</f>
        <v>Medium</v>
      </c>
      <c r="V32" s="7" t="str">
        <f aca="false">IF(Q32=0,"None",IF(S32="Y","Applied","Pending HO approval"))</f>
        <v>None</v>
      </c>
      <c r="W32" s="36" t="n">
        <f aca="false">SUMPRODUCT((Indicators!$Q$5:$Q$35&gt;0)*('Indicator Data'!$G$5:$G$35&lt;&gt;""))/SUMPRODUCT(--(Indicators!$Q$5:$Q$35&gt;0))</f>
        <v>1</v>
      </c>
    </row>
    <row r="33" customFormat="false" ht="15" hidden="false" customHeight="false" outlineLevel="0" collapsed="false">
      <c r="A33" s="26" t="str">
        <f aca="false">Entities!$A$9</f>
        <v>JO-LSG</v>
      </c>
      <c r="B33" s="12" t="str">
        <f aca="false">INDEX(Entities!$B$5:$B$34,MATCH(A33,Entities!$A$5:$A$34,0))</f>
        <v>Leasing subsidiary – Jordan</v>
      </c>
      <c r="C33" s="12" t="str">
        <f aca="false">INDEX(Entities!$D$5:$D$34,MATCH(A33,Entities!$A$5:$A$34,0))</f>
        <v>Jordan (home)</v>
      </c>
      <c r="D33" s="12" t="s">
        <v>233</v>
      </c>
      <c r="E33" s="12" t="str">
        <f aca="false">INDEX('Risk Taxonomy'!$B$5:$B$24,MATCH(D33,'Risk Taxonomy'!$A$5:$A$24,0))</f>
        <v>Money laundering</v>
      </c>
      <c r="F33" s="28" t="n">
        <f aca="false">IFERROR(SUMPRODUCT((Indicators!$B$5:$B$35=F$4)*Indicators!$K$5:$K$35*'Indicator Scores'!$H$5:$H$35)/SUMPRODUCT((Indicators!$B$5:$B$35=F$4)*Indicators!$K$5:$K$35*('Indicator Scores'!$H$5:$H$35&gt;0)),0)</f>
        <v>2.91666666666667</v>
      </c>
      <c r="G33" s="28" t="n">
        <f aca="false">IFERROR(SUMPRODUCT((Indicators!$B$5:$B$35=G$4)*Indicators!$K$5:$K$35*'Indicator Scores'!$H$5:$H$35)/SUMPRODUCT((Indicators!$B$5:$B$35=G$4)*Indicators!$K$5:$K$35*('Indicator Scores'!$H$5:$H$35&gt;0)),0)</f>
        <v>3.22222222222222</v>
      </c>
      <c r="H33" s="28" t="n">
        <f aca="false">IFERROR(SUMPRODUCT((Indicators!$B$5:$B$35=H$4)*Indicators!$K$5:$K$35*'Indicator Scores'!$H$5:$H$35)/SUMPRODUCT((Indicators!$B$5:$B$35=H$4)*Indicators!$K$5:$K$35*('Indicator Scores'!$H$5:$H$35&gt;0)),0)</f>
        <v>2</v>
      </c>
      <c r="I33" s="28" t="n">
        <f aca="false">IFERROR(SUMPRODUCT((Indicators!$B$5:$B$35=I$4)*Indicators!$K$5:$K$35*'Indicator Scores'!$H$5:$H$35)/SUMPRODUCT((Indicators!$B$5:$B$35=I$4)*Indicators!$K$5:$K$35*('Indicator Scores'!$H$5:$H$35&gt;0)),0)</f>
        <v>3.28571428571429</v>
      </c>
      <c r="J33" s="28" t="n">
        <f aca="false">IFERROR(SUMPRODUCT((Indicators!$B$5:$B$35=J$4)*Indicators!$K$5:$K$35*'Indicator Scores'!$H$5:$H$35)/SUMPRODUCT((Indicators!$B$5:$B$35=J$4)*Indicators!$K$5:$K$35*('Indicator Scores'!$H$5:$H$35&gt;0)),0)</f>
        <v>2.3</v>
      </c>
      <c r="K33" s="28" t="n">
        <f aca="false">IFERROR(SUMPRODUCT(F33:J33,INDEX('Factor Weights'!$C$5:$G$11,MATCH(D33,'Factor Weights'!$A$5:$A$11,0),0))/SUMPRODUCT((F33:J33&gt;0)*INDEX('Factor Weights'!$C$5:$G$11,MATCH(D33,'Factor Weights'!$A$5:$A$11,0),0)),0)</f>
        <v>2.8034126984127</v>
      </c>
      <c r="L33" s="29" t="n">
        <f aca="false">MAX(F33:J33)</f>
        <v>3.28571428571429</v>
      </c>
      <c r="M33" s="28" t="n">
        <f aca="false">IF(L33&gt;=Config!$C$13,MAX(K33,Config!$C$14),K33)</f>
        <v>2.8034126984127</v>
      </c>
      <c r="N33" s="30" t="n">
        <f aca="false">IF(Config!$C$12="Weighted average",K33,IF(Config!$C$12="Weighted with floor",M33,L33))</f>
        <v>2.8034126984127</v>
      </c>
      <c r="O33" s="31" t="n">
        <f aca="false">IF(N33&lt;Config!$D$5,"",MATCH(N33,Config!$D$5:$D$9,1))</f>
        <v>3</v>
      </c>
      <c r="P33" s="7" t="str">
        <f aca="false">IF(O33="","No data",INDEX(Config!$B$5:$B$9,O33))</f>
        <v>Medium</v>
      </c>
      <c r="Q33" s="32" t="n">
        <v>0</v>
      </c>
      <c r="R33" s="8"/>
      <c r="S33" s="33"/>
      <c r="T33" s="34" t="n">
        <f aca="false">IF(O33="","",IF(AND(S33="Y",Q33&lt;&gt;0),MAX(1,MIN(5,O33+MAX(-Config!$C$27,MIN(Config!$C$27,Q33)))),O33))</f>
        <v>3</v>
      </c>
      <c r="U33" s="35" t="str">
        <f aca="false">IF(T33="","No data",INDEX(Config!$B$5:$B$9,T33))</f>
        <v>Medium</v>
      </c>
      <c r="V33" s="7" t="str">
        <f aca="false">IF(Q33=0,"None",IF(S33="Y","Applied","Pending HO approval"))</f>
        <v>None</v>
      </c>
      <c r="W33" s="36" t="n">
        <f aca="false">SUMPRODUCT((Indicators!$K$5:$K$35&gt;0)*('Indicator Data'!$H$5:$H$35&lt;&gt;""))/SUMPRODUCT(--(Indicators!$K$5:$K$35&gt;0))</f>
        <v>1</v>
      </c>
    </row>
    <row r="34" customFormat="false" ht="15" hidden="false" customHeight="false" outlineLevel="0" collapsed="false">
      <c r="A34" s="26" t="str">
        <f aca="false">Entities!$A$9</f>
        <v>JO-LSG</v>
      </c>
      <c r="B34" s="12" t="str">
        <f aca="false">INDEX(Entities!$B$5:$B$34,MATCH(A34,Entities!$A$5:$A$34,0))</f>
        <v>Leasing subsidiary – Jordan</v>
      </c>
      <c r="C34" s="12" t="str">
        <f aca="false">INDEX(Entities!$D$5:$D$34,MATCH(A34,Entities!$A$5:$A$34,0))</f>
        <v>Jordan (home)</v>
      </c>
      <c r="D34" s="12" t="s">
        <v>240</v>
      </c>
      <c r="E34" s="12" t="str">
        <f aca="false">INDEX('Risk Taxonomy'!$B$5:$B$24,MATCH(D34,'Risk Taxonomy'!$A$5:$A$24,0))</f>
        <v>Terrorist financing</v>
      </c>
      <c r="F34" s="28" t="n">
        <f aca="false">IFERROR(SUMPRODUCT((Indicators!$B$5:$B$35=F$4)*Indicators!$L$5:$L$35*'Indicator Scores'!$H$5:$H$35)/SUMPRODUCT((Indicators!$B$5:$B$35=F$4)*Indicators!$L$5:$L$35*('Indicator Scores'!$H$5:$H$35&gt;0)),0)</f>
        <v>2.6</v>
      </c>
      <c r="G34" s="28" t="n">
        <f aca="false">IFERROR(SUMPRODUCT((Indicators!$B$5:$B$35=G$4)*Indicators!$L$5:$L$35*'Indicator Scores'!$H$5:$H$35)/SUMPRODUCT((Indicators!$B$5:$B$35=G$4)*Indicators!$L$5:$L$35*('Indicator Scores'!$H$5:$H$35&gt;0)),0)</f>
        <v>3</v>
      </c>
      <c r="H34" s="28" t="n">
        <f aca="false">IFERROR(SUMPRODUCT((Indicators!$B$5:$B$35=H$4)*Indicators!$L$5:$L$35*'Indicator Scores'!$H$5:$H$35)/SUMPRODUCT((Indicators!$B$5:$B$35=H$4)*Indicators!$L$5:$L$35*('Indicator Scores'!$H$5:$H$35&gt;0)),0)</f>
        <v>1.5</v>
      </c>
      <c r="I34" s="28" t="n">
        <f aca="false">IFERROR(SUMPRODUCT((Indicators!$B$5:$B$35=I$4)*Indicators!$L$5:$L$35*'Indicator Scores'!$H$5:$H$35)/SUMPRODUCT((Indicators!$B$5:$B$35=I$4)*Indicators!$L$5:$L$35*('Indicator Scores'!$H$5:$H$35&gt;0)),0)</f>
        <v>3.33333333333333</v>
      </c>
      <c r="J34" s="28" t="n">
        <f aca="false">IFERROR(SUMPRODUCT((Indicators!$B$5:$B$35=J$4)*Indicators!$L$5:$L$35*'Indicator Scores'!$H$5:$H$35)/SUMPRODUCT((Indicators!$B$5:$B$35=J$4)*Indicators!$L$5:$L$35*('Indicator Scores'!$H$5:$H$35&gt;0)),0)</f>
        <v>2.14285714285714</v>
      </c>
      <c r="K34" s="28" t="n">
        <f aca="false">IFERROR(SUMPRODUCT(F34:J34,INDEX('Factor Weights'!$C$5:$G$11,MATCH(D34,'Factor Weights'!$A$5:$A$11,0),0))/SUMPRODUCT((F34:J34&gt;0)*INDEX('Factor Weights'!$C$5:$G$11,MATCH(D34,'Factor Weights'!$A$5:$A$11,0),0)),0)</f>
        <v>2.53690476190476</v>
      </c>
      <c r="L34" s="29" t="n">
        <f aca="false">MAX(F34:J34)</f>
        <v>3.33333333333333</v>
      </c>
      <c r="M34" s="28" t="n">
        <f aca="false">IF(L34&gt;=Config!$C$13,MAX(K34,Config!$C$14),K34)</f>
        <v>2.53690476190476</v>
      </c>
      <c r="N34" s="30" t="n">
        <f aca="false">IF(Config!$C$12="Weighted average",K34,IF(Config!$C$12="Weighted with floor",M34,L34))</f>
        <v>2.53690476190476</v>
      </c>
      <c r="O34" s="31" t="n">
        <f aca="false">IF(N34&lt;Config!$D$5,"",MATCH(N34,Config!$D$5:$D$9,1))</f>
        <v>2</v>
      </c>
      <c r="P34" s="7" t="str">
        <f aca="false">IF(O34="","No data",INDEX(Config!$B$5:$B$9,O34))</f>
        <v>Medium-Low</v>
      </c>
      <c r="Q34" s="32" t="n">
        <v>0</v>
      </c>
      <c r="R34" s="8"/>
      <c r="S34" s="33"/>
      <c r="T34" s="34" t="n">
        <f aca="false">IF(O34="","",IF(AND(S34="Y",Q34&lt;&gt;0),MAX(1,MIN(5,O34+MAX(-Config!$C$27,MIN(Config!$C$27,Q34)))),O34))</f>
        <v>2</v>
      </c>
      <c r="U34" s="35" t="str">
        <f aca="false">IF(T34="","No data",INDEX(Config!$B$5:$B$9,T34))</f>
        <v>Medium-Low</v>
      </c>
      <c r="V34" s="7" t="str">
        <f aca="false">IF(Q34=0,"None",IF(S34="Y","Applied","Pending HO approval"))</f>
        <v>None</v>
      </c>
      <c r="W34" s="36" t="n">
        <f aca="false">SUMPRODUCT((Indicators!$L$5:$L$35&gt;0)*('Indicator Data'!$H$5:$H$35&lt;&gt;""))/SUMPRODUCT(--(Indicators!$L$5:$L$35&gt;0))</f>
        <v>1</v>
      </c>
    </row>
    <row r="35" customFormat="false" ht="15" hidden="false" customHeight="false" outlineLevel="0" collapsed="false">
      <c r="A35" s="26" t="str">
        <f aca="false">Entities!$A$9</f>
        <v>JO-LSG</v>
      </c>
      <c r="B35" s="12" t="str">
        <f aca="false">INDEX(Entities!$B$5:$B$34,MATCH(A35,Entities!$A$5:$A$34,0))</f>
        <v>Leasing subsidiary – Jordan</v>
      </c>
      <c r="C35" s="12" t="str">
        <f aca="false">INDEX(Entities!$D$5:$D$34,MATCH(A35,Entities!$A$5:$A$34,0))</f>
        <v>Jordan (home)</v>
      </c>
      <c r="D35" s="12" t="s">
        <v>243</v>
      </c>
      <c r="E35" s="12" t="str">
        <f aca="false">INDEX('Risk Taxonomy'!$B$5:$B$24,MATCH(D35,'Risk Taxonomy'!$A$5:$A$24,0))</f>
        <v>Proliferation financing</v>
      </c>
      <c r="F35" s="28" t="n">
        <f aca="false">IFERROR(SUMPRODUCT((Indicators!$B$5:$B$35=F$4)*Indicators!$M$5:$M$35*'Indicator Scores'!$H$5:$H$35)/SUMPRODUCT((Indicators!$B$5:$B$35=F$4)*Indicators!$M$5:$M$35*('Indicator Scores'!$H$5:$H$35&gt;0)),0)</f>
        <v>3</v>
      </c>
      <c r="G35" s="28" t="n">
        <f aca="false">IFERROR(SUMPRODUCT((Indicators!$B$5:$B$35=G$4)*Indicators!$M$5:$M$35*'Indicator Scores'!$H$5:$H$35)/SUMPRODUCT((Indicators!$B$5:$B$35=G$4)*Indicators!$M$5:$M$35*('Indicator Scores'!$H$5:$H$35&gt;0)),0)</f>
        <v>3.375</v>
      </c>
      <c r="H35" s="28" t="n">
        <f aca="false">IFERROR(SUMPRODUCT((Indicators!$B$5:$B$35=H$4)*Indicators!$M$5:$M$35*'Indicator Scores'!$H$5:$H$35)/SUMPRODUCT((Indicators!$B$5:$B$35=H$4)*Indicators!$M$5:$M$35*('Indicator Scores'!$H$5:$H$35&gt;0)),0)</f>
        <v>1.33333333333333</v>
      </c>
      <c r="I35" s="28" t="n">
        <f aca="false">IFERROR(SUMPRODUCT((Indicators!$B$5:$B$35=I$4)*Indicators!$M$5:$M$35*'Indicator Scores'!$H$5:$H$35)/SUMPRODUCT((Indicators!$B$5:$B$35=I$4)*Indicators!$M$5:$M$35*('Indicator Scores'!$H$5:$H$35&gt;0)),0)</f>
        <v>4.33333333333333</v>
      </c>
      <c r="J35" s="28" t="n">
        <f aca="false">IFERROR(SUMPRODUCT((Indicators!$B$5:$B$35=J$4)*Indicators!$M$5:$M$35*'Indicator Scores'!$H$5:$H$35)/SUMPRODUCT((Indicators!$B$5:$B$35=J$4)*Indicators!$M$5:$M$35*('Indicator Scores'!$H$5:$H$35&gt;0)),0)</f>
        <v>2</v>
      </c>
      <c r="K35" s="28" t="n">
        <f aca="false">IFERROR(SUMPRODUCT(F35:J35,INDEX('Factor Weights'!$C$5:$G$11,MATCH(D35,'Factor Weights'!$A$5:$A$11,0),0))/SUMPRODUCT((F35:J35&gt;0)*INDEX('Factor Weights'!$C$5:$G$11,MATCH(D35,'Factor Weights'!$A$5:$A$11,0),0)),0)</f>
        <v>2.47916666666667</v>
      </c>
      <c r="L35" s="29" t="n">
        <f aca="false">MAX(F35:J35)</f>
        <v>4.33333333333333</v>
      </c>
      <c r="M35" s="28" t="n">
        <f aca="false">IF(L35&gt;=Config!$C$13,MAX(K35,Config!$C$14),K35)</f>
        <v>2.47916666666667</v>
      </c>
      <c r="N35" s="30" t="n">
        <f aca="false">IF(Config!$C$12="Weighted average",K35,IF(Config!$C$12="Weighted with floor",M35,L35))</f>
        <v>2.47916666666667</v>
      </c>
      <c r="O35" s="31" t="n">
        <f aca="false">IF(N35&lt;Config!$D$5,"",MATCH(N35,Config!$D$5:$D$9,1))</f>
        <v>2</v>
      </c>
      <c r="P35" s="7" t="str">
        <f aca="false">IF(O35="","No data",INDEX(Config!$B$5:$B$9,O35))</f>
        <v>Medium-Low</v>
      </c>
      <c r="Q35" s="32" t="n">
        <v>0</v>
      </c>
      <c r="R35" s="8"/>
      <c r="S35" s="33"/>
      <c r="T35" s="34" t="n">
        <f aca="false">IF(O35="","",IF(AND(S35="Y",Q35&lt;&gt;0),MAX(1,MIN(5,O35+MAX(-Config!$C$27,MIN(Config!$C$27,Q35)))),O35))</f>
        <v>2</v>
      </c>
      <c r="U35" s="35" t="str">
        <f aca="false">IF(T35="","No data",INDEX(Config!$B$5:$B$9,T35))</f>
        <v>Medium-Low</v>
      </c>
      <c r="V35" s="7" t="str">
        <f aca="false">IF(Q35=0,"None",IF(S35="Y","Applied","Pending HO approval"))</f>
        <v>None</v>
      </c>
      <c r="W35" s="36" t="n">
        <f aca="false">SUMPRODUCT((Indicators!$M$5:$M$35&gt;0)*('Indicator Data'!$H$5:$H$35&lt;&gt;""))/SUMPRODUCT(--(Indicators!$M$5:$M$35&gt;0))</f>
        <v>1</v>
      </c>
    </row>
    <row r="36" customFormat="false" ht="15" hidden="false" customHeight="false" outlineLevel="0" collapsed="false">
      <c r="A36" s="26" t="str">
        <f aca="false">Entities!$A$9</f>
        <v>JO-LSG</v>
      </c>
      <c r="B36" s="12" t="str">
        <f aca="false">INDEX(Entities!$B$5:$B$34,MATCH(A36,Entities!$A$5:$A$34,0))</f>
        <v>Leasing subsidiary – Jordan</v>
      </c>
      <c r="C36" s="12" t="str">
        <f aca="false">INDEX(Entities!$D$5:$D$34,MATCH(A36,Entities!$A$5:$A$34,0))</f>
        <v>Jordan (home)</v>
      </c>
      <c r="D36" s="12" t="s">
        <v>245</v>
      </c>
      <c r="E36" s="12" t="str">
        <f aca="false">INDEX('Risk Taxonomy'!$B$5:$B$24,MATCH(D36,'Risk Taxonomy'!$A$5:$A$24,0))</f>
        <v>Sanctions</v>
      </c>
      <c r="F36" s="28" t="n">
        <f aca="false">IFERROR(SUMPRODUCT((Indicators!$B$5:$B$35=F$4)*Indicators!$N$5:$N$35*'Indicator Scores'!$H$5:$H$35)/SUMPRODUCT((Indicators!$B$5:$B$35=F$4)*Indicators!$N$5:$N$35*('Indicator Scores'!$H$5:$H$35&gt;0)),0)</f>
        <v>2.71428571428571</v>
      </c>
      <c r="G36" s="28" t="n">
        <f aca="false">IFERROR(SUMPRODUCT((Indicators!$B$5:$B$35=G$4)*Indicators!$N$5:$N$35*'Indicator Scores'!$H$5:$H$35)/SUMPRODUCT((Indicators!$B$5:$B$35=G$4)*Indicators!$N$5:$N$35*('Indicator Scores'!$H$5:$H$35&gt;0)),0)</f>
        <v>3.42857142857143</v>
      </c>
      <c r="H36" s="28" t="n">
        <f aca="false">IFERROR(SUMPRODUCT((Indicators!$B$5:$B$35=H$4)*Indicators!$N$5:$N$35*'Indicator Scores'!$H$5:$H$35)/SUMPRODUCT((Indicators!$B$5:$B$35=H$4)*Indicators!$N$5:$N$35*('Indicator Scores'!$H$5:$H$35&gt;0)),0)</f>
        <v>1.625</v>
      </c>
      <c r="I36" s="28" t="n">
        <f aca="false">IFERROR(SUMPRODUCT((Indicators!$B$5:$B$35=I$4)*Indicators!$N$5:$N$35*'Indicator Scores'!$H$5:$H$35)/SUMPRODUCT((Indicators!$B$5:$B$35=I$4)*Indicators!$N$5:$N$35*('Indicator Scores'!$H$5:$H$35&gt;0)),0)</f>
        <v>3.66666666666667</v>
      </c>
      <c r="J36" s="28" t="n">
        <f aca="false">IFERROR(SUMPRODUCT((Indicators!$B$5:$B$35=J$4)*Indicators!$N$5:$N$35*'Indicator Scores'!$H$5:$H$35)/SUMPRODUCT((Indicators!$B$5:$B$35=J$4)*Indicators!$N$5:$N$35*('Indicator Scores'!$H$5:$H$35&gt;0)),0)</f>
        <v>1.8</v>
      </c>
      <c r="K36" s="28" t="n">
        <f aca="false">IFERROR(SUMPRODUCT(F36:J36,INDEX('Factor Weights'!$C$5:$G$11,MATCH(D36,'Factor Weights'!$A$5:$A$11,0),0))/SUMPRODUCT((F36:J36&gt;0)*INDEX('Factor Weights'!$C$5:$G$11,MATCH(D36,'Factor Weights'!$A$5:$A$11,0),0)),0)</f>
        <v>2.64690476190476</v>
      </c>
      <c r="L36" s="29" t="n">
        <f aca="false">MAX(F36:J36)</f>
        <v>3.66666666666667</v>
      </c>
      <c r="M36" s="28" t="n">
        <f aca="false">IF(L36&gt;=Config!$C$13,MAX(K36,Config!$C$14),K36)</f>
        <v>2.64690476190476</v>
      </c>
      <c r="N36" s="30" t="n">
        <f aca="false">IF(Config!$C$12="Weighted average",K36,IF(Config!$C$12="Weighted with floor",M36,L36))</f>
        <v>2.64690476190476</v>
      </c>
      <c r="O36" s="31" t="n">
        <f aca="false">IF(N36&lt;Config!$D$5,"",MATCH(N36,Config!$D$5:$D$9,1))</f>
        <v>3</v>
      </c>
      <c r="P36" s="7" t="str">
        <f aca="false">IF(O36="","No data",INDEX(Config!$B$5:$B$9,O36))</f>
        <v>Medium</v>
      </c>
      <c r="Q36" s="32" t="n">
        <v>0</v>
      </c>
      <c r="R36" s="8"/>
      <c r="S36" s="33"/>
      <c r="T36" s="34" t="n">
        <f aca="false">IF(O36="","",IF(AND(S36="Y",Q36&lt;&gt;0),MAX(1,MIN(5,O36+MAX(-Config!$C$27,MIN(Config!$C$27,Q36)))),O36))</f>
        <v>3</v>
      </c>
      <c r="U36" s="35" t="str">
        <f aca="false">IF(T36="","No data",INDEX(Config!$B$5:$B$9,T36))</f>
        <v>Medium</v>
      </c>
      <c r="V36" s="7" t="str">
        <f aca="false">IF(Q36=0,"None",IF(S36="Y","Applied","Pending HO approval"))</f>
        <v>None</v>
      </c>
      <c r="W36" s="36" t="n">
        <f aca="false">SUMPRODUCT((Indicators!$N$5:$N$35&gt;0)*('Indicator Data'!$H$5:$H$35&lt;&gt;""))/SUMPRODUCT(--(Indicators!$N$5:$N$35&gt;0))</f>
        <v>1</v>
      </c>
    </row>
    <row r="37" customFormat="false" ht="15" hidden="false" customHeight="false" outlineLevel="0" collapsed="false">
      <c r="A37" s="26" t="str">
        <f aca="false">Entities!$A$9</f>
        <v>JO-LSG</v>
      </c>
      <c r="B37" s="12" t="str">
        <f aca="false">INDEX(Entities!$B$5:$B$34,MATCH(A37,Entities!$A$5:$A$34,0))</f>
        <v>Leasing subsidiary – Jordan</v>
      </c>
      <c r="C37" s="12" t="str">
        <f aca="false">INDEX(Entities!$D$5:$D$34,MATCH(A37,Entities!$A$5:$A$34,0))</f>
        <v>Jordan (home)</v>
      </c>
      <c r="D37" s="12" t="s">
        <v>248</v>
      </c>
      <c r="E37" s="12" t="str">
        <f aca="false">INDEX('Risk Taxonomy'!$B$5:$B$24,MATCH(D37,'Risk Taxonomy'!$A$5:$A$24,0))</f>
        <v>Bribery and corruption</v>
      </c>
      <c r="F37" s="28" t="n">
        <f aca="false">IFERROR(SUMPRODUCT((Indicators!$B$5:$B$35=F$4)*Indicators!$O$5:$O$35*'Indicator Scores'!$H$5:$H$35)/SUMPRODUCT((Indicators!$B$5:$B$35=F$4)*Indicators!$O$5:$O$35*('Indicator Scores'!$H$5:$H$35&gt;0)),0)</f>
        <v>1.77777777777778</v>
      </c>
      <c r="G37" s="28" t="n">
        <f aca="false">IFERROR(SUMPRODUCT((Indicators!$B$5:$B$35=G$4)*Indicators!$O$5:$O$35*'Indicator Scores'!$H$5:$H$35)/SUMPRODUCT((Indicators!$B$5:$B$35=G$4)*Indicators!$O$5:$O$35*('Indicator Scores'!$H$5:$H$35&gt;0)),0)</f>
        <v>3.8</v>
      </c>
      <c r="H37" s="28" t="n">
        <f aca="false">IFERROR(SUMPRODUCT((Indicators!$B$5:$B$35=H$4)*Indicators!$O$5:$O$35*'Indicator Scores'!$H$5:$H$35)/SUMPRODUCT((Indicators!$B$5:$B$35=H$4)*Indicators!$O$5:$O$35*('Indicator Scores'!$H$5:$H$35&gt;0)),0)</f>
        <v>2</v>
      </c>
      <c r="I37" s="28" t="n">
        <f aca="false">IFERROR(SUMPRODUCT((Indicators!$B$5:$B$35=I$4)*Indicators!$O$5:$O$35*'Indicator Scores'!$H$5:$H$35)/SUMPRODUCT((Indicators!$B$5:$B$35=I$4)*Indicators!$O$5:$O$35*('Indicator Scores'!$H$5:$H$35&gt;0)),0)</f>
        <v>2.6</v>
      </c>
      <c r="J37" s="28" t="n">
        <f aca="false">IFERROR(SUMPRODUCT((Indicators!$B$5:$B$35=J$4)*Indicators!$O$5:$O$35*'Indicator Scores'!$H$5:$H$35)/SUMPRODUCT((Indicators!$B$5:$B$35=J$4)*Indicators!$O$5:$O$35*('Indicator Scores'!$H$5:$H$35&gt;0)),0)</f>
        <v>3</v>
      </c>
      <c r="K37" s="28" t="n">
        <f aca="false">IFERROR(SUMPRODUCT(F37:J37,INDEX('Factor Weights'!$C$5:$G$11,MATCH(D37,'Factor Weights'!$A$5:$A$11,0),0))/SUMPRODUCT((F37:J37&gt;0)*INDEX('Factor Weights'!$C$5:$G$11,MATCH(D37,'Factor Weights'!$A$5:$A$11,0),0)),0)</f>
        <v>2.60333333333333</v>
      </c>
      <c r="L37" s="29" t="n">
        <f aca="false">MAX(F37:J37)</f>
        <v>3.8</v>
      </c>
      <c r="M37" s="28" t="n">
        <f aca="false">IF(L37&gt;=Config!$C$13,MAX(K37,Config!$C$14),K37)</f>
        <v>2.60333333333333</v>
      </c>
      <c r="N37" s="30" t="n">
        <f aca="false">IF(Config!$C$12="Weighted average",K37,IF(Config!$C$12="Weighted with floor",M37,L37))</f>
        <v>2.60333333333333</v>
      </c>
      <c r="O37" s="31" t="n">
        <f aca="false">IF(N37&lt;Config!$D$5,"",MATCH(N37,Config!$D$5:$D$9,1))</f>
        <v>2</v>
      </c>
      <c r="P37" s="7" t="str">
        <f aca="false">IF(O37="","No data",INDEX(Config!$B$5:$B$9,O37))</f>
        <v>Medium-Low</v>
      </c>
      <c r="Q37" s="32" t="n">
        <v>0</v>
      </c>
      <c r="R37" s="8"/>
      <c r="S37" s="33"/>
      <c r="T37" s="34" t="n">
        <f aca="false">IF(O37="","",IF(AND(S37="Y",Q37&lt;&gt;0),MAX(1,MIN(5,O37+MAX(-Config!$C$27,MIN(Config!$C$27,Q37)))),O37))</f>
        <v>2</v>
      </c>
      <c r="U37" s="35" t="str">
        <f aca="false">IF(T37="","No data",INDEX(Config!$B$5:$B$9,T37))</f>
        <v>Medium-Low</v>
      </c>
      <c r="V37" s="7" t="str">
        <f aca="false">IF(Q37=0,"None",IF(S37="Y","Applied","Pending HO approval"))</f>
        <v>None</v>
      </c>
      <c r="W37" s="36" t="n">
        <f aca="false">SUMPRODUCT((Indicators!$O$5:$O$35&gt;0)*('Indicator Data'!$H$5:$H$35&lt;&gt;""))/SUMPRODUCT(--(Indicators!$O$5:$O$35&gt;0))</f>
        <v>1</v>
      </c>
    </row>
    <row r="38" customFormat="false" ht="15" hidden="false" customHeight="false" outlineLevel="0" collapsed="false">
      <c r="A38" s="26" t="str">
        <f aca="false">Entities!$A$9</f>
        <v>JO-LSG</v>
      </c>
      <c r="B38" s="12" t="str">
        <f aca="false">INDEX(Entities!$B$5:$B$34,MATCH(A38,Entities!$A$5:$A$34,0))</f>
        <v>Leasing subsidiary – Jordan</v>
      </c>
      <c r="C38" s="12" t="str">
        <f aca="false">INDEX(Entities!$D$5:$D$34,MATCH(A38,Entities!$A$5:$A$34,0))</f>
        <v>Jordan (home)</v>
      </c>
      <c r="D38" s="12" t="s">
        <v>251</v>
      </c>
      <c r="E38" s="12" t="str">
        <f aca="false">INDEX('Risk Taxonomy'!$B$5:$B$24,MATCH(D38,'Risk Taxonomy'!$A$5:$A$24,0))</f>
        <v>Fraud</v>
      </c>
      <c r="F38" s="28" t="n">
        <f aca="false">IFERROR(SUMPRODUCT((Indicators!$B$5:$B$35=F$4)*Indicators!$P$5:$P$35*'Indicator Scores'!$H$5:$H$35)/SUMPRODUCT((Indicators!$B$5:$B$35=F$4)*Indicators!$P$5:$P$35*('Indicator Scores'!$H$5:$H$35&gt;0)),0)</f>
        <v>4</v>
      </c>
      <c r="G38" s="28" t="n">
        <f aca="false">IFERROR(SUMPRODUCT((Indicators!$B$5:$B$35=G$4)*Indicators!$P$5:$P$35*'Indicator Scores'!$H$5:$H$35)/SUMPRODUCT((Indicators!$B$5:$B$35=G$4)*Indicators!$P$5:$P$35*('Indicator Scores'!$H$5:$H$35&gt;0)),0)</f>
        <v>3.25</v>
      </c>
      <c r="H38" s="28" t="n">
        <f aca="false">IFERROR(SUMPRODUCT((Indicators!$B$5:$B$35=H$4)*Indicators!$P$5:$P$35*'Indicator Scores'!$H$5:$H$35)/SUMPRODUCT((Indicators!$B$5:$B$35=H$4)*Indicators!$P$5:$P$35*('Indicator Scores'!$H$5:$H$35&gt;0)),0)</f>
        <v>2.2</v>
      </c>
      <c r="I38" s="28" t="n">
        <f aca="false">IFERROR(SUMPRODUCT((Indicators!$B$5:$B$35=I$4)*Indicators!$P$5:$P$35*'Indicator Scores'!$H$5:$H$35)/SUMPRODUCT((Indicators!$B$5:$B$35=I$4)*Indicators!$P$5:$P$35*('Indicator Scores'!$H$5:$H$35&gt;0)),0)</f>
        <v>2.77777777777778</v>
      </c>
      <c r="J38" s="28" t="n">
        <f aca="false">IFERROR(SUMPRODUCT((Indicators!$B$5:$B$35=J$4)*Indicators!$P$5:$P$35*'Indicator Scores'!$H$5:$H$35)/SUMPRODUCT((Indicators!$B$5:$B$35=J$4)*Indicators!$P$5:$P$35*('Indicator Scores'!$H$5:$H$35&gt;0)),0)</f>
        <v>3</v>
      </c>
      <c r="K38" s="28" t="n">
        <f aca="false">IFERROR(SUMPRODUCT(F38:J38,INDEX('Factor Weights'!$C$5:$G$11,MATCH(D38,'Factor Weights'!$A$5:$A$11,0),0))/SUMPRODUCT((F38:J38&gt;0)*INDEX('Factor Weights'!$C$5:$G$11,MATCH(D38,'Factor Weights'!$A$5:$A$11,0),0)),0)</f>
        <v>2.99833333333333</v>
      </c>
      <c r="L38" s="29" t="n">
        <f aca="false">MAX(F38:J38)</f>
        <v>4</v>
      </c>
      <c r="M38" s="28" t="n">
        <f aca="false">IF(L38&gt;=Config!$C$13,MAX(K38,Config!$C$14),K38)</f>
        <v>2.99833333333333</v>
      </c>
      <c r="N38" s="30" t="n">
        <f aca="false">IF(Config!$C$12="Weighted average",K38,IF(Config!$C$12="Weighted with floor",M38,L38))</f>
        <v>2.99833333333333</v>
      </c>
      <c r="O38" s="31" t="n">
        <f aca="false">IF(N38&lt;Config!$D$5,"",MATCH(N38,Config!$D$5:$D$9,1))</f>
        <v>3</v>
      </c>
      <c r="P38" s="7" t="str">
        <f aca="false">IF(O38="","No data",INDEX(Config!$B$5:$B$9,O38))</f>
        <v>Medium</v>
      </c>
      <c r="Q38" s="32" t="n">
        <v>0</v>
      </c>
      <c r="R38" s="8"/>
      <c r="S38" s="33"/>
      <c r="T38" s="34" t="n">
        <f aca="false">IF(O38="","",IF(AND(S38="Y",Q38&lt;&gt;0),MAX(1,MIN(5,O38+MAX(-Config!$C$27,MIN(Config!$C$27,Q38)))),O38))</f>
        <v>3</v>
      </c>
      <c r="U38" s="35" t="str">
        <f aca="false">IF(T38="","No data",INDEX(Config!$B$5:$B$9,T38))</f>
        <v>Medium</v>
      </c>
      <c r="V38" s="7" t="str">
        <f aca="false">IF(Q38=0,"None",IF(S38="Y","Applied","Pending HO approval"))</f>
        <v>None</v>
      </c>
      <c r="W38" s="36" t="n">
        <f aca="false">SUMPRODUCT((Indicators!$P$5:$P$35&gt;0)*('Indicator Data'!$H$5:$H$35&lt;&gt;""))/SUMPRODUCT(--(Indicators!$P$5:$P$35&gt;0))</f>
        <v>1</v>
      </c>
    </row>
    <row r="39" customFormat="false" ht="15" hidden="false" customHeight="false" outlineLevel="0" collapsed="false">
      <c r="A39" s="26" t="str">
        <f aca="false">Entities!$A$9</f>
        <v>JO-LSG</v>
      </c>
      <c r="B39" s="12" t="str">
        <f aca="false">INDEX(Entities!$B$5:$B$34,MATCH(A39,Entities!$A$5:$A$34,0))</f>
        <v>Leasing subsidiary – Jordan</v>
      </c>
      <c r="C39" s="12" t="str">
        <f aca="false">INDEX(Entities!$D$5:$D$34,MATCH(A39,Entities!$A$5:$A$34,0))</f>
        <v>Jordan (home)</v>
      </c>
      <c r="D39" s="12" t="s">
        <v>254</v>
      </c>
      <c r="E39" s="12" t="str">
        <f aca="false">INDEX('Risk Taxonomy'!$B$5:$B$24,MATCH(D39,'Risk Taxonomy'!$A$5:$A$24,0))</f>
        <v>Tax evasion and tax transparency</v>
      </c>
      <c r="F39" s="28" t="n">
        <f aca="false">IFERROR(SUMPRODUCT((Indicators!$B$5:$B$35=F$4)*Indicators!$Q$5:$Q$35*'Indicator Scores'!$H$5:$H$35)/SUMPRODUCT((Indicators!$B$5:$B$35=F$4)*Indicators!$Q$5:$Q$35*('Indicator Scores'!$H$5:$H$35&gt;0)),0)</f>
        <v>3</v>
      </c>
      <c r="G39" s="28" t="n">
        <f aca="false">IFERROR(SUMPRODUCT((Indicators!$B$5:$B$35=G$4)*Indicators!$Q$5:$Q$35*'Indicator Scores'!$H$5:$H$35)/SUMPRODUCT((Indicators!$B$5:$B$35=G$4)*Indicators!$Q$5:$Q$35*('Indicator Scores'!$H$5:$H$35&gt;0)),0)</f>
        <v>2.83333333333333</v>
      </c>
      <c r="H39" s="28" t="n">
        <f aca="false">IFERROR(SUMPRODUCT((Indicators!$B$5:$B$35=H$4)*Indicators!$Q$5:$Q$35*'Indicator Scores'!$H$5:$H$35)/SUMPRODUCT((Indicators!$B$5:$B$35=H$4)*Indicators!$Q$5:$Q$35*('Indicator Scores'!$H$5:$H$35&gt;0)),0)</f>
        <v>3</v>
      </c>
      <c r="I39" s="28" t="n">
        <f aca="false">IFERROR(SUMPRODUCT((Indicators!$B$5:$B$35=I$4)*Indicators!$Q$5:$Q$35*'Indicator Scores'!$H$5:$H$35)/SUMPRODUCT((Indicators!$B$5:$B$35=I$4)*Indicators!$Q$5:$Q$35*('Indicator Scores'!$H$5:$H$35&gt;0)),0)</f>
        <v>4</v>
      </c>
      <c r="J39" s="28" t="n">
        <f aca="false">IFERROR(SUMPRODUCT((Indicators!$B$5:$B$35=J$4)*Indicators!$Q$5:$Q$35*'Indicator Scores'!$H$5:$H$35)/SUMPRODUCT((Indicators!$B$5:$B$35=J$4)*Indicators!$Q$5:$Q$35*('Indicator Scores'!$H$5:$H$35&gt;0)),0)</f>
        <v>1.8</v>
      </c>
      <c r="K39" s="28" t="n">
        <f aca="false">IFERROR(SUMPRODUCT(F39:J39,INDEX('Factor Weights'!$C$5:$G$11,MATCH(D39,'Factor Weights'!$A$5:$A$11,0),0))/SUMPRODUCT((F39:J39&gt;0)*INDEX('Factor Weights'!$C$5:$G$11,MATCH(D39,'Factor Weights'!$A$5:$A$11,0),0)),0)</f>
        <v>2.93833333333333</v>
      </c>
      <c r="L39" s="29" t="n">
        <f aca="false">MAX(F39:J39)</f>
        <v>4</v>
      </c>
      <c r="M39" s="28" t="n">
        <f aca="false">IF(L39&gt;=Config!$C$13,MAX(K39,Config!$C$14),K39)</f>
        <v>2.93833333333333</v>
      </c>
      <c r="N39" s="30" t="n">
        <f aca="false">IF(Config!$C$12="Weighted average",K39,IF(Config!$C$12="Weighted with floor",M39,L39))</f>
        <v>2.93833333333333</v>
      </c>
      <c r="O39" s="31" t="n">
        <f aca="false">IF(N39&lt;Config!$D$5,"",MATCH(N39,Config!$D$5:$D$9,1))</f>
        <v>3</v>
      </c>
      <c r="P39" s="7" t="str">
        <f aca="false">IF(O39="","No data",INDEX(Config!$B$5:$B$9,O39))</f>
        <v>Medium</v>
      </c>
      <c r="Q39" s="32" t="n">
        <v>0</v>
      </c>
      <c r="R39" s="8"/>
      <c r="S39" s="33"/>
      <c r="T39" s="34" t="n">
        <f aca="false">IF(O39="","",IF(AND(S39="Y",Q39&lt;&gt;0),MAX(1,MIN(5,O39+MAX(-Config!$C$27,MIN(Config!$C$27,Q39)))),O39))</f>
        <v>3</v>
      </c>
      <c r="U39" s="35" t="str">
        <f aca="false">IF(T39="","No data",INDEX(Config!$B$5:$B$9,T39))</f>
        <v>Medium</v>
      </c>
      <c r="V39" s="7" t="str">
        <f aca="false">IF(Q39=0,"None",IF(S39="Y","Applied","Pending HO approval"))</f>
        <v>None</v>
      </c>
      <c r="W39" s="36" t="n">
        <f aca="false">SUMPRODUCT((Indicators!$Q$5:$Q$35&gt;0)*('Indicator Data'!$H$5:$H$35&lt;&gt;""))/SUMPRODUCT(--(Indicators!$Q$5:$Q$35&gt;0))</f>
        <v>1</v>
      </c>
    </row>
    <row r="40" customFormat="false" ht="15" hidden="false" customHeight="false" outlineLevel="0" collapsed="false">
      <c r="A40" s="26" t="str">
        <f aca="false">Entities!$A$10</f>
        <v>PS</v>
      </c>
      <c r="B40" s="12" t="str">
        <f aca="false">INDEX(Entities!$B$5:$B$34,MATCH(A40,Entities!$A$5:$A$34,0))</f>
        <v>Arab Bank – Palestine</v>
      </c>
      <c r="C40" s="12" t="str">
        <f aca="false">INDEX(Entities!$D$5:$D$34,MATCH(A40,Entities!$A$5:$A$34,0))</f>
        <v>Levant</v>
      </c>
      <c r="D40" s="12" t="s">
        <v>233</v>
      </c>
      <c r="E40" s="12" t="str">
        <f aca="false">INDEX('Risk Taxonomy'!$B$5:$B$24,MATCH(D40,'Risk Taxonomy'!$A$5:$A$24,0))</f>
        <v>Money laundering</v>
      </c>
      <c r="F40" s="28" t="n">
        <f aca="false">IFERROR(SUMPRODUCT((Indicators!$B$5:$B$35=F$4)*Indicators!$K$5:$K$35*'Indicator Scores'!$I$5:$I$35)/SUMPRODUCT((Indicators!$B$5:$B$35=F$4)*Indicators!$K$5:$K$35*('Indicator Scores'!$I$5:$I$35&gt;0)),0)</f>
        <v>3.33333333333333</v>
      </c>
      <c r="G40" s="28" t="n">
        <f aca="false">IFERROR(SUMPRODUCT((Indicators!$B$5:$B$35=G$4)*Indicators!$K$5:$K$35*'Indicator Scores'!$I$5:$I$35)/SUMPRODUCT((Indicators!$B$5:$B$35=G$4)*Indicators!$K$5:$K$35*('Indicator Scores'!$I$5:$I$35&gt;0)),0)</f>
        <v>4.33333333333333</v>
      </c>
      <c r="H40" s="28" t="n">
        <f aca="false">IFERROR(SUMPRODUCT((Indicators!$B$5:$B$35=H$4)*Indicators!$K$5:$K$35*'Indicator Scores'!$I$5:$I$35)/SUMPRODUCT((Indicators!$B$5:$B$35=H$4)*Indicators!$K$5:$K$35*('Indicator Scores'!$I$5:$I$35&gt;0)),0)</f>
        <v>4.4</v>
      </c>
      <c r="I40" s="28" t="n">
        <f aca="false">IFERROR(SUMPRODUCT((Indicators!$B$5:$B$35=I$4)*Indicators!$K$5:$K$35*'Indicator Scores'!$I$5:$I$35)/SUMPRODUCT((Indicators!$B$5:$B$35=I$4)*Indicators!$K$5:$K$35*('Indicator Scores'!$I$5:$I$35&gt;0)),0)</f>
        <v>3.85714285714286</v>
      </c>
      <c r="J40" s="28" t="n">
        <f aca="false">IFERROR(SUMPRODUCT((Indicators!$B$5:$B$35=J$4)*Indicators!$K$5:$K$35*'Indicator Scores'!$I$5:$I$35)/SUMPRODUCT((Indicators!$B$5:$B$35=J$4)*Indicators!$K$5:$K$35*('Indicator Scores'!$I$5:$I$35&gt;0)),0)</f>
        <v>4.4</v>
      </c>
      <c r="K40" s="28" t="n">
        <f aca="false">IFERROR(SUMPRODUCT(F40:J40,INDEX('Factor Weights'!$C$5:$G$11,MATCH(D40,'Factor Weights'!$A$5:$A$11,0),0))/SUMPRODUCT((F40:J40&gt;0)*INDEX('Factor Weights'!$C$5:$G$11,MATCH(D40,'Factor Weights'!$A$5:$A$11,0),0)),0)</f>
        <v>3.98190476190476</v>
      </c>
      <c r="L40" s="29" t="n">
        <f aca="false">MAX(F40:J40)</f>
        <v>4.4</v>
      </c>
      <c r="M40" s="28" t="n">
        <f aca="false">IF(L40&gt;=Config!$C$13,MAX(K40,Config!$C$14),K40)</f>
        <v>3.98190476190476</v>
      </c>
      <c r="N40" s="30" t="n">
        <f aca="false">IF(Config!$C$12="Weighted average",K40,IF(Config!$C$12="Weighted with floor",M40,L40))</f>
        <v>3.98190476190476</v>
      </c>
      <c r="O40" s="31" t="n">
        <f aca="false">IF(N40&lt;Config!$D$5,"",MATCH(N40,Config!$D$5:$D$9,1))</f>
        <v>4</v>
      </c>
      <c r="P40" s="7" t="str">
        <f aca="false">IF(O40="","No data",INDEX(Config!$B$5:$B$9,O40))</f>
        <v>Medium-High</v>
      </c>
      <c r="Q40" s="32" t="n">
        <v>0</v>
      </c>
      <c r="R40" s="8"/>
      <c r="S40" s="33"/>
      <c r="T40" s="34" t="n">
        <f aca="false">IF(O40="","",IF(AND(S40="Y",Q40&lt;&gt;0),MAX(1,MIN(5,O40+MAX(-Config!$C$27,MIN(Config!$C$27,Q40)))),O40))</f>
        <v>4</v>
      </c>
      <c r="U40" s="35" t="str">
        <f aca="false">IF(T40="","No data",INDEX(Config!$B$5:$B$9,T40))</f>
        <v>Medium-High</v>
      </c>
      <c r="V40" s="7" t="str">
        <f aca="false">IF(Q40=0,"None",IF(S40="Y","Applied","Pending HO approval"))</f>
        <v>None</v>
      </c>
      <c r="W40" s="36" t="n">
        <f aca="false">SUMPRODUCT((Indicators!$K$5:$K$35&gt;0)*('Indicator Data'!$I$5:$I$35&lt;&gt;""))/SUMPRODUCT(--(Indicators!$K$5:$K$35&gt;0))</f>
        <v>1</v>
      </c>
    </row>
    <row r="41" customFormat="false" ht="15" hidden="false" customHeight="false" outlineLevel="0" collapsed="false">
      <c r="A41" s="26" t="str">
        <f aca="false">Entities!$A$10</f>
        <v>PS</v>
      </c>
      <c r="B41" s="12" t="str">
        <f aca="false">INDEX(Entities!$B$5:$B$34,MATCH(A41,Entities!$A$5:$A$34,0))</f>
        <v>Arab Bank – Palestine</v>
      </c>
      <c r="C41" s="12" t="str">
        <f aca="false">INDEX(Entities!$D$5:$D$34,MATCH(A41,Entities!$A$5:$A$34,0))</f>
        <v>Levant</v>
      </c>
      <c r="D41" s="12" t="s">
        <v>240</v>
      </c>
      <c r="E41" s="12" t="str">
        <f aca="false">INDEX('Risk Taxonomy'!$B$5:$B$24,MATCH(D41,'Risk Taxonomy'!$A$5:$A$24,0))</f>
        <v>Terrorist financing</v>
      </c>
      <c r="F41" s="28" t="n">
        <f aca="false">IFERROR(SUMPRODUCT((Indicators!$B$5:$B$35=F$4)*Indicators!$L$5:$L$35*'Indicator Scores'!$I$5:$I$35)/SUMPRODUCT((Indicators!$B$5:$B$35=F$4)*Indicators!$L$5:$L$35*('Indicator Scores'!$I$5:$I$35&gt;0)),0)</f>
        <v>3</v>
      </c>
      <c r="G41" s="28" t="n">
        <f aca="false">IFERROR(SUMPRODUCT((Indicators!$B$5:$B$35=G$4)*Indicators!$L$5:$L$35*'Indicator Scores'!$I$5:$I$35)/SUMPRODUCT((Indicators!$B$5:$B$35=G$4)*Indicators!$L$5:$L$35*('Indicator Scores'!$I$5:$I$35&gt;0)),0)</f>
        <v>3.77777777777778</v>
      </c>
      <c r="H41" s="28" t="n">
        <f aca="false">IFERROR(SUMPRODUCT((Indicators!$B$5:$B$35=H$4)*Indicators!$L$5:$L$35*'Indicator Scores'!$I$5:$I$35)/SUMPRODUCT((Indicators!$B$5:$B$35=H$4)*Indicators!$L$5:$L$35*('Indicator Scores'!$I$5:$I$35&gt;0)),0)</f>
        <v>4.5</v>
      </c>
      <c r="I41" s="28" t="n">
        <f aca="false">IFERROR(SUMPRODUCT((Indicators!$B$5:$B$35=I$4)*Indicators!$L$5:$L$35*'Indicator Scores'!$I$5:$I$35)/SUMPRODUCT((Indicators!$B$5:$B$35=I$4)*Indicators!$L$5:$L$35*('Indicator Scores'!$I$5:$I$35&gt;0)),0)</f>
        <v>3.83333333333333</v>
      </c>
      <c r="J41" s="28" t="n">
        <f aca="false">IFERROR(SUMPRODUCT((Indicators!$B$5:$B$35=J$4)*Indicators!$L$5:$L$35*'Indicator Scores'!$I$5:$I$35)/SUMPRODUCT((Indicators!$B$5:$B$35=J$4)*Indicators!$L$5:$L$35*('Indicator Scores'!$I$5:$I$35&gt;0)),0)</f>
        <v>4.42857142857143</v>
      </c>
      <c r="K41" s="28" t="n">
        <f aca="false">IFERROR(SUMPRODUCT(F41:J41,INDEX('Factor Weights'!$C$5:$G$11,MATCH(D41,'Factor Weights'!$A$5:$A$11,0),0))/SUMPRODUCT((F41:J41&gt;0)*INDEX('Factor Weights'!$C$5:$G$11,MATCH(D41,'Factor Weights'!$A$5:$A$11,0),0)),0)</f>
        <v>3.82738095238095</v>
      </c>
      <c r="L41" s="29" t="n">
        <f aca="false">MAX(F41:J41)</f>
        <v>4.5</v>
      </c>
      <c r="M41" s="28" t="n">
        <f aca="false">IF(L41&gt;=Config!$C$13,MAX(K41,Config!$C$14),K41)</f>
        <v>3.82738095238095</v>
      </c>
      <c r="N41" s="30" t="n">
        <f aca="false">IF(Config!$C$12="Weighted average",K41,IF(Config!$C$12="Weighted with floor",M41,L41))</f>
        <v>3.82738095238095</v>
      </c>
      <c r="O41" s="31" t="n">
        <f aca="false">IF(N41&lt;Config!$D$5,"",MATCH(N41,Config!$D$5:$D$9,1))</f>
        <v>4</v>
      </c>
      <c r="P41" s="7" t="str">
        <f aca="false">IF(O41="","No data",INDEX(Config!$B$5:$B$9,O41))</f>
        <v>Medium-High</v>
      </c>
      <c r="Q41" s="32" t="n">
        <v>0</v>
      </c>
      <c r="R41" s="8"/>
      <c r="S41" s="33"/>
      <c r="T41" s="34" t="n">
        <f aca="false">IF(O41="","",IF(AND(S41="Y",Q41&lt;&gt;0),MAX(1,MIN(5,O41+MAX(-Config!$C$27,MIN(Config!$C$27,Q41)))),O41))</f>
        <v>4</v>
      </c>
      <c r="U41" s="35" t="str">
        <f aca="false">IF(T41="","No data",INDEX(Config!$B$5:$B$9,T41))</f>
        <v>Medium-High</v>
      </c>
      <c r="V41" s="7" t="str">
        <f aca="false">IF(Q41=0,"None",IF(S41="Y","Applied","Pending HO approval"))</f>
        <v>None</v>
      </c>
      <c r="W41" s="36" t="n">
        <f aca="false">SUMPRODUCT((Indicators!$L$5:$L$35&gt;0)*('Indicator Data'!$I$5:$I$35&lt;&gt;""))/SUMPRODUCT(--(Indicators!$L$5:$L$35&gt;0))</f>
        <v>1</v>
      </c>
    </row>
    <row r="42" customFormat="false" ht="15" hidden="false" customHeight="false" outlineLevel="0" collapsed="false">
      <c r="A42" s="26" t="str">
        <f aca="false">Entities!$A$10</f>
        <v>PS</v>
      </c>
      <c r="B42" s="12" t="str">
        <f aca="false">INDEX(Entities!$B$5:$B$34,MATCH(A42,Entities!$A$5:$A$34,0))</f>
        <v>Arab Bank – Palestine</v>
      </c>
      <c r="C42" s="12" t="str">
        <f aca="false">INDEX(Entities!$D$5:$D$34,MATCH(A42,Entities!$A$5:$A$34,0))</f>
        <v>Levant</v>
      </c>
      <c r="D42" s="12" t="s">
        <v>243</v>
      </c>
      <c r="E42" s="12" t="str">
        <f aca="false">INDEX('Risk Taxonomy'!$B$5:$B$24,MATCH(D42,'Risk Taxonomy'!$A$5:$A$24,0))</f>
        <v>Proliferation financing</v>
      </c>
      <c r="F42" s="28" t="n">
        <f aca="false">IFERROR(SUMPRODUCT((Indicators!$B$5:$B$35=F$4)*Indicators!$M$5:$M$35*'Indicator Scores'!$I$5:$I$35)/SUMPRODUCT((Indicators!$B$5:$B$35=F$4)*Indicators!$M$5:$M$35*('Indicator Scores'!$I$5:$I$35&gt;0)),0)</f>
        <v>3.25</v>
      </c>
      <c r="G42" s="28" t="n">
        <f aca="false">IFERROR(SUMPRODUCT((Indicators!$B$5:$B$35=G$4)*Indicators!$M$5:$M$35*'Indicator Scores'!$I$5:$I$35)/SUMPRODUCT((Indicators!$B$5:$B$35=G$4)*Indicators!$M$5:$M$35*('Indicator Scores'!$I$5:$I$35&gt;0)),0)</f>
        <v>4.5</v>
      </c>
      <c r="H42" s="28" t="n">
        <f aca="false">IFERROR(SUMPRODUCT((Indicators!$B$5:$B$35=H$4)*Indicators!$M$5:$M$35*'Indicator Scores'!$I$5:$I$35)/SUMPRODUCT((Indicators!$B$5:$B$35=H$4)*Indicators!$M$5:$M$35*('Indicator Scores'!$I$5:$I$35&gt;0)),0)</f>
        <v>4.33333333333333</v>
      </c>
      <c r="I42" s="28" t="n">
        <f aca="false">IFERROR(SUMPRODUCT((Indicators!$B$5:$B$35=I$4)*Indicators!$M$5:$M$35*'Indicator Scores'!$I$5:$I$35)/SUMPRODUCT((Indicators!$B$5:$B$35=I$4)*Indicators!$M$5:$M$35*('Indicator Scores'!$I$5:$I$35&gt;0)),0)</f>
        <v>3.33333333333333</v>
      </c>
      <c r="J42" s="28" t="n">
        <f aca="false">IFERROR(SUMPRODUCT((Indicators!$B$5:$B$35=J$4)*Indicators!$M$5:$M$35*'Indicator Scores'!$I$5:$I$35)/SUMPRODUCT((Indicators!$B$5:$B$35=J$4)*Indicators!$M$5:$M$35*('Indicator Scores'!$I$5:$I$35&gt;0)),0)</f>
        <v>4</v>
      </c>
      <c r="K42" s="28" t="n">
        <f aca="false">IFERROR(SUMPRODUCT(F42:J42,INDEX('Factor Weights'!$C$5:$G$11,MATCH(D42,'Factor Weights'!$A$5:$A$11,0),0))/SUMPRODUCT((F42:J42&gt;0)*INDEX('Factor Weights'!$C$5:$G$11,MATCH(D42,'Factor Weights'!$A$5:$A$11,0),0)),0)</f>
        <v>4.10416666666667</v>
      </c>
      <c r="L42" s="29" t="n">
        <f aca="false">MAX(F42:J42)</f>
        <v>4.5</v>
      </c>
      <c r="M42" s="28" t="n">
        <f aca="false">IF(L42&gt;=Config!$C$13,MAX(K42,Config!$C$14),K42)</f>
        <v>4.10416666666667</v>
      </c>
      <c r="N42" s="30" t="n">
        <f aca="false">IF(Config!$C$12="Weighted average",K42,IF(Config!$C$12="Weighted with floor",M42,L42))</f>
        <v>4.10416666666667</v>
      </c>
      <c r="O42" s="31" t="n">
        <f aca="false">IF(N42&lt;Config!$D$5,"",MATCH(N42,Config!$D$5:$D$9,1))</f>
        <v>4</v>
      </c>
      <c r="P42" s="7" t="str">
        <f aca="false">IF(O42="","No data",INDEX(Config!$B$5:$B$9,O42))</f>
        <v>Medium-High</v>
      </c>
      <c r="Q42" s="32" t="n">
        <v>0</v>
      </c>
      <c r="R42" s="8"/>
      <c r="S42" s="33"/>
      <c r="T42" s="34" t="n">
        <f aca="false">IF(O42="","",IF(AND(S42="Y",Q42&lt;&gt;0),MAX(1,MIN(5,O42+MAX(-Config!$C$27,MIN(Config!$C$27,Q42)))),O42))</f>
        <v>4</v>
      </c>
      <c r="U42" s="35" t="str">
        <f aca="false">IF(T42="","No data",INDEX(Config!$B$5:$B$9,T42))</f>
        <v>Medium-High</v>
      </c>
      <c r="V42" s="7" t="str">
        <f aca="false">IF(Q42=0,"None",IF(S42="Y","Applied","Pending HO approval"))</f>
        <v>None</v>
      </c>
      <c r="W42" s="36" t="n">
        <f aca="false">SUMPRODUCT((Indicators!$M$5:$M$35&gt;0)*('Indicator Data'!$I$5:$I$35&lt;&gt;""))/SUMPRODUCT(--(Indicators!$M$5:$M$35&gt;0))</f>
        <v>1</v>
      </c>
    </row>
    <row r="43" customFormat="false" ht="15" hidden="false" customHeight="false" outlineLevel="0" collapsed="false">
      <c r="A43" s="26" t="str">
        <f aca="false">Entities!$A$10</f>
        <v>PS</v>
      </c>
      <c r="B43" s="12" t="str">
        <f aca="false">INDEX(Entities!$B$5:$B$34,MATCH(A43,Entities!$A$5:$A$34,0))</f>
        <v>Arab Bank – Palestine</v>
      </c>
      <c r="C43" s="12" t="str">
        <f aca="false">INDEX(Entities!$D$5:$D$34,MATCH(A43,Entities!$A$5:$A$34,0))</f>
        <v>Levant</v>
      </c>
      <c r="D43" s="12" t="s">
        <v>245</v>
      </c>
      <c r="E43" s="12" t="str">
        <f aca="false">INDEX('Risk Taxonomy'!$B$5:$B$24,MATCH(D43,'Risk Taxonomy'!$A$5:$A$24,0))</f>
        <v>Sanctions</v>
      </c>
      <c r="F43" s="28" t="n">
        <f aca="false">IFERROR(SUMPRODUCT((Indicators!$B$5:$B$35=F$4)*Indicators!$N$5:$N$35*'Indicator Scores'!$I$5:$I$35)/SUMPRODUCT((Indicators!$B$5:$B$35=F$4)*Indicators!$N$5:$N$35*('Indicator Scores'!$I$5:$I$35&gt;0)),0)</f>
        <v>3.42857142857143</v>
      </c>
      <c r="G43" s="28" t="n">
        <f aca="false">IFERROR(SUMPRODUCT((Indicators!$B$5:$B$35=G$4)*Indicators!$N$5:$N$35*'Indicator Scores'!$I$5:$I$35)/SUMPRODUCT((Indicators!$B$5:$B$35=G$4)*Indicators!$N$5:$N$35*('Indicator Scores'!$I$5:$I$35&gt;0)),0)</f>
        <v>4.42857142857143</v>
      </c>
      <c r="H43" s="28" t="n">
        <f aca="false">IFERROR(SUMPRODUCT((Indicators!$B$5:$B$35=H$4)*Indicators!$N$5:$N$35*'Indicator Scores'!$I$5:$I$35)/SUMPRODUCT((Indicators!$B$5:$B$35=H$4)*Indicators!$N$5:$N$35*('Indicator Scores'!$I$5:$I$35&gt;0)),0)</f>
        <v>4.375</v>
      </c>
      <c r="I43" s="28" t="n">
        <f aca="false">IFERROR(SUMPRODUCT((Indicators!$B$5:$B$35=I$4)*Indicators!$N$5:$N$35*'Indicator Scores'!$I$5:$I$35)/SUMPRODUCT((Indicators!$B$5:$B$35=I$4)*Indicators!$N$5:$N$35*('Indicator Scores'!$I$5:$I$35&gt;0)),0)</f>
        <v>3.66666666666667</v>
      </c>
      <c r="J43" s="28" t="n">
        <f aca="false">IFERROR(SUMPRODUCT((Indicators!$B$5:$B$35=J$4)*Indicators!$N$5:$N$35*'Indicator Scores'!$I$5:$I$35)/SUMPRODUCT((Indicators!$B$5:$B$35=J$4)*Indicators!$N$5:$N$35*('Indicator Scores'!$I$5:$I$35&gt;0)),0)</f>
        <v>4</v>
      </c>
      <c r="K43" s="28" t="n">
        <f aca="false">IFERROR(SUMPRODUCT(F43:J43,INDEX('Factor Weights'!$C$5:$G$11,MATCH(D43,'Factor Weights'!$A$5:$A$11,0),0))/SUMPRODUCT((F43:J43&gt;0)*INDEX('Factor Weights'!$C$5:$G$11,MATCH(D43,'Factor Weights'!$A$5:$A$11,0),0)),0)</f>
        <v>4.14404761904762</v>
      </c>
      <c r="L43" s="29" t="n">
        <f aca="false">MAX(F43:J43)</f>
        <v>4.42857142857143</v>
      </c>
      <c r="M43" s="28" t="n">
        <f aca="false">IF(L43&gt;=Config!$C$13,MAX(K43,Config!$C$14),K43)</f>
        <v>4.14404761904762</v>
      </c>
      <c r="N43" s="30" t="n">
        <f aca="false">IF(Config!$C$12="Weighted average",K43,IF(Config!$C$12="Weighted with floor",M43,L43))</f>
        <v>4.14404761904762</v>
      </c>
      <c r="O43" s="31" t="n">
        <f aca="false">IF(N43&lt;Config!$D$5,"",MATCH(N43,Config!$D$5:$D$9,1))</f>
        <v>4</v>
      </c>
      <c r="P43" s="7" t="str">
        <f aca="false">IF(O43="","No data",INDEX(Config!$B$5:$B$9,O43))</f>
        <v>Medium-High</v>
      </c>
      <c r="Q43" s="32" t="n">
        <v>0</v>
      </c>
      <c r="R43" s="8"/>
      <c r="S43" s="33"/>
      <c r="T43" s="34" t="n">
        <f aca="false">IF(O43="","",IF(AND(S43="Y",Q43&lt;&gt;0),MAX(1,MIN(5,O43+MAX(-Config!$C$27,MIN(Config!$C$27,Q43)))),O43))</f>
        <v>4</v>
      </c>
      <c r="U43" s="35" t="str">
        <f aca="false">IF(T43="","No data",INDEX(Config!$B$5:$B$9,T43))</f>
        <v>Medium-High</v>
      </c>
      <c r="V43" s="7" t="str">
        <f aca="false">IF(Q43=0,"None",IF(S43="Y","Applied","Pending HO approval"))</f>
        <v>None</v>
      </c>
      <c r="W43" s="36" t="n">
        <f aca="false">SUMPRODUCT((Indicators!$N$5:$N$35&gt;0)*('Indicator Data'!$I$5:$I$35&lt;&gt;""))/SUMPRODUCT(--(Indicators!$N$5:$N$35&gt;0))</f>
        <v>1</v>
      </c>
    </row>
    <row r="44" customFormat="false" ht="15" hidden="false" customHeight="false" outlineLevel="0" collapsed="false">
      <c r="A44" s="26" t="str">
        <f aca="false">Entities!$A$10</f>
        <v>PS</v>
      </c>
      <c r="B44" s="12" t="str">
        <f aca="false">INDEX(Entities!$B$5:$B$34,MATCH(A44,Entities!$A$5:$A$34,0))</f>
        <v>Arab Bank – Palestine</v>
      </c>
      <c r="C44" s="12" t="str">
        <f aca="false">INDEX(Entities!$D$5:$D$34,MATCH(A44,Entities!$A$5:$A$34,0))</f>
        <v>Levant</v>
      </c>
      <c r="D44" s="12" t="s">
        <v>248</v>
      </c>
      <c r="E44" s="12" t="str">
        <f aca="false">INDEX('Risk Taxonomy'!$B$5:$B$24,MATCH(D44,'Risk Taxonomy'!$A$5:$A$24,0))</f>
        <v>Bribery and corruption</v>
      </c>
      <c r="F44" s="28" t="n">
        <f aca="false">IFERROR(SUMPRODUCT((Indicators!$B$5:$B$35=F$4)*Indicators!$O$5:$O$35*'Indicator Scores'!$I$5:$I$35)/SUMPRODUCT((Indicators!$B$5:$B$35=F$4)*Indicators!$O$5:$O$35*('Indicator Scores'!$I$5:$I$35&gt;0)),0)</f>
        <v>3.66666666666667</v>
      </c>
      <c r="G44" s="28" t="n">
        <f aca="false">IFERROR(SUMPRODUCT((Indicators!$B$5:$B$35=G$4)*Indicators!$O$5:$O$35*'Indicator Scores'!$I$5:$I$35)/SUMPRODUCT((Indicators!$B$5:$B$35=G$4)*Indicators!$O$5:$O$35*('Indicator Scores'!$I$5:$I$35&gt;0)),0)</f>
        <v>4.2</v>
      </c>
      <c r="H44" s="28" t="n">
        <f aca="false">IFERROR(SUMPRODUCT((Indicators!$B$5:$B$35=H$4)*Indicators!$O$5:$O$35*'Indicator Scores'!$I$5:$I$35)/SUMPRODUCT((Indicators!$B$5:$B$35=H$4)*Indicators!$O$5:$O$35*('Indicator Scores'!$I$5:$I$35&gt;0)),0)</f>
        <v>4</v>
      </c>
      <c r="I44" s="28" t="n">
        <f aca="false">IFERROR(SUMPRODUCT((Indicators!$B$5:$B$35=I$4)*Indicators!$O$5:$O$35*'Indicator Scores'!$I$5:$I$35)/SUMPRODUCT((Indicators!$B$5:$B$35=I$4)*Indicators!$O$5:$O$35*('Indicator Scores'!$I$5:$I$35&gt;0)),0)</f>
        <v>4.2</v>
      </c>
      <c r="J44" s="28" t="n">
        <f aca="false">IFERROR(SUMPRODUCT((Indicators!$B$5:$B$35=J$4)*Indicators!$O$5:$O$35*'Indicator Scores'!$I$5:$I$35)/SUMPRODUCT((Indicators!$B$5:$B$35=J$4)*Indicators!$O$5:$O$35*('Indicator Scores'!$I$5:$I$35&gt;0)),0)</f>
        <v>4</v>
      </c>
      <c r="K44" s="28" t="n">
        <f aca="false">IFERROR(SUMPRODUCT(F44:J44,INDEX('Factor Weights'!$C$5:$G$11,MATCH(D44,'Factor Weights'!$A$5:$A$11,0),0))/SUMPRODUCT((F44:J44&gt;0)*INDEX('Factor Weights'!$C$5:$G$11,MATCH(D44,'Factor Weights'!$A$5:$A$11,0),0)),0)</f>
        <v>3.99</v>
      </c>
      <c r="L44" s="29" t="n">
        <f aca="false">MAX(F44:J44)</f>
        <v>4.2</v>
      </c>
      <c r="M44" s="28" t="n">
        <f aca="false">IF(L44&gt;=Config!$C$13,MAX(K44,Config!$C$14),K44)</f>
        <v>3.99</v>
      </c>
      <c r="N44" s="30" t="n">
        <f aca="false">IF(Config!$C$12="Weighted average",K44,IF(Config!$C$12="Weighted with floor",M44,L44))</f>
        <v>3.99</v>
      </c>
      <c r="O44" s="31" t="n">
        <f aca="false">IF(N44&lt;Config!$D$5,"",MATCH(N44,Config!$D$5:$D$9,1))</f>
        <v>4</v>
      </c>
      <c r="P44" s="7" t="str">
        <f aca="false">IF(O44="","No data",INDEX(Config!$B$5:$B$9,O44))</f>
        <v>Medium-High</v>
      </c>
      <c r="Q44" s="32" t="n">
        <v>0</v>
      </c>
      <c r="R44" s="8"/>
      <c r="S44" s="33"/>
      <c r="T44" s="34" t="n">
        <f aca="false">IF(O44="","",IF(AND(S44="Y",Q44&lt;&gt;0),MAX(1,MIN(5,O44+MAX(-Config!$C$27,MIN(Config!$C$27,Q44)))),O44))</f>
        <v>4</v>
      </c>
      <c r="U44" s="35" t="str">
        <f aca="false">IF(T44="","No data",INDEX(Config!$B$5:$B$9,T44))</f>
        <v>Medium-High</v>
      </c>
      <c r="V44" s="7" t="str">
        <f aca="false">IF(Q44=0,"None",IF(S44="Y","Applied","Pending HO approval"))</f>
        <v>None</v>
      </c>
      <c r="W44" s="36" t="n">
        <f aca="false">SUMPRODUCT((Indicators!$O$5:$O$35&gt;0)*('Indicator Data'!$I$5:$I$35&lt;&gt;""))/SUMPRODUCT(--(Indicators!$O$5:$O$35&gt;0))</f>
        <v>1</v>
      </c>
    </row>
    <row r="45" customFormat="false" ht="15" hidden="false" customHeight="false" outlineLevel="0" collapsed="false">
      <c r="A45" s="26" t="str">
        <f aca="false">Entities!$A$10</f>
        <v>PS</v>
      </c>
      <c r="B45" s="12" t="str">
        <f aca="false">INDEX(Entities!$B$5:$B$34,MATCH(A45,Entities!$A$5:$A$34,0))</f>
        <v>Arab Bank – Palestine</v>
      </c>
      <c r="C45" s="12" t="str">
        <f aca="false">INDEX(Entities!$D$5:$D$34,MATCH(A45,Entities!$A$5:$A$34,0))</f>
        <v>Levant</v>
      </c>
      <c r="D45" s="12" t="s">
        <v>251</v>
      </c>
      <c r="E45" s="12" t="str">
        <f aca="false">INDEX('Risk Taxonomy'!$B$5:$B$24,MATCH(D45,'Risk Taxonomy'!$A$5:$A$24,0))</f>
        <v>Fraud</v>
      </c>
      <c r="F45" s="28" t="n">
        <f aca="false">IFERROR(SUMPRODUCT((Indicators!$B$5:$B$35=F$4)*Indicators!$P$5:$P$35*'Indicator Scores'!$I$5:$I$35)/SUMPRODUCT((Indicators!$B$5:$B$35=F$4)*Indicators!$P$5:$P$35*('Indicator Scores'!$I$5:$I$35&gt;0)),0)</f>
        <v>3.33333333333333</v>
      </c>
      <c r="G45" s="28" t="n">
        <f aca="false">IFERROR(SUMPRODUCT((Indicators!$B$5:$B$35=G$4)*Indicators!$P$5:$P$35*'Indicator Scores'!$I$5:$I$35)/SUMPRODUCT((Indicators!$B$5:$B$35=G$4)*Indicators!$P$5:$P$35*('Indicator Scores'!$I$5:$I$35&gt;0)),0)</f>
        <v>3.75</v>
      </c>
      <c r="H45" s="28" t="n">
        <f aca="false">IFERROR(SUMPRODUCT((Indicators!$B$5:$B$35=H$4)*Indicators!$P$5:$P$35*'Indicator Scores'!$I$5:$I$35)/SUMPRODUCT((Indicators!$B$5:$B$35=H$4)*Indicators!$P$5:$P$35*('Indicator Scores'!$I$5:$I$35&gt;0)),0)</f>
        <v>4.4</v>
      </c>
      <c r="I45" s="28" t="n">
        <f aca="false">IFERROR(SUMPRODUCT((Indicators!$B$5:$B$35=I$4)*Indicators!$P$5:$P$35*'Indicator Scores'!$I$5:$I$35)/SUMPRODUCT((Indicators!$B$5:$B$35=I$4)*Indicators!$P$5:$P$35*('Indicator Scores'!$I$5:$I$35&gt;0)),0)</f>
        <v>4.11111111111111</v>
      </c>
      <c r="J45" s="28" t="n">
        <f aca="false">IFERROR(SUMPRODUCT((Indicators!$B$5:$B$35=J$4)*Indicators!$P$5:$P$35*'Indicator Scores'!$I$5:$I$35)/SUMPRODUCT((Indicators!$B$5:$B$35=J$4)*Indicators!$P$5:$P$35*('Indicator Scores'!$I$5:$I$35&gt;0)),0)</f>
        <v>4.6</v>
      </c>
      <c r="K45" s="28" t="n">
        <f aca="false">IFERROR(SUMPRODUCT(F45:J45,INDEX('Factor Weights'!$C$5:$G$11,MATCH(D45,'Factor Weights'!$A$5:$A$11,0),0))/SUMPRODUCT((F45:J45&gt;0)*INDEX('Factor Weights'!$C$5:$G$11,MATCH(D45,'Factor Weights'!$A$5:$A$11,0),0)),0)</f>
        <v>4.075</v>
      </c>
      <c r="L45" s="29" t="n">
        <f aca="false">MAX(F45:J45)</f>
        <v>4.6</v>
      </c>
      <c r="M45" s="28" t="n">
        <f aca="false">IF(L45&gt;=Config!$C$13,MAX(K45,Config!$C$14),K45)</f>
        <v>4.075</v>
      </c>
      <c r="N45" s="30" t="n">
        <f aca="false">IF(Config!$C$12="Weighted average",K45,IF(Config!$C$12="Weighted with floor",M45,L45))</f>
        <v>4.075</v>
      </c>
      <c r="O45" s="31" t="n">
        <f aca="false">IF(N45&lt;Config!$D$5,"",MATCH(N45,Config!$D$5:$D$9,1))</f>
        <v>4</v>
      </c>
      <c r="P45" s="7" t="str">
        <f aca="false">IF(O45="","No data",INDEX(Config!$B$5:$B$9,O45))</f>
        <v>Medium-High</v>
      </c>
      <c r="Q45" s="32" t="n">
        <v>0</v>
      </c>
      <c r="R45" s="8"/>
      <c r="S45" s="33"/>
      <c r="T45" s="34" t="n">
        <f aca="false">IF(O45="","",IF(AND(S45="Y",Q45&lt;&gt;0),MAX(1,MIN(5,O45+MAX(-Config!$C$27,MIN(Config!$C$27,Q45)))),O45))</f>
        <v>4</v>
      </c>
      <c r="U45" s="35" t="str">
        <f aca="false">IF(T45="","No data",INDEX(Config!$B$5:$B$9,T45))</f>
        <v>Medium-High</v>
      </c>
      <c r="V45" s="7" t="str">
        <f aca="false">IF(Q45=0,"None",IF(S45="Y","Applied","Pending HO approval"))</f>
        <v>None</v>
      </c>
      <c r="W45" s="36" t="n">
        <f aca="false">SUMPRODUCT((Indicators!$P$5:$P$35&gt;0)*('Indicator Data'!$I$5:$I$35&lt;&gt;""))/SUMPRODUCT(--(Indicators!$P$5:$P$35&gt;0))</f>
        <v>1</v>
      </c>
    </row>
    <row r="46" customFormat="false" ht="15" hidden="false" customHeight="false" outlineLevel="0" collapsed="false">
      <c r="A46" s="26" t="str">
        <f aca="false">Entities!$A$10</f>
        <v>PS</v>
      </c>
      <c r="B46" s="12" t="str">
        <f aca="false">INDEX(Entities!$B$5:$B$34,MATCH(A46,Entities!$A$5:$A$34,0))</f>
        <v>Arab Bank – Palestine</v>
      </c>
      <c r="C46" s="12" t="str">
        <f aca="false">INDEX(Entities!$D$5:$D$34,MATCH(A46,Entities!$A$5:$A$34,0))</f>
        <v>Levant</v>
      </c>
      <c r="D46" s="12" t="s">
        <v>254</v>
      </c>
      <c r="E46" s="12" t="str">
        <f aca="false">INDEX('Risk Taxonomy'!$B$5:$B$24,MATCH(D46,'Risk Taxonomy'!$A$5:$A$24,0))</f>
        <v>Tax evasion and tax transparency</v>
      </c>
      <c r="F46" s="28" t="n">
        <f aca="false">IFERROR(SUMPRODUCT((Indicators!$B$5:$B$35=F$4)*Indicators!$Q$5:$Q$35*'Indicator Scores'!$I$5:$I$35)/SUMPRODUCT((Indicators!$B$5:$B$35=F$4)*Indicators!$Q$5:$Q$35*('Indicator Scores'!$I$5:$I$35&gt;0)),0)</f>
        <v>3.22222222222222</v>
      </c>
      <c r="G46" s="28" t="n">
        <f aca="false">IFERROR(SUMPRODUCT((Indicators!$B$5:$B$35=G$4)*Indicators!$Q$5:$Q$35*'Indicator Scores'!$I$5:$I$35)/SUMPRODUCT((Indicators!$B$5:$B$35=G$4)*Indicators!$Q$5:$Q$35*('Indicator Scores'!$I$5:$I$35&gt;0)),0)</f>
        <v>4.66666666666667</v>
      </c>
      <c r="H46" s="28" t="n">
        <f aca="false">IFERROR(SUMPRODUCT((Indicators!$B$5:$B$35=H$4)*Indicators!$Q$5:$Q$35*'Indicator Scores'!$I$5:$I$35)/SUMPRODUCT((Indicators!$B$5:$B$35=H$4)*Indicators!$Q$5:$Q$35*('Indicator Scores'!$I$5:$I$35&gt;0)),0)</f>
        <v>4.5</v>
      </c>
      <c r="I46" s="28" t="n">
        <f aca="false">IFERROR(SUMPRODUCT((Indicators!$B$5:$B$35=I$4)*Indicators!$Q$5:$Q$35*'Indicator Scores'!$I$5:$I$35)/SUMPRODUCT((Indicators!$B$5:$B$35=I$4)*Indicators!$Q$5:$Q$35*('Indicator Scores'!$I$5:$I$35&gt;0)),0)</f>
        <v>3.5</v>
      </c>
      <c r="J46" s="28" t="n">
        <f aca="false">IFERROR(SUMPRODUCT((Indicators!$B$5:$B$35=J$4)*Indicators!$Q$5:$Q$35*'Indicator Scores'!$I$5:$I$35)/SUMPRODUCT((Indicators!$B$5:$B$35=J$4)*Indicators!$Q$5:$Q$35*('Indicator Scores'!$I$5:$I$35&gt;0)),0)</f>
        <v>4</v>
      </c>
      <c r="K46" s="28" t="n">
        <f aca="false">IFERROR(SUMPRODUCT(F46:J46,INDEX('Factor Weights'!$C$5:$G$11,MATCH(D46,'Factor Weights'!$A$5:$A$11,0),0))/SUMPRODUCT((F46:J46&gt;0)*INDEX('Factor Weights'!$C$5:$G$11,MATCH(D46,'Factor Weights'!$A$5:$A$11,0),0)),0)</f>
        <v>3.94444444444444</v>
      </c>
      <c r="L46" s="29" t="n">
        <f aca="false">MAX(F46:J46)</f>
        <v>4.66666666666667</v>
      </c>
      <c r="M46" s="28" t="n">
        <f aca="false">IF(L46&gt;=Config!$C$13,MAX(K46,Config!$C$14),K46)</f>
        <v>3.94444444444444</v>
      </c>
      <c r="N46" s="30" t="n">
        <f aca="false">IF(Config!$C$12="Weighted average",K46,IF(Config!$C$12="Weighted with floor",M46,L46))</f>
        <v>3.94444444444444</v>
      </c>
      <c r="O46" s="31" t="n">
        <f aca="false">IF(N46&lt;Config!$D$5,"",MATCH(N46,Config!$D$5:$D$9,1))</f>
        <v>4</v>
      </c>
      <c r="P46" s="7" t="str">
        <f aca="false">IF(O46="","No data",INDEX(Config!$B$5:$B$9,O46))</f>
        <v>Medium-High</v>
      </c>
      <c r="Q46" s="32" t="n">
        <v>0</v>
      </c>
      <c r="R46" s="8"/>
      <c r="S46" s="33"/>
      <c r="T46" s="34" t="n">
        <f aca="false">IF(O46="","",IF(AND(S46="Y",Q46&lt;&gt;0),MAX(1,MIN(5,O46+MAX(-Config!$C$27,MIN(Config!$C$27,Q46)))),O46))</f>
        <v>4</v>
      </c>
      <c r="U46" s="35" t="str">
        <f aca="false">IF(T46="","No data",INDEX(Config!$B$5:$B$9,T46))</f>
        <v>Medium-High</v>
      </c>
      <c r="V46" s="7" t="str">
        <f aca="false">IF(Q46=0,"None",IF(S46="Y","Applied","Pending HO approval"))</f>
        <v>None</v>
      </c>
      <c r="W46" s="36" t="n">
        <f aca="false">SUMPRODUCT((Indicators!$Q$5:$Q$35&gt;0)*('Indicator Data'!$I$5:$I$35&lt;&gt;""))/SUMPRODUCT(--(Indicators!$Q$5:$Q$35&gt;0))</f>
        <v>1</v>
      </c>
    </row>
    <row r="47" customFormat="false" ht="15" hidden="false" customHeight="false" outlineLevel="0" collapsed="false">
      <c r="A47" s="26" t="str">
        <f aca="false">Entities!$A$11</f>
        <v>PS-INV</v>
      </c>
      <c r="B47" s="12" t="str">
        <f aca="false">INDEX(Entities!$B$5:$B$34,MATCH(A47,Entities!$A$5:$A$34,0))</f>
        <v>Al-Arabi Investment Group – Palestine</v>
      </c>
      <c r="C47" s="12" t="str">
        <f aca="false">INDEX(Entities!$D$5:$D$34,MATCH(A47,Entities!$A$5:$A$34,0))</f>
        <v>Levant</v>
      </c>
      <c r="D47" s="12" t="s">
        <v>233</v>
      </c>
      <c r="E47" s="12" t="str">
        <f aca="false">INDEX('Risk Taxonomy'!$B$5:$B$24,MATCH(D47,'Risk Taxonomy'!$A$5:$A$24,0))</f>
        <v>Money laundering</v>
      </c>
      <c r="F47" s="28" t="n">
        <f aca="false">IFERROR(SUMPRODUCT((Indicators!$B$5:$B$35=F$4)*Indicators!$K$5:$K$35*'Indicator Scores'!$J$5:$J$35)/SUMPRODUCT((Indicators!$B$5:$B$35=F$4)*Indicators!$K$5:$K$35*('Indicator Scores'!$J$5:$J$35&gt;0)),0)</f>
        <v>3.66666666666667</v>
      </c>
      <c r="G47" s="28" t="n">
        <f aca="false">IFERROR(SUMPRODUCT((Indicators!$B$5:$B$35=G$4)*Indicators!$K$5:$K$35*'Indicator Scores'!$J$5:$J$35)/SUMPRODUCT((Indicators!$B$5:$B$35=G$4)*Indicators!$K$5:$K$35*('Indicator Scores'!$J$5:$J$35&gt;0)),0)</f>
        <v>4.44444444444445</v>
      </c>
      <c r="H47" s="28" t="n">
        <f aca="false">IFERROR(SUMPRODUCT((Indicators!$B$5:$B$35=H$4)*Indicators!$K$5:$K$35*'Indicator Scores'!$J$5:$J$35)/SUMPRODUCT((Indicators!$B$5:$B$35=H$4)*Indicators!$K$5:$K$35*('Indicator Scores'!$J$5:$J$35&gt;0)),0)</f>
        <v>2.4</v>
      </c>
      <c r="I47" s="28" t="n">
        <f aca="false">IFERROR(SUMPRODUCT((Indicators!$B$5:$B$35=I$4)*Indicators!$K$5:$K$35*'Indicator Scores'!$J$5:$J$35)/SUMPRODUCT((Indicators!$B$5:$B$35=I$4)*Indicators!$K$5:$K$35*('Indicator Scores'!$J$5:$J$35&gt;0)),0)</f>
        <v>3</v>
      </c>
      <c r="J47" s="28" t="n">
        <f aca="false">IFERROR(SUMPRODUCT((Indicators!$B$5:$B$35=J$4)*Indicators!$K$5:$K$35*'Indicator Scores'!$J$5:$J$35)/SUMPRODUCT((Indicators!$B$5:$B$35=J$4)*Indicators!$K$5:$K$35*('Indicator Scores'!$J$5:$J$35&gt;0)),0)</f>
        <v>2.8</v>
      </c>
      <c r="K47" s="28" t="n">
        <f aca="false">IFERROR(SUMPRODUCT(F47:J47,INDEX('Factor Weights'!$C$5:$G$11,MATCH(D47,'Factor Weights'!$A$5:$A$11,0),0))/SUMPRODUCT((F47:J47&gt;0)*INDEX('Factor Weights'!$C$5:$G$11,MATCH(D47,'Factor Weights'!$A$5:$A$11,0),0)),0)</f>
        <v>3.42111111111111</v>
      </c>
      <c r="L47" s="29" t="n">
        <f aca="false">MAX(F47:J47)</f>
        <v>4.44444444444445</v>
      </c>
      <c r="M47" s="28" t="n">
        <f aca="false">IF(L47&gt;=Config!$C$13,MAX(K47,Config!$C$14),K47)</f>
        <v>3.42111111111111</v>
      </c>
      <c r="N47" s="30" t="n">
        <f aca="false">IF(Config!$C$12="Weighted average",K47,IF(Config!$C$12="Weighted with floor",M47,L47))</f>
        <v>3.42111111111111</v>
      </c>
      <c r="O47" s="31" t="n">
        <f aca="false">IF(N47&lt;Config!$D$5,"",MATCH(N47,Config!$D$5:$D$9,1))</f>
        <v>4</v>
      </c>
      <c r="P47" s="7" t="str">
        <f aca="false">IF(O47="","No data",INDEX(Config!$B$5:$B$9,O47))</f>
        <v>Medium-High</v>
      </c>
      <c r="Q47" s="32" t="n">
        <v>0</v>
      </c>
      <c r="R47" s="8"/>
      <c r="S47" s="33"/>
      <c r="T47" s="34" t="n">
        <f aca="false">IF(O47="","",IF(AND(S47="Y",Q47&lt;&gt;0),MAX(1,MIN(5,O47+MAX(-Config!$C$27,MIN(Config!$C$27,Q47)))),O47))</f>
        <v>4</v>
      </c>
      <c r="U47" s="35" t="str">
        <f aca="false">IF(T47="","No data",INDEX(Config!$B$5:$B$9,T47))</f>
        <v>Medium-High</v>
      </c>
      <c r="V47" s="7" t="str">
        <f aca="false">IF(Q47=0,"None",IF(S47="Y","Applied","Pending HO approval"))</f>
        <v>None</v>
      </c>
      <c r="W47" s="36" t="n">
        <f aca="false">SUMPRODUCT((Indicators!$K$5:$K$35&gt;0)*('Indicator Data'!$J$5:$J$35&lt;&gt;""))/SUMPRODUCT(--(Indicators!$K$5:$K$35&gt;0))</f>
        <v>1</v>
      </c>
    </row>
    <row r="48" customFormat="false" ht="15" hidden="false" customHeight="false" outlineLevel="0" collapsed="false">
      <c r="A48" s="26" t="str">
        <f aca="false">Entities!$A$11</f>
        <v>PS-INV</v>
      </c>
      <c r="B48" s="12" t="str">
        <f aca="false">INDEX(Entities!$B$5:$B$34,MATCH(A48,Entities!$A$5:$A$34,0))</f>
        <v>Al-Arabi Investment Group – Palestine</v>
      </c>
      <c r="C48" s="12" t="str">
        <f aca="false">INDEX(Entities!$D$5:$D$34,MATCH(A48,Entities!$A$5:$A$34,0))</f>
        <v>Levant</v>
      </c>
      <c r="D48" s="12" t="s">
        <v>240</v>
      </c>
      <c r="E48" s="12" t="str">
        <f aca="false">INDEX('Risk Taxonomy'!$B$5:$B$24,MATCH(D48,'Risk Taxonomy'!$A$5:$A$24,0))</f>
        <v>Terrorist financing</v>
      </c>
      <c r="F48" s="28" t="n">
        <f aca="false">IFERROR(SUMPRODUCT((Indicators!$B$5:$B$35=F$4)*Indicators!$L$5:$L$35*'Indicator Scores'!$J$5:$J$35)/SUMPRODUCT((Indicators!$B$5:$B$35=F$4)*Indicators!$L$5:$L$35*('Indicator Scores'!$J$5:$J$35&gt;0)),0)</f>
        <v>3</v>
      </c>
      <c r="G48" s="28" t="n">
        <f aca="false">IFERROR(SUMPRODUCT((Indicators!$B$5:$B$35=G$4)*Indicators!$L$5:$L$35*'Indicator Scores'!$J$5:$J$35)/SUMPRODUCT((Indicators!$B$5:$B$35=G$4)*Indicators!$L$5:$L$35*('Indicator Scores'!$J$5:$J$35&gt;0)),0)</f>
        <v>4.55555555555556</v>
      </c>
      <c r="H48" s="28" t="n">
        <f aca="false">IFERROR(SUMPRODUCT((Indicators!$B$5:$B$35=H$4)*Indicators!$L$5:$L$35*'Indicator Scores'!$J$5:$J$35)/SUMPRODUCT((Indicators!$B$5:$B$35=H$4)*Indicators!$L$5:$L$35*('Indicator Scores'!$J$5:$J$35&gt;0)),0)</f>
        <v>1.66666666666667</v>
      </c>
      <c r="I48" s="28" t="n">
        <f aca="false">IFERROR(SUMPRODUCT((Indicators!$B$5:$B$35=I$4)*Indicators!$L$5:$L$35*'Indicator Scores'!$J$5:$J$35)/SUMPRODUCT((Indicators!$B$5:$B$35=I$4)*Indicators!$L$5:$L$35*('Indicator Scores'!$J$5:$J$35&gt;0)),0)</f>
        <v>3</v>
      </c>
      <c r="J48" s="28" t="n">
        <f aca="false">IFERROR(SUMPRODUCT((Indicators!$B$5:$B$35=J$4)*Indicators!$L$5:$L$35*'Indicator Scores'!$J$5:$J$35)/SUMPRODUCT((Indicators!$B$5:$B$35=J$4)*Indicators!$L$5:$L$35*('Indicator Scores'!$J$5:$J$35&gt;0)),0)</f>
        <v>2.71428571428571</v>
      </c>
      <c r="K48" s="28" t="n">
        <f aca="false">IFERROR(SUMPRODUCT(F48:J48,INDEX('Factor Weights'!$C$5:$G$11,MATCH(D48,'Factor Weights'!$A$5:$A$11,0),0))/SUMPRODUCT((F48:J48&gt;0)*INDEX('Factor Weights'!$C$5:$G$11,MATCH(D48,'Factor Weights'!$A$5:$A$11,0),0)),0)</f>
        <v>3.20952380952381</v>
      </c>
      <c r="L48" s="29" t="n">
        <f aca="false">MAX(F48:J48)</f>
        <v>4.55555555555556</v>
      </c>
      <c r="M48" s="28" t="n">
        <f aca="false">IF(L48&gt;=Config!$C$13,MAX(K48,Config!$C$14),K48)</f>
        <v>3.20952380952381</v>
      </c>
      <c r="N48" s="30" t="n">
        <f aca="false">IF(Config!$C$12="Weighted average",K48,IF(Config!$C$12="Weighted with floor",M48,L48))</f>
        <v>3.20952380952381</v>
      </c>
      <c r="O48" s="31" t="n">
        <f aca="false">IF(N48&lt;Config!$D$5,"",MATCH(N48,Config!$D$5:$D$9,1))</f>
        <v>3</v>
      </c>
      <c r="P48" s="7" t="str">
        <f aca="false">IF(O48="","No data",INDEX(Config!$B$5:$B$9,O48))</f>
        <v>Medium</v>
      </c>
      <c r="Q48" s="32" t="n">
        <v>0</v>
      </c>
      <c r="R48" s="8"/>
      <c r="S48" s="33"/>
      <c r="T48" s="34" t="n">
        <f aca="false">IF(O48="","",IF(AND(S48="Y",Q48&lt;&gt;0),MAX(1,MIN(5,O48+MAX(-Config!$C$27,MIN(Config!$C$27,Q48)))),O48))</f>
        <v>3</v>
      </c>
      <c r="U48" s="35" t="str">
        <f aca="false">IF(T48="","No data",INDEX(Config!$B$5:$B$9,T48))</f>
        <v>Medium</v>
      </c>
      <c r="V48" s="7" t="str">
        <f aca="false">IF(Q48=0,"None",IF(S48="Y","Applied","Pending HO approval"))</f>
        <v>None</v>
      </c>
      <c r="W48" s="36" t="n">
        <f aca="false">SUMPRODUCT((Indicators!$L$5:$L$35&gt;0)*('Indicator Data'!$J$5:$J$35&lt;&gt;""))/SUMPRODUCT(--(Indicators!$L$5:$L$35&gt;0))</f>
        <v>1</v>
      </c>
    </row>
    <row r="49" customFormat="false" ht="15" hidden="false" customHeight="false" outlineLevel="0" collapsed="false">
      <c r="A49" s="26" t="str">
        <f aca="false">Entities!$A$11</f>
        <v>PS-INV</v>
      </c>
      <c r="B49" s="12" t="str">
        <f aca="false">INDEX(Entities!$B$5:$B$34,MATCH(A49,Entities!$A$5:$A$34,0))</f>
        <v>Al-Arabi Investment Group – Palestine</v>
      </c>
      <c r="C49" s="12" t="str">
        <f aca="false">INDEX(Entities!$D$5:$D$34,MATCH(A49,Entities!$A$5:$A$34,0))</f>
        <v>Levant</v>
      </c>
      <c r="D49" s="12" t="s">
        <v>243</v>
      </c>
      <c r="E49" s="12" t="str">
        <f aca="false">INDEX('Risk Taxonomy'!$B$5:$B$24,MATCH(D49,'Risk Taxonomy'!$A$5:$A$24,0))</f>
        <v>Proliferation financing</v>
      </c>
      <c r="F49" s="28" t="n">
        <f aca="false">IFERROR(SUMPRODUCT((Indicators!$B$5:$B$35=F$4)*Indicators!$M$5:$M$35*'Indicator Scores'!$J$5:$J$35)/SUMPRODUCT((Indicators!$B$5:$B$35=F$4)*Indicators!$M$5:$M$35*('Indicator Scores'!$J$5:$J$35&gt;0)),0)</f>
        <v>3.25</v>
      </c>
      <c r="G49" s="28" t="n">
        <f aca="false">IFERROR(SUMPRODUCT((Indicators!$B$5:$B$35=G$4)*Indicators!$M$5:$M$35*'Indicator Scores'!$J$5:$J$35)/SUMPRODUCT((Indicators!$B$5:$B$35=G$4)*Indicators!$M$5:$M$35*('Indicator Scores'!$J$5:$J$35&gt;0)),0)</f>
        <v>4.25</v>
      </c>
      <c r="H49" s="28" t="n">
        <f aca="false">IFERROR(SUMPRODUCT((Indicators!$B$5:$B$35=H$4)*Indicators!$M$5:$M$35*'Indicator Scores'!$J$5:$J$35)/SUMPRODUCT((Indicators!$B$5:$B$35=H$4)*Indicators!$M$5:$M$35*('Indicator Scores'!$J$5:$J$35&gt;0)),0)</f>
        <v>1.44444444444444</v>
      </c>
      <c r="I49" s="28" t="n">
        <f aca="false">IFERROR(SUMPRODUCT((Indicators!$B$5:$B$35=I$4)*Indicators!$M$5:$M$35*'Indicator Scores'!$J$5:$J$35)/SUMPRODUCT((Indicators!$B$5:$B$35=I$4)*Indicators!$M$5:$M$35*('Indicator Scores'!$J$5:$J$35&gt;0)),0)</f>
        <v>3</v>
      </c>
      <c r="J49" s="28" t="n">
        <f aca="false">IFERROR(SUMPRODUCT((Indicators!$B$5:$B$35=J$4)*Indicators!$M$5:$M$35*'Indicator Scores'!$J$5:$J$35)/SUMPRODUCT((Indicators!$B$5:$B$35=J$4)*Indicators!$M$5:$M$35*('Indicator Scores'!$J$5:$J$35&gt;0)),0)</f>
        <v>2</v>
      </c>
      <c r="K49" s="28" t="n">
        <f aca="false">IFERROR(SUMPRODUCT(F49:J49,INDEX('Factor Weights'!$C$5:$G$11,MATCH(D49,'Factor Weights'!$A$5:$A$11,0),0))/SUMPRODUCT((F49:J49&gt;0)*INDEX('Factor Weights'!$C$5:$G$11,MATCH(D49,'Factor Weights'!$A$5:$A$11,0),0)),0)</f>
        <v>2.74583333333333</v>
      </c>
      <c r="L49" s="29" t="n">
        <f aca="false">MAX(F49:J49)</f>
        <v>4.25</v>
      </c>
      <c r="M49" s="28" t="n">
        <f aca="false">IF(L49&gt;=Config!$C$13,MAX(K49,Config!$C$14),K49)</f>
        <v>2.74583333333333</v>
      </c>
      <c r="N49" s="30" t="n">
        <f aca="false">IF(Config!$C$12="Weighted average",K49,IF(Config!$C$12="Weighted with floor",M49,L49))</f>
        <v>2.74583333333333</v>
      </c>
      <c r="O49" s="31" t="n">
        <f aca="false">IF(N49&lt;Config!$D$5,"",MATCH(N49,Config!$D$5:$D$9,1))</f>
        <v>3</v>
      </c>
      <c r="P49" s="7" t="str">
        <f aca="false">IF(O49="","No data",INDEX(Config!$B$5:$B$9,O49))</f>
        <v>Medium</v>
      </c>
      <c r="Q49" s="32" t="n">
        <v>0</v>
      </c>
      <c r="R49" s="8"/>
      <c r="S49" s="33"/>
      <c r="T49" s="34" t="n">
        <f aca="false">IF(O49="","",IF(AND(S49="Y",Q49&lt;&gt;0),MAX(1,MIN(5,O49+MAX(-Config!$C$27,MIN(Config!$C$27,Q49)))),O49))</f>
        <v>3</v>
      </c>
      <c r="U49" s="35" t="str">
        <f aca="false">IF(T49="","No data",INDEX(Config!$B$5:$B$9,T49))</f>
        <v>Medium</v>
      </c>
      <c r="V49" s="7" t="str">
        <f aca="false">IF(Q49=0,"None",IF(S49="Y","Applied","Pending HO approval"))</f>
        <v>None</v>
      </c>
      <c r="W49" s="36" t="n">
        <f aca="false">SUMPRODUCT((Indicators!$M$5:$M$35&gt;0)*('Indicator Data'!$J$5:$J$35&lt;&gt;""))/SUMPRODUCT(--(Indicators!$M$5:$M$35&gt;0))</f>
        <v>1</v>
      </c>
    </row>
    <row r="50" customFormat="false" ht="15" hidden="false" customHeight="false" outlineLevel="0" collapsed="false">
      <c r="A50" s="26" t="str">
        <f aca="false">Entities!$A$11</f>
        <v>PS-INV</v>
      </c>
      <c r="B50" s="12" t="str">
        <f aca="false">INDEX(Entities!$B$5:$B$34,MATCH(A50,Entities!$A$5:$A$34,0))</f>
        <v>Al-Arabi Investment Group – Palestine</v>
      </c>
      <c r="C50" s="12" t="str">
        <f aca="false">INDEX(Entities!$D$5:$D$34,MATCH(A50,Entities!$A$5:$A$34,0))</f>
        <v>Levant</v>
      </c>
      <c r="D50" s="12" t="s">
        <v>245</v>
      </c>
      <c r="E50" s="12" t="str">
        <f aca="false">INDEX('Risk Taxonomy'!$B$5:$B$24,MATCH(D50,'Risk Taxonomy'!$A$5:$A$24,0))</f>
        <v>Sanctions</v>
      </c>
      <c r="F50" s="28" t="n">
        <f aca="false">IFERROR(SUMPRODUCT((Indicators!$B$5:$B$35=F$4)*Indicators!$N$5:$N$35*'Indicator Scores'!$J$5:$J$35)/SUMPRODUCT((Indicators!$B$5:$B$35=F$4)*Indicators!$N$5:$N$35*('Indicator Scores'!$J$5:$J$35&gt;0)),0)</f>
        <v>3.57142857142857</v>
      </c>
      <c r="G50" s="28" t="n">
        <f aca="false">IFERROR(SUMPRODUCT((Indicators!$B$5:$B$35=G$4)*Indicators!$N$5:$N$35*'Indicator Scores'!$J$5:$J$35)/SUMPRODUCT((Indicators!$B$5:$B$35=G$4)*Indicators!$N$5:$N$35*('Indicator Scores'!$J$5:$J$35&gt;0)),0)</f>
        <v>4.28571428571429</v>
      </c>
      <c r="H50" s="28" t="n">
        <f aca="false">IFERROR(SUMPRODUCT((Indicators!$B$5:$B$35=H$4)*Indicators!$N$5:$N$35*'Indicator Scores'!$J$5:$J$35)/SUMPRODUCT((Indicators!$B$5:$B$35=H$4)*Indicators!$N$5:$N$35*('Indicator Scores'!$J$5:$J$35&gt;0)),0)</f>
        <v>1.875</v>
      </c>
      <c r="I50" s="28" t="n">
        <f aca="false">IFERROR(SUMPRODUCT((Indicators!$B$5:$B$35=I$4)*Indicators!$N$5:$N$35*'Indicator Scores'!$J$5:$J$35)/SUMPRODUCT((Indicators!$B$5:$B$35=I$4)*Indicators!$N$5:$N$35*('Indicator Scores'!$J$5:$J$35&gt;0)),0)</f>
        <v>4</v>
      </c>
      <c r="J50" s="28" t="n">
        <f aca="false">IFERROR(SUMPRODUCT((Indicators!$B$5:$B$35=J$4)*Indicators!$N$5:$N$35*'Indicator Scores'!$J$5:$J$35)/SUMPRODUCT((Indicators!$B$5:$B$35=J$4)*Indicators!$N$5:$N$35*('Indicator Scores'!$J$5:$J$35&gt;0)),0)</f>
        <v>1.8</v>
      </c>
      <c r="K50" s="28" t="n">
        <f aca="false">IFERROR(SUMPRODUCT(F50:J50,INDEX('Factor Weights'!$C$5:$G$11,MATCH(D50,'Factor Weights'!$A$5:$A$11,0),0))/SUMPRODUCT((F50:J50&gt;0)*INDEX('Factor Weights'!$C$5:$G$11,MATCH(D50,'Factor Weights'!$A$5:$A$11,0),0)),0)</f>
        <v>3.185</v>
      </c>
      <c r="L50" s="29" t="n">
        <f aca="false">MAX(F50:J50)</f>
        <v>4.28571428571429</v>
      </c>
      <c r="M50" s="28" t="n">
        <f aca="false">IF(L50&gt;=Config!$C$13,MAX(K50,Config!$C$14),K50)</f>
        <v>3.185</v>
      </c>
      <c r="N50" s="30" t="n">
        <f aca="false">IF(Config!$C$12="Weighted average",K50,IF(Config!$C$12="Weighted with floor",M50,L50))</f>
        <v>3.185</v>
      </c>
      <c r="O50" s="31" t="n">
        <f aca="false">IF(N50&lt;Config!$D$5,"",MATCH(N50,Config!$D$5:$D$9,1))</f>
        <v>3</v>
      </c>
      <c r="P50" s="7" t="str">
        <f aca="false">IF(O50="","No data",INDEX(Config!$B$5:$B$9,O50))</f>
        <v>Medium</v>
      </c>
      <c r="Q50" s="32" t="n">
        <v>0</v>
      </c>
      <c r="R50" s="8"/>
      <c r="S50" s="33"/>
      <c r="T50" s="34" t="n">
        <f aca="false">IF(O50="","",IF(AND(S50="Y",Q50&lt;&gt;0),MAX(1,MIN(5,O50+MAX(-Config!$C$27,MIN(Config!$C$27,Q50)))),O50))</f>
        <v>3</v>
      </c>
      <c r="U50" s="35" t="str">
        <f aca="false">IF(T50="","No data",INDEX(Config!$B$5:$B$9,T50))</f>
        <v>Medium</v>
      </c>
      <c r="V50" s="7" t="str">
        <f aca="false">IF(Q50=0,"None",IF(S50="Y","Applied","Pending HO approval"))</f>
        <v>None</v>
      </c>
      <c r="W50" s="36" t="n">
        <f aca="false">SUMPRODUCT((Indicators!$N$5:$N$35&gt;0)*('Indicator Data'!$J$5:$J$35&lt;&gt;""))/SUMPRODUCT(--(Indicators!$N$5:$N$35&gt;0))</f>
        <v>1</v>
      </c>
    </row>
    <row r="51" customFormat="false" ht="15" hidden="false" customHeight="false" outlineLevel="0" collapsed="false">
      <c r="A51" s="26" t="str">
        <f aca="false">Entities!$A$11</f>
        <v>PS-INV</v>
      </c>
      <c r="B51" s="12" t="str">
        <f aca="false">INDEX(Entities!$B$5:$B$34,MATCH(A51,Entities!$A$5:$A$34,0))</f>
        <v>Al-Arabi Investment Group – Palestine</v>
      </c>
      <c r="C51" s="12" t="str">
        <f aca="false">INDEX(Entities!$D$5:$D$34,MATCH(A51,Entities!$A$5:$A$34,0))</f>
        <v>Levant</v>
      </c>
      <c r="D51" s="12" t="s">
        <v>248</v>
      </c>
      <c r="E51" s="12" t="str">
        <f aca="false">INDEX('Risk Taxonomy'!$B$5:$B$24,MATCH(D51,'Risk Taxonomy'!$A$5:$A$24,0))</f>
        <v>Bribery and corruption</v>
      </c>
      <c r="F51" s="28" t="n">
        <f aca="false">IFERROR(SUMPRODUCT((Indicators!$B$5:$B$35=F$4)*Indicators!$O$5:$O$35*'Indicator Scores'!$J$5:$J$35)/SUMPRODUCT((Indicators!$B$5:$B$35=F$4)*Indicators!$O$5:$O$35*('Indicator Scores'!$J$5:$J$35&gt;0)),0)</f>
        <v>3.44444444444444</v>
      </c>
      <c r="G51" s="28" t="n">
        <f aca="false">IFERROR(SUMPRODUCT((Indicators!$B$5:$B$35=G$4)*Indicators!$O$5:$O$35*'Indicator Scores'!$J$5:$J$35)/SUMPRODUCT((Indicators!$B$5:$B$35=G$4)*Indicators!$O$5:$O$35*('Indicator Scores'!$J$5:$J$35&gt;0)),0)</f>
        <v>4.2</v>
      </c>
      <c r="H51" s="28" t="n">
        <f aca="false">IFERROR(SUMPRODUCT((Indicators!$B$5:$B$35=H$4)*Indicators!$O$5:$O$35*'Indicator Scores'!$J$5:$J$35)/SUMPRODUCT((Indicators!$B$5:$B$35=H$4)*Indicators!$O$5:$O$35*('Indicator Scores'!$J$5:$J$35&gt;0)),0)</f>
        <v>2.5</v>
      </c>
      <c r="I51" s="28" t="n">
        <f aca="false">IFERROR(SUMPRODUCT((Indicators!$B$5:$B$35=I$4)*Indicators!$O$5:$O$35*'Indicator Scores'!$J$5:$J$35)/SUMPRODUCT((Indicators!$B$5:$B$35=I$4)*Indicators!$O$5:$O$35*('Indicator Scores'!$J$5:$J$35&gt;0)),0)</f>
        <v>3.8</v>
      </c>
      <c r="J51" s="28" t="n">
        <f aca="false">IFERROR(SUMPRODUCT((Indicators!$B$5:$B$35=J$4)*Indicators!$O$5:$O$35*'Indicator Scores'!$J$5:$J$35)/SUMPRODUCT((Indicators!$B$5:$B$35=J$4)*Indicators!$O$5:$O$35*('Indicator Scores'!$J$5:$J$35&gt;0)),0)</f>
        <v>3</v>
      </c>
      <c r="K51" s="28" t="n">
        <f aca="false">IFERROR(SUMPRODUCT(F51:J51,INDEX('Factor Weights'!$C$5:$G$11,MATCH(D51,'Factor Weights'!$A$5:$A$11,0),0))/SUMPRODUCT((F51:J51&gt;0)*INDEX('Factor Weights'!$C$5:$G$11,MATCH(D51,'Factor Weights'!$A$5:$A$11,0),0)),0)</f>
        <v>3.51833333333333</v>
      </c>
      <c r="L51" s="29" t="n">
        <f aca="false">MAX(F51:J51)</f>
        <v>4.2</v>
      </c>
      <c r="M51" s="28" t="n">
        <f aca="false">IF(L51&gt;=Config!$C$13,MAX(K51,Config!$C$14),K51)</f>
        <v>3.51833333333333</v>
      </c>
      <c r="N51" s="30" t="n">
        <f aca="false">IF(Config!$C$12="Weighted average",K51,IF(Config!$C$12="Weighted with floor",M51,L51))</f>
        <v>3.51833333333333</v>
      </c>
      <c r="O51" s="31" t="n">
        <f aca="false">IF(N51&lt;Config!$D$5,"",MATCH(N51,Config!$D$5:$D$9,1))</f>
        <v>4</v>
      </c>
      <c r="P51" s="7" t="str">
        <f aca="false">IF(O51="","No data",INDEX(Config!$B$5:$B$9,O51))</f>
        <v>Medium-High</v>
      </c>
      <c r="Q51" s="32" t="n">
        <v>0</v>
      </c>
      <c r="R51" s="8"/>
      <c r="S51" s="33"/>
      <c r="T51" s="34" t="n">
        <f aca="false">IF(O51="","",IF(AND(S51="Y",Q51&lt;&gt;0),MAX(1,MIN(5,O51+MAX(-Config!$C$27,MIN(Config!$C$27,Q51)))),O51))</f>
        <v>4</v>
      </c>
      <c r="U51" s="35" t="str">
        <f aca="false">IF(T51="","No data",INDEX(Config!$B$5:$B$9,T51))</f>
        <v>Medium-High</v>
      </c>
      <c r="V51" s="7" t="str">
        <f aca="false">IF(Q51=0,"None",IF(S51="Y","Applied","Pending HO approval"))</f>
        <v>None</v>
      </c>
      <c r="W51" s="36" t="n">
        <f aca="false">SUMPRODUCT((Indicators!$O$5:$O$35&gt;0)*('Indicator Data'!$J$5:$J$35&lt;&gt;""))/SUMPRODUCT(--(Indicators!$O$5:$O$35&gt;0))</f>
        <v>1</v>
      </c>
    </row>
    <row r="52" customFormat="false" ht="15" hidden="false" customHeight="false" outlineLevel="0" collapsed="false">
      <c r="A52" s="26" t="str">
        <f aca="false">Entities!$A$11</f>
        <v>PS-INV</v>
      </c>
      <c r="B52" s="12" t="str">
        <f aca="false">INDEX(Entities!$B$5:$B$34,MATCH(A52,Entities!$A$5:$A$34,0))</f>
        <v>Al-Arabi Investment Group – Palestine</v>
      </c>
      <c r="C52" s="12" t="str">
        <f aca="false">INDEX(Entities!$D$5:$D$34,MATCH(A52,Entities!$A$5:$A$34,0))</f>
        <v>Levant</v>
      </c>
      <c r="D52" s="12" t="s">
        <v>251</v>
      </c>
      <c r="E52" s="12" t="str">
        <f aca="false">INDEX('Risk Taxonomy'!$B$5:$B$24,MATCH(D52,'Risk Taxonomy'!$A$5:$A$24,0))</f>
        <v>Fraud</v>
      </c>
      <c r="F52" s="28" t="n">
        <f aca="false">IFERROR(SUMPRODUCT((Indicators!$B$5:$B$35=F$4)*Indicators!$P$5:$P$35*'Indicator Scores'!$J$5:$J$35)/SUMPRODUCT((Indicators!$B$5:$B$35=F$4)*Indicators!$P$5:$P$35*('Indicator Scores'!$J$5:$J$35&gt;0)),0)</f>
        <v>4</v>
      </c>
      <c r="G52" s="28" t="n">
        <f aca="false">IFERROR(SUMPRODUCT((Indicators!$B$5:$B$35=G$4)*Indicators!$P$5:$P$35*'Indicator Scores'!$J$5:$J$35)/SUMPRODUCT((Indicators!$B$5:$B$35=G$4)*Indicators!$P$5:$P$35*('Indicator Scores'!$J$5:$J$35&gt;0)),0)</f>
        <v>4.5</v>
      </c>
      <c r="H52" s="28" t="n">
        <f aca="false">IFERROR(SUMPRODUCT((Indicators!$B$5:$B$35=H$4)*Indicators!$P$5:$P$35*'Indicator Scores'!$J$5:$J$35)/SUMPRODUCT((Indicators!$B$5:$B$35=H$4)*Indicators!$P$5:$P$35*('Indicator Scores'!$J$5:$J$35&gt;0)),0)</f>
        <v>2.6</v>
      </c>
      <c r="I52" s="28" t="n">
        <f aca="false">IFERROR(SUMPRODUCT((Indicators!$B$5:$B$35=I$4)*Indicators!$P$5:$P$35*'Indicator Scores'!$J$5:$J$35)/SUMPRODUCT((Indicators!$B$5:$B$35=I$4)*Indicators!$P$5:$P$35*('Indicator Scores'!$J$5:$J$35&gt;0)),0)</f>
        <v>3.11111111111111</v>
      </c>
      <c r="J52" s="28" t="n">
        <f aca="false">IFERROR(SUMPRODUCT((Indicators!$B$5:$B$35=J$4)*Indicators!$P$5:$P$35*'Indicator Scores'!$J$5:$J$35)/SUMPRODUCT((Indicators!$B$5:$B$35=J$4)*Indicators!$P$5:$P$35*('Indicator Scores'!$J$5:$J$35&gt;0)),0)</f>
        <v>3.2</v>
      </c>
      <c r="K52" s="28" t="n">
        <f aca="false">IFERROR(SUMPRODUCT(F52:J52,INDEX('Factor Weights'!$C$5:$G$11,MATCH(D52,'Factor Weights'!$A$5:$A$11,0),0))/SUMPRODUCT((F52:J52&gt;0)*INDEX('Factor Weights'!$C$5:$G$11,MATCH(D52,'Factor Weights'!$A$5:$A$11,0),0)),0)</f>
        <v>3.34333333333333</v>
      </c>
      <c r="L52" s="29" t="n">
        <f aca="false">MAX(F52:J52)</f>
        <v>4.5</v>
      </c>
      <c r="M52" s="28" t="n">
        <f aca="false">IF(L52&gt;=Config!$C$13,MAX(K52,Config!$C$14),K52)</f>
        <v>3.34333333333333</v>
      </c>
      <c r="N52" s="30" t="n">
        <f aca="false">IF(Config!$C$12="Weighted average",K52,IF(Config!$C$12="Weighted with floor",M52,L52))</f>
        <v>3.34333333333333</v>
      </c>
      <c r="O52" s="31" t="n">
        <f aca="false">IF(N52&lt;Config!$D$5,"",MATCH(N52,Config!$D$5:$D$9,1))</f>
        <v>3</v>
      </c>
      <c r="P52" s="7" t="str">
        <f aca="false">IF(O52="","No data",INDEX(Config!$B$5:$B$9,O52))</f>
        <v>Medium</v>
      </c>
      <c r="Q52" s="32" t="n">
        <v>0</v>
      </c>
      <c r="R52" s="8"/>
      <c r="S52" s="33"/>
      <c r="T52" s="34" t="n">
        <f aca="false">IF(O52="","",IF(AND(S52="Y",Q52&lt;&gt;0),MAX(1,MIN(5,O52+MAX(-Config!$C$27,MIN(Config!$C$27,Q52)))),O52))</f>
        <v>3</v>
      </c>
      <c r="U52" s="35" t="str">
        <f aca="false">IF(T52="","No data",INDEX(Config!$B$5:$B$9,T52))</f>
        <v>Medium</v>
      </c>
      <c r="V52" s="7" t="str">
        <f aca="false">IF(Q52=0,"None",IF(S52="Y","Applied","Pending HO approval"))</f>
        <v>None</v>
      </c>
      <c r="W52" s="36" t="n">
        <f aca="false">SUMPRODUCT((Indicators!$P$5:$P$35&gt;0)*('Indicator Data'!$J$5:$J$35&lt;&gt;""))/SUMPRODUCT(--(Indicators!$P$5:$P$35&gt;0))</f>
        <v>1</v>
      </c>
    </row>
    <row r="53" customFormat="false" ht="15" hidden="false" customHeight="false" outlineLevel="0" collapsed="false">
      <c r="A53" s="26" t="str">
        <f aca="false">Entities!$A$11</f>
        <v>PS-INV</v>
      </c>
      <c r="B53" s="12" t="str">
        <f aca="false">INDEX(Entities!$B$5:$B$34,MATCH(A53,Entities!$A$5:$A$34,0))</f>
        <v>Al-Arabi Investment Group – Palestine</v>
      </c>
      <c r="C53" s="12" t="str">
        <f aca="false">INDEX(Entities!$D$5:$D$34,MATCH(A53,Entities!$A$5:$A$34,0))</f>
        <v>Levant</v>
      </c>
      <c r="D53" s="12" t="s">
        <v>254</v>
      </c>
      <c r="E53" s="12" t="str">
        <f aca="false">INDEX('Risk Taxonomy'!$B$5:$B$24,MATCH(D53,'Risk Taxonomy'!$A$5:$A$24,0))</f>
        <v>Tax evasion and tax transparency</v>
      </c>
      <c r="F53" s="28" t="n">
        <f aca="false">IFERROR(SUMPRODUCT((Indicators!$B$5:$B$35=F$4)*Indicators!$Q$5:$Q$35*'Indicator Scores'!$J$5:$J$35)/SUMPRODUCT((Indicators!$B$5:$B$35=F$4)*Indicators!$Q$5:$Q$35*('Indicator Scores'!$J$5:$J$35&gt;0)),0)</f>
        <v>3.77777777777778</v>
      </c>
      <c r="G53" s="28" t="n">
        <f aca="false">IFERROR(SUMPRODUCT((Indicators!$B$5:$B$35=G$4)*Indicators!$Q$5:$Q$35*'Indicator Scores'!$J$5:$J$35)/SUMPRODUCT((Indicators!$B$5:$B$35=G$4)*Indicators!$Q$5:$Q$35*('Indicator Scores'!$J$5:$J$35&gt;0)),0)</f>
        <v>4.66666666666667</v>
      </c>
      <c r="H53" s="28" t="n">
        <f aca="false">IFERROR(SUMPRODUCT((Indicators!$B$5:$B$35=H$4)*Indicators!$Q$5:$Q$35*'Indicator Scores'!$J$5:$J$35)/SUMPRODUCT((Indicators!$B$5:$B$35=H$4)*Indicators!$Q$5:$Q$35*('Indicator Scores'!$J$5:$J$35&gt;0)),0)</f>
        <v>3.83333333333333</v>
      </c>
      <c r="I53" s="28" t="n">
        <f aca="false">IFERROR(SUMPRODUCT((Indicators!$B$5:$B$35=I$4)*Indicators!$Q$5:$Q$35*'Indicator Scores'!$J$5:$J$35)/SUMPRODUCT((Indicators!$B$5:$B$35=I$4)*Indicators!$Q$5:$Q$35*('Indicator Scores'!$J$5:$J$35&gt;0)),0)</f>
        <v>2.5</v>
      </c>
      <c r="J53" s="28" t="n">
        <f aca="false">IFERROR(SUMPRODUCT((Indicators!$B$5:$B$35=J$4)*Indicators!$Q$5:$Q$35*'Indicator Scores'!$J$5:$J$35)/SUMPRODUCT((Indicators!$B$5:$B$35=J$4)*Indicators!$Q$5:$Q$35*('Indicator Scores'!$J$5:$J$35&gt;0)),0)</f>
        <v>3.8</v>
      </c>
      <c r="K53" s="28" t="n">
        <f aca="false">IFERROR(SUMPRODUCT(F53:J53,INDEX('Factor Weights'!$C$5:$G$11,MATCH(D53,'Factor Weights'!$A$5:$A$11,0),0))/SUMPRODUCT((F53:J53&gt;0)*INDEX('Factor Weights'!$C$5:$G$11,MATCH(D53,'Factor Weights'!$A$5:$A$11,0),0)),0)</f>
        <v>3.88555555555556</v>
      </c>
      <c r="L53" s="29" t="n">
        <f aca="false">MAX(F53:J53)</f>
        <v>4.66666666666667</v>
      </c>
      <c r="M53" s="28" t="n">
        <f aca="false">IF(L53&gt;=Config!$C$13,MAX(K53,Config!$C$14),K53)</f>
        <v>3.88555555555556</v>
      </c>
      <c r="N53" s="30" t="n">
        <f aca="false">IF(Config!$C$12="Weighted average",K53,IF(Config!$C$12="Weighted with floor",M53,L53))</f>
        <v>3.88555555555556</v>
      </c>
      <c r="O53" s="31" t="n">
        <f aca="false">IF(N53&lt;Config!$D$5,"",MATCH(N53,Config!$D$5:$D$9,1))</f>
        <v>4</v>
      </c>
      <c r="P53" s="7" t="str">
        <f aca="false">IF(O53="","No data",INDEX(Config!$B$5:$B$9,O53))</f>
        <v>Medium-High</v>
      </c>
      <c r="Q53" s="32" t="n">
        <v>0</v>
      </c>
      <c r="R53" s="8"/>
      <c r="S53" s="33"/>
      <c r="T53" s="34" t="n">
        <f aca="false">IF(O53="","",IF(AND(S53="Y",Q53&lt;&gt;0),MAX(1,MIN(5,O53+MAX(-Config!$C$27,MIN(Config!$C$27,Q53)))),O53))</f>
        <v>4</v>
      </c>
      <c r="U53" s="35" t="str">
        <f aca="false">IF(T53="","No data",INDEX(Config!$B$5:$B$9,T53))</f>
        <v>Medium-High</v>
      </c>
      <c r="V53" s="7" t="str">
        <f aca="false">IF(Q53=0,"None",IF(S53="Y","Applied","Pending HO approval"))</f>
        <v>None</v>
      </c>
      <c r="W53" s="36" t="n">
        <f aca="false">SUMPRODUCT((Indicators!$Q$5:$Q$35&gt;0)*('Indicator Data'!$J$5:$J$35&lt;&gt;""))/SUMPRODUCT(--(Indicators!$Q$5:$Q$35&gt;0))</f>
        <v>1</v>
      </c>
    </row>
    <row r="54" customFormat="false" ht="15" hidden="false" customHeight="false" outlineLevel="0" collapsed="false">
      <c r="A54" s="26" t="str">
        <f aca="false">Entities!$A$12</f>
        <v>LB</v>
      </c>
      <c r="B54" s="12" t="str">
        <f aca="false">INDEX(Entities!$B$5:$B$34,MATCH(A54,Entities!$A$5:$A$34,0))</f>
        <v>Arab Bank – Lebanon</v>
      </c>
      <c r="C54" s="12" t="str">
        <f aca="false">INDEX(Entities!$D$5:$D$34,MATCH(A54,Entities!$A$5:$A$34,0))</f>
        <v>Levant</v>
      </c>
      <c r="D54" s="12" t="s">
        <v>233</v>
      </c>
      <c r="E54" s="12" t="str">
        <f aca="false">INDEX('Risk Taxonomy'!$B$5:$B$24,MATCH(D54,'Risk Taxonomy'!$A$5:$A$24,0))</f>
        <v>Money laundering</v>
      </c>
      <c r="F54" s="28" t="n">
        <f aca="false">IFERROR(SUMPRODUCT((Indicators!$B$5:$B$35=F$4)*Indicators!$K$5:$K$35*'Indicator Scores'!$K$5:$K$35)/SUMPRODUCT((Indicators!$B$5:$B$35=F$4)*Indicators!$K$5:$K$35*('Indicator Scores'!$K$5:$K$35&gt;0)),0)</f>
        <v>3.66666666666667</v>
      </c>
      <c r="G54" s="28" t="n">
        <f aca="false">IFERROR(SUMPRODUCT((Indicators!$B$5:$B$35=G$4)*Indicators!$K$5:$K$35*'Indicator Scores'!$K$5:$K$35)/SUMPRODUCT((Indicators!$B$5:$B$35=G$4)*Indicators!$K$5:$K$35*('Indicator Scores'!$K$5:$K$35&gt;0)),0)</f>
        <v>3.88888888888889</v>
      </c>
      <c r="H54" s="28" t="n">
        <f aca="false">IFERROR(SUMPRODUCT((Indicators!$B$5:$B$35=H$4)*Indicators!$K$5:$K$35*'Indicator Scores'!$K$5:$K$35)/SUMPRODUCT((Indicators!$B$5:$B$35=H$4)*Indicators!$K$5:$K$35*('Indicator Scores'!$K$5:$K$35&gt;0)),0)</f>
        <v>3.4</v>
      </c>
      <c r="I54" s="28" t="n">
        <f aca="false">IFERROR(SUMPRODUCT((Indicators!$B$5:$B$35=I$4)*Indicators!$K$5:$K$35*'Indicator Scores'!$K$5:$K$35)/SUMPRODUCT((Indicators!$B$5:$B$35=I$4)*Indicators!$K$5:$K$35*('Indicator Scores'!$K$5:$K$35&gt;0)),0)</f>
        <v>4.28571428571429</v>
      </c>
      <c r="J54" s="28" t="n">
        <f aca="false">IFERROR(SUMPRODUCT((Indicators!$B$5:$B$35=J$4)*Indicators!$K$5:$K$35*'Indicator Scores'!$K$5:$K$35)/SUMPRODUCT((Indicators!$B$5:$B$35=J$4)*Indicators!$K$5:$K$35*('Indicator Scores'!$K$5:$K$35&gt;0)),0)</f>
        <v>3.9</v>
      </c>
      <c r="K54" s="28" t="n">
        <f aca="false">IFERROR(SUMPRODUCT(F54:J54,INDEX('Factor Weights'!$C$5:$G$11,MATCH(D54,'Factor Weights'!$A$5:$A$11,0),0))/SUMPRODUCT((F54:J54&gt;0)*INDEX('Factor Weights'!$C$5:$G$11,MATCH(D54,'Factor Weights'!$A$5:$A$11,0),0)),0)</f>
        <v>3.78507936507937</v>
      </c>
      <c r="L54" s="29" t="n">
        <f aca="false">MAX(F54:J54)</f>
        <v>4.28571428571429</v>
      </c>
      <c r="M54" s="28" t="n">
        <f aca="false">IF(L54&gt;=Config!$C$13,MAX(K54,Config!$C$14),K54)</f>
        <v>3.78507936507937</v>
      </c>
      <c r="N54" s="30" t="n">
        <f aca="false">IF(Config!$C$12="Weighted average",K54,IF(Config!$C$12="Weighted with floor",M54,L54))</f>
        <v>3.78507936507937</v>
      </c>
      <c r="O54" s="31" t="n">
        <f aca="false">IF(N54&lt;Config!$D$5,"",MATCH(N54,Config!$D$5:$D$9,1))</f>
        <v>4</v>
      </c>
      <c r="P54" s="7" t="str">
        <f aca="false">IF(O54="","No data",INDEX(Config!$B$5:$B$9,O54))</f>
        <v>Medium-High</v>
      </c>
      <c r="Q54" s="32" t="n">
        <v>0</v>
      </c>
      <c r="R54" s="8"/>
      <c r="S54" s="33"/>
      <c r="T54" s="34" t="n">
        <f aca="false">IF(O54="","",IF(AND(S54="Y",Q54&lt;&gt;0),MAX(1,MIN(5,O54+MAX(-Config!$C$27,MIN(Config!$C$27,Q54)))),O54))</f>
        <v>4</v>
      </c>
      <c r="U54" s="35" t="str">
        <f aca="false">IF(T54="","No data",INDEX(Config!$B$5:$B$9,T54))</f>
        <v>Medium-High</v>
      </c>
      <c r="V54" s="7" t="str">
        <f aca="false">IF(Q54=0,"None",IF(S54="Y","Applied","Pending HO approval"))</f>
        <v>None</v>
      </c>
      <c r="W54" s="36" t="n">
        <f aca="false">SUMPRODUCT((Indicators!$K$5:$K$35&gt;0)*('Indicator Data'!$K$5:$K$35&lt;&gt;""))/SUMPRODUCT(--(Indicators!$K$5:$K$35&gt;0))</f>
        <v>1</v>
      </c>
    </row>
    <row r="55" customFormat="false" ht="15" hidden="false" customHeight="false" outlineLevel="0" collapsed="false">
      <c r="A55" s="26" t="str">
        <f aca="false">Entities!$A$12</f>
        <v>LB</v>
      </c>
      <c r="B55" s="12" t="str">
        <f aca="false">INDEX(Entities!$B$5:$B$34,MATCH(A55,Entities!$A$5:$A$34,0))</f>
        <v>Arab Bank – Lebanon</v>
      </c>
      <c r="C55" s="12" t="str">
        <f aca="false">INDEX(Entities!$D$5:$D$34,MATCH(A55,Entities!$A$5:$A$34,0))</f>
        <v>Levant</v>
      </c>
      <c r="D55" s="12" t="s">
        <v>240</v>
      </c>
      <c r="E55" s="12" t="str">
        <f aca="false">INDEX('Risk Taxonomy'!$B$5:$B$24,MATCH(D55,'Risk Taxonomy'!$A$5:$A$24,0))</f>
        <v>Terrorist financing</v>
      </c>
      <c r="F55" s="28" t="n">
        <f aca="false">IFERROR(SUMPRODUCT((Indicators!$B$5:$B$35=F$4)*Indicators!$L$5:$L$35*'Indicator Scores'!$K$5:$K$35)/SUMPRODUCT((Indicators!$B$5:$B$35=F$4)*Indicators!$L$5:$L$35*('Indicator Scores'!$K$5:$K$35&gt;0)),0)</f>
        <v>3.4</v>
      </c>
      <c r="G55" s="28" t="n">
        <f aca="false">IFERROR(SUMPRODUCT((Indicators!$B$5:$B$35=G$4)*Indicators!$L$5:$L$35*'Indicator Scores'!$K$5:$K$35)/SUMPRODUCT((Indicators!$B$5:$B$35=G$4)*Indicators!$L$5:$L$35*('Indicator Scores'!$K$5:$K$35&gt;0)),0)</f>
        <v>3.88888888888889</v>
      </c>
      <c r="H55" s="28" t="n">
        <f aca="false">IFERROR(SUMPRODUCT((Indicators!$B$5:$B$35=H$4)*Indicators!$L$5:$L$35*'Indicator Scores'!$K$5:$K$35)/SUMPRODUCT((Indicators!$B$5:$B$35=H$4)*Indicators!$L$5:$L$35*('Indicator Scores'!$K$5:$K$35&gt;0)),0)</f>
        <v>3.33333333333333</v>
      </c>
      <c r="I55" s="28" t="n">
        <f aca="false">IFERROR(SUMPRODUCT((Indicators!$B$5:$B$35=I$4)*Indicators!$L$5:$L$35*'Indicator Scores'!$K$5:$K$35)/SUMPRODUCT((Indicators!$B$5:$B$35=I$4)*Indicators!$L$5:$L$35*('Indicator Scores'!$K$5:$K$35&gt;0)),0)</f>
        <v>4.16666666666667</v>
      </c>
      <c r="J55" s="28" t="n">
        <f aca="false">IFERROR(SUMPRODUCT((Indicators!$B$5:$B$35=J$4)*Indicators!$L$5:$L$35*'Indicator Scores'!$K$5:$K$35)/SUMPRODUCT((Indicators!$B$5:$B$35=J$4)*Indicators!$L$5:$L$35*('Indicator Scores'!$K$5:$K$35&gt;0)),0)</f>
        <v>4</v>
      </c>
      <c r="K55" s="28" t="n">
        <f aca="false">IFERROR(SUMPRODUCT(F55:J55,INDEX('Factor Weights'!$C$5:$G$11,MATCH(D55,'Factor Weights'!$A$5:$A$11,0),0))/SUMPRODUCT((F55:J55&gt;0)*INDEX('Factor Weights'!$C$5:$G$11,MATCH(D55,'Factor Weights'!$A$5:$A$11,0),0)),0)</f>
        <v>3.73333333333333</v>
      </c>
      <c r="L55" s="29" t="n">
        <f aca="false">MAX(F55:J55)</f>
        <v>4.16666666666667</v>
      </c>
      <c r="M55" s="28" t="n">
        <f aca="false">IF(L55&gt;=Config!$C$13,MAX(K55,Config!$C$14),K55)</f>
        <v>3.73333333333333</v>
      </c>
      <c r="N55" s="30" t="n">
        <f aca="false">IF(Config!$C$12="Weighted average",K55,IF(Config!$C$12="Weighted with floor",M55,L55))</f>
        <v>3.73333333333333</v>
      </c>
      <c r="O55" s="31" t="n">
        <f aca="false">IF(N55&lt;Config!$D$5,"",MATCH(N55,Config!$D$5:$D$9,1))</f>
        <v>4</v>
      </c>
      <c r="P55" s="7" t="str">
        <f aca="false">IF(O55="","No data",INDEX(Config!$B$5:$B$9,O55))</f>
        <v>Medium-High</v>
      </c>
      <c r="Q55" s="32" t="n">
        <v>0</v>
      </c>
      <c r="R55" s="8"/>
      <c r="S55" s="33"/>
      <c r="T55" s="34" t="n">
        <f aca="false">IF(O55="","",IF(AND(S55="Y",Q55&lt;&gt;0),MAX(1,MIN(5,O55+MAX(-Config!$C$27,MIN(Config!$C$27,Q55)))),O55))</f>
        <v>4</v>
      </c>
      <c r="U55" s="35" t="str">
        <f aca="false">IF(T55="","No data",INDEX(Config!$B$5:$B$9,T55))</f>
        <v>Medium-High</v>
      </c>
      <c r="V55" s="7" t="str">
        <f aca="false">IF(Q55=0,"None",IF(S55="Y","Applied","Pending HO approval"))</f>
        <v>None</v>
      </c>
      <c r="W55" s="36" t="n">
        <f aca="false">SUMPRODUCT((Indicators!$L$5:$L$35&gt;0)*('Indicator Data'!$K$5:$K$35&lt;&gt;""))/SUMPRODUCT(--(Indicators!$L$5:$L$35&gt;0))</f>
        <v>1</v>
      </c>
    </row>
    <row r="56" customFormat="false" ht="15" hidden="false" customHeight="false" outlineLevel="0" collapsed="false">
      <c r="A56" s="26" t="str">
        <f aca="false">Entities!$A$12</f>
        <v>LB</v>
      </c>
      <c r="B56" s="12" t="str">
        <f aca="false">INDEX(Entities!$B$5:$B$34,MATCH(A56,Entities!$A$5:$A$34,0))</f>
        <v>Arab Bank – Lebanon</v>
      </c>
      <c r="C56" s="12" t="str">
        <f aca="false">INDEX(Entities!$D$5:$D$34,MATCH(A56,Entities!$A$5:$A$34,0))</f>
        <v>Levant</v>
      </c>
      <c r="D56" s="12" t="s">
        <v>243</v>
      </c>
      <c r="E56" s="12" t="str">
        <f aca="false">INDEX('Risk Taxonomy'!$B$5:$B$24,MATCH(D56,'Risk Taxonomy'!$A$5:$A$24,0))</f>
        <v>Proliferation financing</v>
      </c>
      <c r="F56" s="28" t="n">
        <f aca="false">IFERROR(SUMPRODUCT((Indicators!$B$5:$B$35=F$4)*Indicators!$M$5:$M$35*'Indicator Scores'!$K$5:$K$35)/SUMPRODUCT((Indicators!$B$5:$B$35=F$4)*Indicators!$M$5:$M$35*('Indicator Scores'!$K$5:$K$35&gt;0)),0)</f>
        <v>4</v>
      </c>
      <c r="G56" s="28" t="n">
        <f aca="false">IFERROR(SUMPRODUCT((Indicators!$B$5:$B$35=G$4)*Indicators!$M$5:$M$35*'Indicator Scores'!$K$5:$K$35)/SUMPRODUCT((Indicators!$B$5:$B$35=G$4)*Indicators!$M$5:$M$35*('Indicator Scores'!$K$5:$K$35&gt;0)),0)</f>
        <v>3.75</v>
      </c>
      <c r="H56" s="28" t="n">
        <f aca="false">IFERROR(SUMPRODUCT((Indicators!$B$5:$B$35=H$4)*Indicators!$M$5:$M$35*'Indicator Scores'!$K$5:$K$35)/SUMPRODUCT((Indicators!$B$5:$B$35=H$4)*Indicators!$M$5:$M$35*('Indicator Scores'!$K$5:$K$35&gt;0)),0)</f>
        <v>3.44444444444444</v>
      </c>
      <c r="I56" s="28" t="n">
        <f aca="false">IFERROR(SUMPRODUCT((Indicators!$B$5:$B$35=I$4)*Indicators!$M$5:$M$35*'Indicator Scores'!$K$5:$K$35)/SUMPRODUCT((Indicators!$B$5:$B$35=I$4)*Indicators!$M$5:$M$35*('Indicator Scores'!$K$5:$K$35&gt;0)),0)</f>
        <v>4.33333333333333</v>
      </c>
      <c r="J56" s="28" t="n">
        <f aca="false">IFERROR(SUMPRODUCT((Indicators!$B$5:$B$35=J$4)*Indicators!$M$5:$M$35*'Indicator Scores'!$K$5:$K$35)/SUMPRODUCT((Indicators!$B$5:$B$35=J$4)*Indicators!$M$5:$M$35*('Indicator Scores'!$K$5:$K$35&gt;0)),0)</f>
        <v>5</v>
      </c>
      <c r="K56" s="28" t="n">
        <f aca="false">IFERROR(SUMPRODUCT(F56:J56,INDEX('Factor Weights'!$C$5:$G$11,MATCH(D56,'Factor Weights'!$A$5:$A$11,0),0))/SUMPRODUCT((F56:J56&gt;0)*INDEX('Factor Weights'!$C$5:$G$11,MATCH(D56,'Factor Weights'!$A$5:$A$11,0),0)),0)</f>
        <v>3.975</v>
      </c>
      <c r="L56" s="29" t="n">
        <f aca="false">MAX(F56:J56)</f>
        <v>5</v>
      </c>
      <c r="M56" s="28" t="n">
        <f aca="false">IF(L56&gt;=Config!$C$13,MAX(K56,Config!$C$14),K56)</f>
        <v>4</v>
      </c>
      <c r="N56" s="30" t="n">
        <f aca="false">IF(Config!$C$12="Weighted average",K56,IF(Config!$C$12="Weighted with floor",M56,L56))</f>
        <v>4</v>
      </c>
      <c r="O56" s="31" t="n">
        <f aca="false">IF(N56&lt;Config!$D$5,"",MATCH(N56,Config!$D$5:$D$9,1))</f>
        <v>4</v>
      </c>
      <c r="P56" s="7" t="str">
        <f aca="false">IF(O56="","No data",INDEX(Config!$B$5:$B$9,O56))</f>
        <v>Medium-High</v>
      </c>
      <c r="Q56" s="32" t="n">
        <v>0</v>
      </c>
      <c r="R56" s="8"/>
      <c r="S56" s="33"/>
      <c r="T56" s="34" t="n">
        <f aca="false">IF(O56="","",IF(AND(S56="Y",Q56&lt;&gt;0),MAX(1,MIN(5,O56+MAX(-Config!$C$27,MIN(Config!$C$27,Q56)))),O56))</f>
        <v>4</v>
      </c>
      <c r="U56" s="35" t="str">
        <f aca="false">IF(T56="","No data",INDEX(Config!$B$5:$B$9,T56))</f>
        <v>Medium-High</v>
      </c>
      <c r="V56" s="7" t="str">
        <f aca="false">IF(Q56=0,"None",IF(S56="Y","Applied","Pending HO approval"))</f>
        <v>None</v>
      </c>
      <c r="W56" s="36" t="n">
        <f aca="false">SUMPRODUCT((Indicators!$M$5:$M$35&gt;0)*('Indicator Data'!$K$5:$K$35&lt;&gt;""))/SUMPRODUCT(--(Indicators!$M$5:$M$35&gt;0))</f>
        <v>1</v>
      </c>
    </row>
    <row r="57" customFormat="false" ht="15" hidden="false" customHeight="false" outlineLevel="0" collapsed="false">
      <c r="A57" s="26" t="str">
        <f aca="false">Entities!$A$12</f>
        <v>LB</v>
      </c>
      <c r="B57" s="12" t="str">
        <f aca="false">INDEX(Entities!$B$5:$B$34,MATCH(A57,Entities!$A$5:$A$34,0))</f>
        <v>Arab Bank – Lebanon</v>
      </c>
      <c r="C57" s="12" t="str">
        <f aca="false">INDEX(Entities!$D$5:$D$34,MATCH(A57,Entities!$A$5:$A$34,0))</f>
        <v>Levant</v>
      </c>
      <c r="D57" s="12" t="s">
        <v>245</v>
      </c>
      <c r="E57" s="12" t="str">
        <f aca="false">INDEX('Risk Taxonomy'!$B$5:$B$24,MATCH(D57,'Risk Taxonomy'!$A$5:$A$24,0))</f>
        <v>Sanctions</v>
      </c>
      <c r="F57" s="28" t="n">
        <f aca="false">IFERROR(SUMPRODUCT((Indicators!$B$5:$B$35=F$4)*Indicators!$N$5:$N$35*'Indicator Scores'!$K$5:$K$35)/SUMPRODUCT((Indicators!$B$5:$B$35=F$4)*Indicators!$N$5:$N$35*('Indicator Scores'!$K$5:$K$35&gt;0)),0)</f>
        <v>3.85714285714286</v>
      </c>
      <c r="G57" s="28" t="n">
        <f aca="false">IFERROR(SUMPRODUCT((Indicators!$B$5:$B$35=G$4)*Indicators!$N$5:$N$35*'Indicator Scores'!$K$5:$K$35)/SUMPRODUCT((Indicators!$B$5:$B$35=G$4)*Indicators!$N$5:$N$35*('Indicator Scores'!$K$5:$K$35&gt;0)),0)</f>
        <v>3.85714285714286</v>
      </c>
      <c r="H57" s="28" t="n">
        <f aca="false">IFERROR(SUMPRODUCT((Indicators!$B$5:$B$35=H$4)*Indicators!$N$5:$N$35*'Indicator Scores'!$K$5:$K$35)/SUMPRODUCT((Indicators!$B$5:$B$35=H$4)*Indicators!$N$5:$N$35*('Indicator Scores'!$K$5:$K$35&gt;0)),0)</f>
        <v>3.375</v>
      </c>
      <c r="I57" s="28" t="n">
        <f aca="false">IFERROR(SUMPRODUCT((Indicators!$B$5:$B$35=I$4)*Indicators!$N$5:$N$35*'Indicator Scores'!$K$5:$K$35)/SUMPRODUCT((Indicators!$B$5:$B$35=I$4)*Indicators!$N$5:$N$35*('Indicator Scores'!$K$5:$K$35&gt;0)),0)</f>
        <v>3.66666666666667</v>
      </c>
      <c r="J57" s="28" t="n">
        <f aca="false">IFERROR(SUMPRODUCT((Indicators!$B$5:$B$35=J$4)*Indicators!$N$5:$N$35*'Indicator Scores'!$K$5:$K$35)/SUMPRODUCT((Indicators!$B$5:$B$35=J$4)*Indicators!$N$5:$N$35*('Indicator Scores'!$K$5:$K$35&gt;0)),0)</f>
        <v>5</v>
      </c>
      <c r="K57" s="28" t="n">
        <f aca="false">IFERROR(SUMPRODUCT(F57:J57,INDEX('Factor Weights'!$C$5:$G$11,MATCH(D57,'Factor Weights'!$A$5:$A$11,0),0))/SUMPRODUCT((F57:J57&gt;0)*INDEX('Factor Weights'!$C$5:$G$11,MATCH(D57,'Factor Weights'!$A$5:$A$11,0),0)),0)</f>
        <v>3.97976190476191</v>
      </c>
      <c r="L57" s="29" t="n">
        <f aca="false">MAX(F57:J57)</f>
        <v>5</v>
      </c>
      <c r="M57" s="28" t="n">
        <f aca="false">IF(L57&gt;=Config!$C$13,MAX(K57,Config!$C$14),K57)</f>
        <v>4</v>
      </c>
      <c r="N57" s="30" t="n">
        <f aca="false">IF(Config!$C$12="Weighted average",K57,IF(Config!$C$12="Weighted with floor",M57,L57))</f>
        <v>4</v>
      </c>
      <c r="O57" s="31" t="n">
        <f aca="false">IF(N57&lt;Config!$D$5,"",MATCH(N57,Config!$D$5:$D$9,1))</f>
        <v>4</v>
      </c>
      <c r="P57" s="7" t="str">
        <f aca="false">IF(O57="","No data",INDEX(Config!$B$5:$B$9,O57))</f>
        <v>Medium-High</v>
      </c>
      <c r="Q57" s="32" t="n">
        <v>0</v>
      </c>
      <c r="R57" s="8"/>
      <c r="S57" s="33"/>
      <c r="T57" s="34" t="n">
        <f aca="false">IF(O57="","",IF(AND(S57="Y",Q57&lt;&gt;0),MAX(1,MIN(5,O57+MAX(-Config!$C$27,MIN(Config!$C$27,Q57)))),O57))</f>
        <v>4</v>
      </c>
      <c r="U57" s="35" t="str">
        <f aca="false">IF(T57="","No data",INDEX(Config!$B$5:$B$9,T57))</f>
        <v>Medium-High</v>
      </c>
      <c r="V57" s="7" t="str">
        <f aca="false">IF(Q57=0,"None",IF(S57="Y","Applied","Pending HO approval"))</f>
        <v>None</v>
      </c>
      <c r="W57" s="36" t="n">
        <f aca="false">SUMPRODUCT((Indicators!$N$5:$N$35&gt;0)*('Indicator Data'!$K$5:$K$35&lt;&gt;""))/SUMPRODUCT(--(Indicators!$N$5:$N$35&gt;0))</f>
        <v>1</v>
      </c>
    </row>
    <row r="58" customFormat="false" ht="15" hidden="false" customHeight="false" outlineLevel="0" collapsed="false">
      <c r="A58" s="26" t="str">
        <f aca="false">Entities!$A$12</f>
        <v>LB</v>
      </c>
      <c r="B58" s="12" t="str">
        <f aca="false">INDEX(Entities!$B$5:$B$34,MATCH(A58,Entities!$A$5:$A$34,0))</f>
        <v>Arab Bank – Lebanon</v>
      </c>
      <c r="C58" s="12" t="str">
        <f aca="false">INDEX(Entities!$D$5:$D$34,MATCH(A58,Entities!$A$5:$A$34,0))</f>
        <v>Levant</v>
      </c>
      <c r="D58" s="12" t="s">
        <v>248</v>
      </c>
      <c r="E58" s="12" t="str">
        <f aca="false">INDEX('Risk Taxonomy'!$B$5:$B$24,MATCH(D58,'Risk Taxonomy'!$A$5:$A$24,0))</f>
        <v>Bribery and corruption</v>
      </c>
      <c r="F58" s="28" t="n">
        <f aca="false">IFERROR(SUMPRODUCT((Indicators!$B$5:$B$35=F$4)*Indicators!$O$5:$O$35*'Indicator Scores'!$K$5:$K$35)/SUMPRODUCT((Indicators!$B$5:$B$35=F$4)*Indicators!$O$5:$O$35*('Indicator Scores'!$K$5:$K$35&gt;0)),0)</f>
        <v>3.88888888888889</v>
      </c>
      <c r="G58" s="28" t="n">
        <f aca="false">IFERROR(SUMPRODUCT((Indicators!$B$5:$B$35=G$4)*Indicators!$O$5:$O$35*'Indicator Scores'!$K$5:$K$35)/SUMPRODUCT((Indicators!$B$5:$B$35=G$4)*Indicators!$O$5:$O$35*('Indicator Scores'!$K$5:$K$35&gt;0)),0)</f>
        <v>4</v>
      </c>
      <c r="H58" s="28" t="n">
        <f aca="false">IFERROR(SUMPRODUCT((Indicators!$B$5:$B$35=H$4)*Indicators!$O$5:$O$35*'Indicator Scores'!$K$5:$K$35)/SUMPRODUCT((Indicators!$B$5:$B$35=H$4)*Indicators!$O$5:$O$35*('Indicator Scores'!$K$5:$K$35&gt;0)),0)</f>
        <v>3.5</v>
      </c>
      <c r="I58" s="28" t="n">
        <f aca="false">IFERROR(SUMPRODUCT((Indicators!$B$5:$B$35=I$4)*Indicators!$O$5:$O$35*'Indicator Scores'!$K$5:$K$35)/SUMPRODUCT((Indicators!$B$5:$B$35=I$4)*Indicators!$O$5:$O$35*('Indicator Scores'!$K$5:$K$35&gt;0)),0)</f>
        <v>5</v>
      </c>
      <c r="J58" s="28" t="n">
        <f aca="false">IFERROR(SUMPRODUCT((Indicators!$B$5:$B$35=J$4)*Indicators!$O$5:$O$35*'Indicator Scores'!$K$5:$K$35)/SUMPRODUCT((Indicators!$B$5:$B$35=J$4)*Indicators!$O$5:$O$35*('Indicator Scores'!$K$5:$K$35&gt;0)),0)</f>
        <v>5</v>
      </c>
      <c r="K58" s="28" t="n">
        <f aca="false">IFERROR(SUMPRODUCT(F58:J58,INDEX('Factor Weights'!$C$5:$G$11,MATCH(D58,'Factor Weights'!$A$5:$A$11,0),0))/SUMPRODUCT((F58:J58&gt;0)*INDEX('Factor Weights'!$C$5:$G$11,MATCH(D58,'Factor Weights'!$A$5:$A$11,0),0)),0)</f>
        <v>4.19166666666667</v>
      </c>
      <c r="L58" s="29" t="n">
        <f aca="false">MAX(F58:J58)</f>
        <v>5</v>
      </c>
      <c r="M58" s="28" t="n">
        <f aca="false">IF(L58&gt;=Config!$C$13,MAX(K58,Config!$C$14),K58)</f>
        <v>4.19166666666667</v>
      </c>
      <c r="N58" s="30" t="n">
        <f aca="false">IF(Config!$C$12="Weighted average",K58,IF(Config!$C$12="Weighted with floor",M58,L58))</f>
        <v>4.19166666666667</v>
      </c>
      <c r="O58" s="31" t="n">
        <f aca="false">IF(N58&lt;Config!$D$5,"",MATCH(N58,Config!$D$5:$D$9,1))</f>
        <v>4</v>
      </c>
      <c r="P58" s="7" t="str">
        <f aca="false">IF(O58="","No data",INDEX(Config!$B$5:$B$9,O58))</f>
        <v>Medium-High</v>
      </c>
      <c r="Q58" s="32" t="n">
        <v>0</v>
      </c>
      <c r="R58" s="8"/>
      <c r="S58" s="33"/>
      <c r="T58" s="34" t="n">
        <f aca="false">IF(O58="","",IF(AND(S58="Y",Q58&lt;&gt;0),MAX(1,MIN(5,O58+MAX(-Config!$C$27,MIN(Config!$C$27,Q58)))),O58))</f>
        <v>4</v>
      </c>
      <c r="U58" s="35" t="str">
        <f aca="false">IF(T58="","No data",INDEX(Config!$B$5:$B$9,T58))</f>
        <v>Medium-High</v>
      </c>
      <c r="V58" s="7" t="str">
        <f aca="false">IF(Q58=0,"None",IF(S58="Y","Applied","Pending HO approval"))</f>
        <v>None</v>
      </c>
      <c r="W58" s="36" t="n">
        <f aca="false">SUMPRODUCT((Indicators!$O$5:$O$35&gt;0)*('Indicator Data'!$K$5:$K$35&lt;&gt;""))/SUMPRODUCT(--(Indicators!$O$5:$O$35&gt;0))</f>
        <v>1</v>
      </c>
    </row>
    <row r="59" customFormat="false" ht="15" hidden="false" customHeight="false" outlineLevel="0" collapsed="false">
      <c r="A59" s="26" t="str">
        <f aca="false">Entities!$A$12</f>
        <v>LB</v>
      </c>
      <c r="B59" s="12" t="str">
        <f aca="false">INDEX(Entities!$B$5:$B$34,MATCH(A59,Entities!$A$5:$A$34,0))</f>
        <v>Arab Bank – Lebanon</v>
      </c>
      <c r="C59" s="12" t="str">
        <f aca="false">INDEX(Entities!$D$5:$D$34,MATCH(A59,Entities!$A$5:$A$34,0))</f>
        <v>Levant</v>
      </c>
      <c r="D59" s="12" t="s">
        <v>251</v>
      </c>
      <c r="E59" s="12" t="str">
        <f aca="false">INDEX('Risk Taxonomy'!$B$5:$B$24,MATCH(D59,'Risk Taxonomy'!$A$5:$A$24,0))</f>
        <v>Fraud</v>
      </c>
      <c r="F59" s="28" t="n">
        <f aca="false">IFERROR(SUMPRODUCT((Indicators!$B$5:$B$35=F$4)*Indicators!$P$5:$P$35*'Indicator Scores'!$K$5:$K$35)/SUMPRODUCT((Indicators!$B$5:$B$35=F$4)*Indicators!$P$5:$P$35*('Indicator Scores'!$K$5:$K$35&gt;0)),0)</f>
        <v>3.33333333333333</v>
      </c>
      <c r="G59" s="28" t="n">
        <f aca="false">IFERROR(SUMPRODUCT((Indicators!$B$5:$B$35=G$4)*Indicators!$P$5:$P$35*'Indicator Scores'!$K$5:$K$35)/SUMPRODUCT((Indicators!$B$5:$B$35=G$4)*Indicators!$P$5:$P$35*('Indicator Scores'!$K$5:$K$35&gt;0)),0)</f>
        <v>4</v>
      </c>
      <c r="H59" s="28" t="n">
        <f aca="false">IFERROR(SUMPRODUCT((Indicators!$B$5:$B$35=H$4)*Indicators!$P$5:$P$35*'Indicator Scores'!$K$5:$K$35)/SUMPRODUCT((Indicators!$B$5:$B$35=H$4)*Indicators!$P$5:$P$35*('Indicator Scores'!$K$5:$K$35&gt;0)),0)</f>
        <v>3.6</v>
      </c>
      <c r="I59" s="28" t="n">
        <f aca="false">IFERROR(SUMPRODUCT((Indicators!$B$5:$B$35=I$4)*Indicators!$P$5:$P$35*'Indicator Scores'!$K$5:$K$35)/SUMPRODUCT((Indicators!$B$5:$B$35=I$4)*Indicators!$P$5:$P$35*('Indicator Scores'!$K$5:$K$35&gt;0)),0)</f>
        <v>4.11111111111111</v>
      </c>
      <c r="J59" s="28" t="n">
        <f aca="false">IFERROR(SUMPRODUCT((Indicators!$B$5:$B$35=J$4)*Indicators!$P$5:$P$35*'Indicator Scores'!$K$5:$K$35)/SUMPRODUCT((Indicators!$B$5:$B$35=J$4)*Indicators!$P$5:$P$35*('Indicator Scores'!$K$5:$K$35&gt;0)),0)</f>
        <v>4.2</v>
      </c>
      <c r="K59" s="28" t="n">
        <f aca="false">IFERROR(SUMPRODUCT(F59:J59,INDEX('Factor Weights'!$C$5:$G$11,MATCH(D59,'Factor Weights'!$A$5:$A$11,0),0))/SUMPRODUCT((F59:J59&gt;0)*INDEX('Factor Weights'!$C$5:$G$11,MATCH(D59,'Factor Weights'!$A$5:$A$11,0),0)),0)</f>
        <v>3.86</v>
      </c>
      <c r="L59" s="29" t="n">
        <f aca="false">MAX(F59:J59)</f>
        <v>4.2</v>
      </c>
      <c r="M59" s="28" t="n">
        <f aca="false">IF(L59&gt;=Config!$C$13,MAX(K59,Config!$C$14),K59)</f>
        <v>3.86</v>
      </c>
      <c r="N59" s="30" t="n">
        <f aca="false">IF(Config!$C$12="Weighted average",K59,IF(Config!$C$12="Weighted with floor",M59,L59))</f>
        <v>3.86</v>
      </c>
      <c r="O59" s="31" t="n">
        <f aca="false">IF(N59&lt;Config!$D$5,"",MATCH(N59,Config!$D$5:$D$9,1))</f>
        <v>4</v>
      </c>
      <c r="P59" s="7" t="str">
        <f aca="false">IF(O59="","No data",INDEX(Config!$B$5:$B$9,O59))</f>
        <v>Medium-High</v>
      </c>
      <c r="Q59" s="32" t="n">
        <v>0</v>
      </c>
      <c r="R59" s="8"/>
      <c r="S59" s="33"/>
      <c r="T59" s="34" t="n">
        <f aca="false">IF(O59="","",IF(AND(S59="Y",Q59&lt;&gt;0),MAX(1,MIN(5,O59+MAX(-Config!$C$27,MIN(Config!$C$27,Q59)))),O59))</f>
        <v>4</v>
      </c>
      <c r="U59" s="35" t="str">
        <f aca="false">IF(T59="","No data",INDEX(Config!$B$5:$B$9,T59))</f>
        <v>Medium-High</v>
      </c>
      <c r="V59" s="7" t="str">
        <f aca="false">IF(Q59=0,"None",IF(S59="Y","Applied","Pending HO approval"))</f>
        <v>None</v>
      </c>
      <c r="W59" s="36" t="n">
        <f aca="false">SUMPRODUCT((Indicators!$P$5:$P$35&gt;0)*('Indicator Data'!$K$5:$K$35&lt;&gt;""))/SUMPRODUCT(--(Indicators!$P$5:$P$35&gt;0))</f>
        <v>1</v>
      </c>
    </row>
    <row r="60" customFormat="false" ht="15" hidden="false" customHeight="false" outlineLevel="0" collapsed="false">
      <c r="A60" s="26" t="str">
        <f aca="false">Entities!$A$12</f>
        <v>LB</v>
      </c>
      <c r="B60" s="12" t="str">
        <f aca="false">INDEX(Entities!$B$5:$B$34,MATCH(A60,Entities!$A$5:$A$34,0))</f>
        <v>Arab Bank – Lebanon</v>
      </c>
      <c r="C60" s="12" t="str">
        <f aca="false">INDEX(Entities!$D$5:$D$34,MATCH(A60,Entities!$A$5:$A$34,0))</f>
        <v>Levant</v>
      </c>
      <c r="D60" s="12" t="s">
        <v>254</v>
      </c>
      <c r="E60" s="12" t="str">
        <f aca="false">INDEX('Risk Taxonomy'!$B$5:$B$24,MATCH(D60,'Risk Taxonomy'!$A$5:$A$24,0))</f>
        <v>Tax evasion and tax transparency</v>
      </c>
      <c r="F60" s="28" t="n">
        <f aca="false">IFERROR(SUMPRODUCT((Indicators!$B$5:$B$35=F$4)*Indicators!$Q$5:$Q$35*'Indicator Scores'!$K$5:$K$35)/SUMPRODUCT((Indicators!$B$5:$B$35=F$4)*Indicators!$Q$5:$Q$35*('Indicator Scores'!$K$5:$K$35&gt;0)),0)</f>
        <v>3.88888888888889</v>
      </c>
      <c r="G60" s="28" t="n">
        <f aca="false">IFERROR(SUMPRODUCT((Indicators!$B$5:$B$35=G$4)*Indicators!$Q$5:$Q$35*'Indicator Scores'!$K$5:$K$35)/SUMPRODUCT((Indicators!$B$5:$B$35=G$4)*Indicators!$Q$5:$Q$35*('Indicator Scores'!$K$5:$K$35&gt;0)),0)</f>
        <v>4</v>
      </c>
      <c r="H60" s="28" t="n">
        <f aca="false">IFERROR(SUMPRODUCT((Indicators!$B$5:$B$35=H$4)*Indicators!$Q$5:$Q$35*'Indicator Scores'!$K$5:$K$35)/SUMPRODUCT((Indicators!$B$5:$B$35=H$4)*Indicators!$Q$5:$Q$35*('Indicator Scores'!$K$5:$K$35&gt;0)),0)</f>
        <v>3.33333333333333</v>
      </c>
      <c r="I60" s="28" t="n">
        <f aca="false">IFERROR(SUMPRODUCT((Indicators!$B$5:$B$35=I$4)*Indicators!$Q$5:$Q$35*'Indicator Scores'!$K$5:$K$35)/SUMPRODUCT((Indicators!$B$5:$B$35=I$4)*Indicators!$Q$5:$Q$35*('Indicator Scores'!$K$5:$K$35&gt;0)),0)</f>
        <v>5</v>
      </c>
      <c r="J60" s="28" t="n">
        <f aca="false">IFERROR(SUMPRODUCT((Indicators!$B$5:$B$35=J$4)*Indicators!$Q$5:$Q$35*'Indicator Scores'!$K$5:$K$35)/SUMPRODUCT((Indicators!$B$5:$B$35=J$4)*Indicators!$Q$5:$Q$35*('Indicator Scores'!$K$5:$K$35&gt;0)),0)</f>
        <v>4.8</v>
      </c>
      <c r="K60" s="28" t="n">
        <f aca="false">IFERROR(SUMPRODUCT(F60:J60,INDEX('Factor Weights'!$C$5:$G$11,MATCH(D60,'Factor Weights'!$A$5:$A$11,0),0))/SUMPRODUCT((F60:J60&gt;0)*INDEX('Factor Weights'!$C$5:$G$11,MATCH(D60,'Factor Weights'!$A$5:$A$11,0),0)),0)</f>
        <v>4.00777777777778</v>
      </c>
      <c r="L60" s="29" t="n">
        <f aca="false">MAX(F60:J60)</f>
        <v>5</v>
      </c>
      <c r="M60" s="28" t="n">
        <f aca="false">IF(L60&gt;=Config!$C$13,MAX(K60,Config!$C$14),K60)</f>
        <v>4.00777777777778</v>
      </c>
      <c r="N60" s="30" t="n">
        <f aca="false">IF(Config!$C$12="Weighted average",K60,IF(Config!$C$12="Weighted with floor",M60,L60))</f>
        <v>4.00777777777778</v>
      </c>
      <c r="O60" s="31" t="n">
        <f aca="false">IF(N60&lt;Config!$D$5,"",MATCH(N60,Config!$D$5:$D$9,1))</f>
        <v>4</v>
      </c>
      <c r="P60" s="7" t="str">
        <f aca="false">IF(O60="","No data",INDEX(Config!$B$5:$B$9,O60))</f>
        <v>Medium-High</v>
      </c>
      <c r="Q60" s="32" t="n">
        <v>0</v>
      </c>
      <c r="R60" s="8"/>
      <c r="S60" s="33"/>
      <c r="T60" s="34" t="n">
        <f aca="false">IF(O60="","",IF(AND(S60="Y",Q60&lt;&gt;0),MAX(1,MIN(5,O60+MAX(-Config!$C$27,MIN(Config!$C$27,Q60)))),O60))</f>
        <v>4</v>
      </c>
      <c r="U60" s="35" t="str">
        <f aca="false">IF(T60="","No data",INDEX(Config!$B$5:$B$9,T60))</f>
        <v>Medium-High</v>
      </c>
      <c r="V60" s="7" t="str">
        <f aca="false">IF(Q60=0,"None",IF(S60="Y","Applied","Pending HO approval"))</f>
        <v>None</v>
      </c>
      <c r="W60" s="36" t="n">
        <f aca="false">SUMPRODUCT((Indicators!$Q$5:$Q$35&gt;0)*('Indicator Data'!$K$5:$K$35&lt;&gt;""))/SUMPRODUCT(--(Indicators!$Q$5:$Q$35&gt;0))</f>
        <v>1</v>
      </c>
    </row>
    <row r="61" customFormat="false" ht="15" hidden="false" customHeight="false" outlineLevel="0" collapsed="false">
      <c r="A61" s="26" t="str">
        <f aca="false">Entities!$A$13</f>
        <v>SY</v>
      </c>
      <c r="B61" s="12" t="str">
        <f aca="false">INDEX(Entities!$B$5:$B$34,MATCH(A61,Entities!$A$5:$A$34,0))</f>
        <v>Arab Bank – Syria</v>
      </c>
      <c r="C61" s="12" t="str">
        <f aca="false">INDEX(Entities!$D$5:$D$34,MATCH(A61,Entities!$A$5:$A$34,0))</f>
        <v>Levant</v>
      </c>
      <c r="D61" s="12" t="s">
        <v>233</v>
      </c>
      <c r="E61" s="12" t="str">
        <f aca="false">INDEX('Risk Taxonomy'!$B$5:$B$24,MATCH(D61,'Risk Taxonomy'!$A$5:$A$24,0))</f>
        <v>Money laundering</v>
      </c>
      <c r="F61" s="28" t="n">
        <f aca="false">IFERROR(SUMPRODUCT((Indicators!$B$5:$B$35=F$4)*Indicators!$K$5:$K$35*'Indicator Scores'!$L$5:$L$35)/SUMPRODUCT((Indicators!$B$5:$B$35=F$4)*Indicators!$K$5:$K$35*('Indicator Scores'!$L$5:$L$35&gt;0)),0)</f>
        <v>3.91666666666667</v>
      </c>
      <c r="G61" s="28" t="n">
        <f aca="false">IFERROR(SUMPRODUCT((Indicators!$B$5:$B$35=G$4)*Indicators!$K$5:$K$35*'Indicator Scores'!$L$5:$L$35)/SUMPRODUCT((Indicators!$B$5:$B$35=G$4)*Indicators!$K$5:$K$35*('Indicator Scores'!$L$5:$L$35&gt;0)),0)</f>
        <v>4.22222222222222</v>
      </c>
      <c r="H61" s="28" t="n">
        <f aca="false">IFERROR(SUMPRODUCT((Indicators!$B$5:$B$35=H$4)*Indicators!$K$5:$K$35*'Indicator Scores'!$L$5:$L$35)/SUMPRODUCT((Indicators!$B$5:$B$35=H$4)*Indicators!$K$5:$K$35*('Indicator Scores'!$L$5:$L$35&gt;0)),0)</f>
        <v>4.1</v>
      </c>
      <c r="I61" s="28" t="n">
        <f aca="false">IFERROR(SUMPRODUCT((Indicators!$B$5:$B$35=I$4)*Indicators!$K$5:$K$35*'Indicator Scores'!$L$5:$L$35)/SUMPRODUCT((Indicators!$B$5:$B$35=I$4)*Indicators!$K$5:$K$35*('Indicator Scores'!$L$5:$L$35&gt;0)),0)</f>
        <v>3.71428571428571</v>
      </c>
      <c r="J61" s="28" t="n">
        <f aca="false">IFERROR(SUMPRODUCT((Indicators!$B$5:$B$35=J$4)*Indicators!$K$5:$K$35*'Indicator Scores'!$L$5:$L$35)/SUMPRODUCT((Indicators!$B$5:$B$35=J$4)*Indicators!$K$5:$K$35*('Indicator Scores'!$L$5:$L$35&gt;0)),0)</f>
        <v>4.6</v>
      </c>
      <c r="K61" s="28" t="n">
        <f aca="false">IFERROR(SUMPRODUCT(F61:J61,INDEX('Factor Weights'!$C$5:$G$11,MATCH(D61,'Factor Weights'!$A$5:$A$11,0),0))/SUMPRODUCT((F61:J61&gt;0)*INDEX('Factor Weights'!$C$5:$G$11,MATCH(D61,'Factor Weights'!$A$5:$A$11,0),0)),0)</f>
        <v>4.06769841269841</v>
      </c>
      <c r="L61" s="29" t="n">
        <f aca="false">MAX(F61:J61)</f>
        <v>4.6</v>
      </c>
      <c r="M61" s="28" t="n">
        <f aca="false">IF(L61&gt;=Config!$C$13,MAX(K61,Config!$C$14),K61)</f>
        <v>4.06769841269841</v>
      </c>
      <c r="N61" s="30" t="n">
        <f aca="false">IF(Config!$C$12="Weighted average",K61,IF(Config!$C$12="Weighted with floor",M61,L61))</f>
        <v>4.06769841269841</v>
      </c>
      <c r="O61" s="31" t="n">
        <f aca="false">IF(N61&lt;Config!$D$5,"",MATCH(N61,Config!$D$5:$D$9,1))</f>
        <v>4</v>
      </c>
      <c r="P61" s="7" t="str">
        <f aca="false">IF(O61="","No data",INDEX(Config!$B$5:$B$9,O61))</f>
        <v>Medium-High</v>
      </c>
      <c r="Q61" s="32" t="n">
        <v>0</v>
      </c>
      <c r="R61" s="8"/>
      <c r="S61" s="33"/>
      <c r="T61" s="34" t="n">
        <f aca="false">IF(O61="","",IF(AND(S61="Y",Q61&lt;&gt;0),MAX(1,MIN(5,O61+MAX(-Config!$C$27,MIN(Config!$C$27,Q61)))),O61))</f>
        <v>4</v>
      </c>
      <c r="U61" s="35" t="str">
        <f aca="false">IF(T61="","No data",INDEX(Config!$B$5:$B$9,T61))</f>
        <v>Medium-High</v>
      </c>
      <c r="V61" s="7" t="str">
        <f aca="false">IF(Q61=0,"None",IF(S61="Y","Applied","Pending HO approval"))</f>
        <v>None</v>
      </c>
      <c r="W61" s="36" t="n">
        <f aca="false">SUMPRODUCT((Indicators!$K$5:$K$35&gt;0)*('Indicator Data'!$L$5:$L$35&lt;&gt;""))/SUMPRODUCT(--(Indicators!$K$5:$K$35&gt;0))</f>
        <v>1</v>
      </c>
    </row>
    <row r="62" customFormat="false" ht="15" hidden="false" customHeight="false" outlineLevel="0" collapsed="false">
      <c r="A62" s="26" t="str">
        <f aca="false">Entities!$A$13</f>
        <v>SY</v>
      </c>
      <c r="B62" s="12" t="str">
        <f aca="false">INDEX(Entities!$B$5:$B$34,MATCH(A62,Entities!$A$5:$A$34,0))</f>
        <v>Arab Bank – Syria</v>
      </c>
      <c r="C62" s="12" t="str">
        <f aca="false">INDEX(Entities!$D$5:$D$34,MATCH(A62,Entities!$A$5:$A$34,0))</f>
        <v>Levant</v>
      </c>
      <c r="D62" s="12" t="s">
        <v>240</v>
      </c>
      <c r="E62" s="12" t="str">
        <f aca="false">INDEX('Risk Taxonomy'!$B$5:$B$24,MATCH(D62,'Risk Taxonomy'!$A$5:$A$24,0))</f>
        <v>Terrorist financing</v>
      </c>
      <c r="F62" s="28" t="n">
        <f aca="false">IFERROR(SUMPRODUCT((Indicators!$B$5:$B$35=F$4)*Indicators!$L$5:$L$35*'Indicator Scores'!$L$5:$L$35)/SUMPRODUCT((Indicators!$B$5:$B$35=F$4)*Indicators!$L$5:$L$35*('Indicator Scores'!$L$5:$L$35&gt;0)),0)</f>
        <v>4.1</v>
      </c>
      <c r="G62" s="28" t="n">
        <f aca="false">IFERROR(SUMPRODUCT((Indicators!$B$5:$B$35=G$4)*Indicators!$L$5:$L$35*'Indicator Scores'!$L$5:$L$35)/SUMPRODUCT((Indicators!$B$5:$B$35=G$4)*Indicators!$L$5:$L$35*('Indicator Scores'!$L$5:$L$35&gt;0)),0)</f>
        <v>4.33333333333333</v>
      </c>
      <c r="H62" s="28" t="n">
        <f aca="false">IFERROR(SUMPRODUCT((Indicators!$B$5:$B$35=H$4)*Indicators!$L$5:$L$35*'Indicator Scores'!$L$5:$L$35)/SUMPRODUCT((Indicators!$B$5:$B$35=H$4)*Indicators!$L$5:$L$35*('Indicator Scores'!$L$5:$L$35&gt;0)),0)</f>
        <v>3.66666666666667</v>
      </c>
      <c r="I62" s="28" t="n">
        <f aca="false">IFERROR(SUMPRODUCT((Indicators!$B$5:$B$35=I$4)*Indicators!$L$5:$L$35*'Indicator Scores'!$L$5:$L$35)/SUMPRODUCT((Indicators!$B$5:$B$35=I$4)*Indicators!$L$5:$L$35*('Indicator Scores'!$L$5:$L$35&gt;0)),0)</f>
        <v>3.83333333333333</v>
      </c>
      <c r="J62" s="28" t="n">
        <f aca="false">IFERROR(SUMPRODUCT((Indicators!$B$5:$B$35=J$4)*Indicators!$L$5:$L$35*'Indicator Scores'!$L$5:$L$35)/SUMPRODUCT((Indicators!$B$5:$B$35=J$4)*Indicators!$L$5:$L$35*('Indicator Scores'!$L$5:$L$35&gt;0)),0)</f>
        <v>4.42857142857143</v>
      </c>
      <c r="K62" s="28" t="n">
        <f aca="false">IFERROR(SUMPRODUCT(F62:J62,INDEX('Factor Weights'!$C$5:$G$11,MATCH(D62,'Factor Weights'!$A$5:$A$11,0),0))/SUMPRODUCT((F62:J62&gt;0)*INDEX('Factor Weights'!$C$5:$G$11,MATCH(D62,'Factor Weights'!$A$5:$A$11,0),0)),0)</f>
        <v>4.14404761904762</v>
      </c>
      <c r="L62" s="29" t="n">
        <f aca="false">MAX(F62:J62)</f>
        <v>4.42857142857143</v>
      </c>
      <c r="M62" s="28" t="n">
        <f aca="false">IF(L62&gt;=Config!$C$13,MAX(K62,Config!$C$14),K62)</f>
        <v>4.14404761904762</v>
      </c>
      <c r="N62" s="30" t="n">
        <f aca="false">IF(Config!$C$12="Weighted average",K62,IF(Config!$C$12="Weighted with floor",M62,L62))</f>
        <v>4.14404761904762</v>
      </c>
      <c r="O62" s="31" t="n">
        <f aca="false">IF(N62&lt;Config!$D$5,"",MATCH(N62,Config!$D$5:$D$9,1))</f>
        <v>4</v>
      </c>
      <c r="P62" s="7" t="str">
        <f aca="false">IF(O62="","No data",INDEX(Config!$B$5:$B$9,O62))</f>
        <v>Medium-High</v>
      </c>
      <c r="Q62" s="32" t="n">
        <v>0</v>
      </c>
      <c r="R62" s="8"/>
      <c r="S62" s="33"/>
      <c r="T62" s="34" t="n">
        <f aca="false">IF(O62="","",IF(AND(S62="Y",Q62&lt;&gt;0),MAX(1,MIN(5,O62+MAX(-Config!$C$27,MIN(Config!$C$27,Q62)))),O62))</f>
        <v>4</v>
      </c>
      <c r="U62" s="35" t="str">
        <f aca="false">IF(T62="","No data",INDEX(Config!$B$5:$B$9,T62))</f>
        <v>Medium-High</v>
      </c>
      <c r="V62" s="7" t="str">
        <f aca="false">IF(Q62=0,"None",IF(S62="Y","Applied","Pending HO approval"))</f>
        <v>None</v>
      </c>
      <c r="W62" s="36" t="n">
        <f aca="false">SUMPRODUCT((Indicators!$L$5:$L$35&gt;0)*('Indicator Data'!$L$5:$L$35&lt;&gt;""))/SUMPRODUCT(--(Indicators!$L$5:$L$35&gt;0))</f>
        <v>1</v>
      </c>
    </row>
    <row r="63" customFormat="false" ht="15" hidden="false" customHeight="false" outlineLevel="0" collapsed="false">
      <c r="A63" s="26" t="str">
        <f aca="false">Entities!$A$13</f>
        <v>SY</v>
      </c>
      <c r="B63" s="12" t="str">
        <f aca="false">INDEX(Entities!$B$5:$B$34,MATCH(A63,Entities!$A$5:$A$34,0))</f>
        <v>Arab Bank – Syria</v>
      </c>
      <c r="C63" s="12" t="str">
        <f aca="false">INDEX(Entities!$D$5:$D$34,MATCH(A63,Entities!$A$5:$A$34,0))</f>
        <v>Levant</v>
      </c>
      <c r="D63" s="12" t="s">
        <v>243</v>
      </c>
      <c r="E63" s="12" t="str">
        <f aca="false">INDEX('Risk Taxonomy'!$B$5:$B$24,MATCH(D63,'Risk Taxonomy'!$A$5:$A$24,0))</f>
        <v>Proliferation financing</v>
      </c>
      <c r="F63" s="28" t="n">
        <f aca="false">IFERROR(SUMPRODUCT((Indicators!$B$5:$B$35=F$4)*Indicators!$M$5:$M$35*'Indicator Scores'!$L$5:$L$35)/SUMPRODUCT((Indicators!$B$5:$B$35=F$4)*Indicators!$M$5:$M$35*('Indicator Scores'!$L$5:$L$35&gt;0)),0)</f>
        <v>3.75</v>
      </c>
      <c r="G63" s="28" t="n">
        <f aca="false">IFERROR(SUMPRODUCT((Indicators!$B$5:$B$35=G$4)*Indicators!$M$5:$M$35*'Indicator Scores'!$L$5:$L$35)/SUMPRODUCT((Indicators!$B$5:$B$35=G$4)*Indicators!$M$5:$M$35*('Indicator Scores'!$L$5:$L$35&gt;0)),0)</f>
        <v>4.125</v>
      </c>
      <c r="H63" s="28" t="n">
        <f aca="false">IFERROR(SUMPRODUCT((Indicators!$B$5:$B$35=H$4)*Indicators!$M$5:$M$35*'Indicator Scores'!$L$5:$L$35)/SUMPRODUCT((Indicators!$B$5:$B$35=H$4)*Indicators!$M$5:$M$35*('Indicator Scores'!$L$5:$L$35&gt;0)),0)</f>
        <v>4.11111111111111</v>
      </c>
      <c r="I63" s="28" t="n">
        <f aca="false">IFERROR(SUMPRODUCT((Indicators!$B$5:$B$35=I$4)*Indicators!$M$5:$M$35*'Indicator Scores'!$L$5:$L$35)/SUMPRODUCT((Indicators!$B$5:$B$35=I$4)*Indicators!$M$5:$M$35*('Indicator Scores'!$L$5:$L$35&gt;0)),0)</f>
        <v>3.66666666666667</v>
      </c>
      <c r="J63" s="28" t="n">
        <f aca="false">IFERROR(SUMPRODUCT((Indicators!$B$5:$B$35=J$4)*Indicators!$M$5:$M$35*'Indicator Scores'!$L$5:$L$35)/SUMPRODUCT((Indicators!$B$5:$B$35=J$4)*Indicators!$M$5:$M$35*('Indicator Scores'!$L$5:$L$35&gt;0)),0)</f>
        <v>4.5</v>
      </c>
      <c r="K63" s="28" t="n">
        <f aca="false">IFERROR(SUMPRODUCT(F63:J63,INDEX('Factor Weights'!$C$5:$G$11,MATCH(D63,'Factor Weights'!$A$5:$A$11,0),0))/SUMPRODUCT((F63:J63&gt;0)*INDEX('Factor Weights'!$C$5:$G$11,MATCH(D63,'Factor Weights'!$A$5:$A$11,0),0)),0)</f>
        <v>4.11666666666667</v>
      </c>
      <c r="L63" s="29" t="n">
        <f aca="false">MAX(F63:J63)</f>
        <v>4.5</v>
      </c>
      <c r="M63" s="28" t="n">
        <f aca="false">IF(L63&gt;=Config!$C$13,MAX(K63,Config!$C$14),K63)</f>
        <v>4.11666666666667</v>
      </c>
      <c r="N63" s="30" t="n">
        <f aca="false">IF(Config!$C$12="Weighted average",K63,IF(Config!$C$12="Weighted with floor",M63,L63))</f>
        <v>4.11666666666667</v>
      </c>
      <c r="O63" s="31" t="n">
        <f aca="false">IF(N63&lt;Config!$D$5,"",MATCH(N63,Config!$D$5:$D$9,1))</f>
        <v>4</v>
      </c>
      <c r="P63" s="7" t="str">
        <f aca="false">IF(O63="","No data",INDEX(Config!$B$5:$B$9,O63))</f>
        <v>Medium-High</v>
      </c>
      <c r="Q63" s="32" t="n">
        <v>0</v>
      </c>
      <c r="R63" s="8"/>
      <c r="S63" s="33"/>
      <c r="T63" s="34" t="n">
        <f aca="false">IF(O63="","",IF(AND(S63="Y",Q63&lt;&gt;0),MAX(1,MIN(5,O63+MAX(-Config!$C$27,MIN(Config!$C$27,Q63)))),O63))</f>
        <v>4</v>
      </c>
      <c r="U63" s="35" t="str">
        <f aca="false">IF(T63="","No data",INDEX(Config!$B$5:$B$9,T63))</f>
        <v>Medium-High</v>
      </c>
      <c r="V63" s="7" t="str">
        <f aca="false">IF(Q63=0,"None",IF(S63="Y","Applied","Pending HO approval"))</f>
        <v>None</v>
      </c>
      <c r="W63" s="36" t="n">
        <f aca="false">SUMPRODUCT((Indicators!$M$5:$M$35&gt;0)*('Indicator Data'!$L$5:$L$35&lt;&gt;""))/SUMPRODUCT(--(Indicators!$M$5:$M$35&gt;0))</f>
        <v>1</v>
      </c>
    </row>
    <row r="64" customFormat="false" ht="15" hidden="false" customHeight="false" outlineLevel="0" collapsed="false">
      <c r="A64" s="26" t="str">
        <f aca="false">Entities!$A$13</f>
        <v>SY</v>
      </c>
      <c r="B64" s="12" t="str">
        <f aca="false">INDEX(Entities!$B$5:$B$34,MATCH(A64,Entities!$A$5:$A$34,0))</f>
        <v>Arab Bank – Syria</v>
      </c>
      <c r="C64" s="12" t="str">
        <f aca="false">INDEX(Entities!$D$5:$D$34,MATCH(A64,Entities!$A$5:$A$34,0))</f>
        <v>Levant</v>
      </c>
      <c r="D64" s="12" t="s">
        <v>245</v>
      </c>
      <c r="E64" s="12" t="str">
        <f aca="false">INDEX('Risk Taxonomy'!$B$5:$B$24,MATCH(D64,'Risk Taxonomy'!$A$5:$A$24,0))</f>
        <v>Sanctions</v>
      </c>
      <c r="F64" s="28" t="n">
        <f aca="false">IFERROR(SUMPRODUCT((Indicators!$B$5:$B$35=F$4)*Indicators!$N$5:$N$35*'Indicator Scores'!$L$5:$L$35)/SUMPRODUCT((Indicators!$B$5:$B$35=F$4)*Indicators!$N$5:$N$35*('Indicator Scores'!$L$5:$L$35&gt;0)),0)</f>
        <v>3.57142857142857</v>
      </c>
      <c r="G64" s="28" t="n">
        <f aca="false">IFERROR(SUMPRODUCT((Indicators!$B$5:$B$35=G$4)*Indicators!$N$5:$N$35*'Indicator Scores'!$L$5:$L$35)/SUMPRODUCT((Indicators!$B$5:$B$35=G$4)*Indicators!$N$5:$N$35*('Indicator Scores'!$L$5:$L$35&gt;0)),0)</f>
        <v>4.14285714285714</v>
      </c>
      <c r="H64" s="28" t="n">
        <f aca="false">IFERROR(SUMPRODUCT((Indicators!$B$5:$B$35=H$4)*Indicators!$N$5:$N$35*'Indicator Scores'!$L$5:$L$35)/SUMPRODUCT((Indicators!$B$5:$B$35=H$4)*Indicators!$N$5:$N$35*('Indicator Scores'!$L$5:$L$35&gt;0)),0)</f>
        <v>4.125</v>
      </c>
      <c r="I64" s="28" t="n">
        <f aca="false">IFERROR(SUMPRODUCT((Indicators!$B$5:$B$35=I$4)*Indicators!$N$5:$N$35*'Indicator Scores'!$L$5:$L$35)/SUMPRODUCT((Indicators!$B$5:$B$35=I$4)*Indicators!$N$5:$N$35*('Indicator Scores'!$L$5:$L$35&gt;0)),0)</f>
        <v>4.33333333333333</v>
      </c>
      <c r="J64" s="28" t="n">
        <f aca="false">IFERROR(SUMPRODUCT((Indicators!$B$5:$B$35=J$4)*Indicators!$N$5:$N$35*'Indicator Scores'!$L$5:$L$35)/SUMPRODUCT((Indicators!$B$5:$B$35=J$4)*Indicators!$N$5:$N$35*('Indicator Scores'!$L$5:$L$35&gt;0)),0)</f>
        <v>4.4</v>
      </c>
      <c r="K64" s="28" t="n">
        <f aca="false">IFERROR(SUMPRODUCT(F64:J64,INDEX('Factor Weights'!$C$5:$G$11,MATCH(D64,'Factor Weights'!$A$5:$A$11,0),0))/SUMPRODUCT((F64:J64&gt;0)*INDEX('Factor Weights'!$C$5:$G$11,MATCH(D64,'Factor Weights'!$A$5:$A$11,0),0)),0)</f>
        <v>4.11452380952381</v>
      </c>
      <c r="L64" s="29" t="n">
        <f aca="false">MAX(F64:J64)</f>
        <v>4.4</v>
      </c>
      <c r="M64" s="28" t="n">
        <f aca="false">IF(L64&gt;=Config!$C$13,MAX(K64,Config!$C$14),K64)</f>
        <v>4.11452380952381</v>
      </c>
      <c r="N64" s="30" t="n">
        <f aca="false">IF(Config!$C$12="Weighted average",K64,IF(Config!$C$12="Weighted with floor",M64,L64))</f>
        <v>4.11452380952381</v>
      </c>
      <c r="O64" s="31" t="n">
        <f aca="false">IF(N64&lt;Config!$D$5,"",MATCH(N64,Config!$D$5:$D$9,1))</f>
        <v>4</v>
      </c>
      <c r="P64" s="7" t="str">
        <f aca="false">IF(O64="","No data",INDEX(Config!$B$5:$B$9,O64))</f>
        <v>Medium-High</v>
      </c>
      <c r="Q64" s="32" t="n">
        <v>0</v>
      </c>
      <c r="R64" s="8"/>
      <c r="S64" s="33"/>
      <c r="T64" s="34" t="n">
        <f aca="false">IF(O64="","",IF(AND(S64="Y",Q64&lt;&gt;0),MAX(1,MIN(5,O64+MAX(-Config!$C$27,MIN(Config!$C$27,Q64)))),O64))</f>
        <v>4</v>
      </c>
      <c r="U64" s="35" t="str">
        <f aca="false">IF(T64="","No data",INDEX(Config!$B$5:$B$9,T64))</f>
        <v>Medium-High</v>
      </c>
      <c r="V64" s="7" t="str">
        <f aca="false">IF(Q64=0,"None",IF(S64="Y","Applied","Pending HO approval"))</f>
        <v>None</v>
      </c>
      <c r="W64" s="36" t="n">
        <f aca="false">SUMPRODUCT((Indicators!$N$5:$N$35&gt;0)*('Indicator Data'!$L$5:$L$35&lt;&gt;""))/SUMPRODUCT(--(Indicators!$N$5:$N$35&gt;0))</f>
        <v>1</v>
      </c>
    </row>
    <row r="65" customFormat="false" ht="15" hidden="false" customHeight="false" outlineLevel="0" collapsed="false">
      <c r="A65" s="26" t="str">
        <f aca="false">Entities!$A$13</f>
        <v>SY</v>
      </c>
      <c r="B65" s="12" t="str">
        <f aca="false">INDEX(Entities!$B$5:$B$34,MATCH(A65,Entities!$A$5:$A$34,0))</f>
        <v>Arab Bank – Syria</v>
      </c>
      <c r="C65" s="12" t="str">
        <f aca="false">INDEX(Entities!$D$5:$D$34,MATCH(A65,Entities!$A$5:$A$34,0))</f>
        <v>Levant</v>
      </c>
      <c r="D65" s="12" t="s">
        <v>248</v>
      </c>
      <c r="E65" s="12" t="str">
        <f aca="false">INDEX('Risk Taxonomy'!$B$5:$B$24,MATCH(D65,'Risk Taxonomy'!$A$5:$A$24,0))</f>
        <v>Bribery and corruption</v>
      </c>
      <c r="F65" s="28" t="n">
        <f aca="false">IFERROR(SUMPRODUCT((Indicators!$B$5:$B$35=F$4)*Indicators!$O$5:$O$35*'Indicator Scores'!$L$5:$L$35)/SUMPRODUCT((Indicators!$B$5:$B$35=F$4)*Indicators!$O$5:$O$35*('Indicator Scores'!$L$5:$L$35&gt;0)),0)</f>
        <v>3.77777777777778</v>
      </c>
      <c r="G65" s="28" t="n">
        <f aca="false">IFERROR(SUMPRODUCT((Indicators!$B$5:$B$35=G$4)*Indicators!$O$5:$O$35*'Indicator Scores'!$L$5:$L$35)/SUMPRODUCT((Indicators!$B$5:$B$35=G$4)*Indicators!$O$5:$O$35*('Indicator Scores'!$L$5:$L$35&gt;0)),0)</f>
        <v>4.6</v>
      </c>
      <c r="H65" s="28" t="n">
        <f aca="false">IFERROR(SUMPRODUCT((Indicators!$B$5:$B$35=H$4)*Indicators!$O$5:$O$35*'Indicator Scores'!$L$5:$L$35)/SUMPRODUCT((Indicators!$B$5:$B$35=H$4)*Indicators!$O$5:$O$35*('Indicator Scores'!$L$5:$L$35&gt;0)),0)</f>
        <v>4.5</v>
      </c>
      <c r="I65" s="28" t="n">
        <f aca="false">IFERROR(SUMPRODUCT((Indicators!$B$5:$B$35=I$4)*Indicators!$O$5:$O$35*'Indicator Scores'!$L$5:$L$35)/SUMPRODUCT((Indicators!$B$5:$B$35=I$4)*Indicators!$O$5:$O$35*('Indicator Scores'!$L$5:$L$35&gt;0)),0)</f>
        <v>3</v>
      </c>
      <c r="J65" s="28" t="n">
        <f aca="false">IFERROR(SUMPRODUCT((Indicators!$B$5:$B$35=J$4)*Indicators!$O$5:$O$35*'Indicator Scores'!$L$5:$L$35)/SUMPRODUCT((Indicators!$B$5:$B$35=J$4)*Indicators!$O$5:$O$35*('Indicator Scores'!$L$5:$L$35&gt;0)),0)</f>
        <v>5</v>
      </c>
      <c r="K65" s="28" t="n">
        <f aca="false">IFERROR(SUMPRODUCT(F65:J65,INDEX('Factor Weights'!$C$5:$G$11,MATCH(D65,'Factor Weights'!$A$5:$A$11,0),0))/SUMPRODUCT((F65:J65&gt;0)*INDEX('Factor Weights'!$C$5:$G$11,MATCH(D65,'Factor Weights'!$A$5:$A$11,0),0)),0)</f>
        <v>4.05833333333333</v>
      </c>
      <c r="L65" s="29" t="n">
        <f aca="false">MAX(F65:J65)</f>
        <v>5</v>
      </c>
      <c r="M65" s="28" t="n">
        <f aca="false">IF(L65&gt;=Config!$C$13,MAX(K65,Config!$C$14),K65)</f>
        <v>4.05833333333333</v>
      </c>
      <c r="N65" s="30" t="n">
        <f aca="false">IF(Config!$C$12="Weighted average",K65,IF(Config!$C$12="Weighted with floor",M65,L65))</f>
        <v>4.05833333333333</v>
      </c>
      <c r="O65" s="31" t="n">
        <f aca="false">IF(N65&lt;Config!$D$5,"",MATCH(N65,Config!$D$5:$D$9,1))</f>
        <v>4</v>
      </c>
      <c r="P65" s="7" t="str">
        <f aca="false">IF(O65="","No data",INDEX(Config!$B$5:$B$9,O65))</f>
        <v>Medium-High</v>
      </c>
      <c r="Q65" s="32" t="n">
        <v>0</v>
      </c>
      <c r="R65" s="8"/>
      <c r="S65" s="33"/>
      <c r="T65" s="34" t="n">
        <f aca="false">IF(O65="","",IF(AND(S65="Y",Q65&lt;&gt;0),MAX(1,MIN(5,O65+MAX(-Config!$C$27,MIN(Config!$C$27,Q65)))),O65))</f>
        <v>4</v>
      </c>
      <c r="U65" s="35" t="str">
        <f aca="false">IF(T65="","No data",INDEX(Config!$B$5:$B$9,T65))</f>
        <v>Medium-High</v>
      </c>
      <c r="V65" s="7" t="str">
        <f aca="false">IF(Q65=0,"None",IF(S65="Y","Applied","Pending HO approval"))</f>
        <v>None</v>
      </c>
      <c r="W65" s="36" t="n">
        <f aca="false">SUMPRODUCT((Indicators!$O$5:$O$35&gt;0)*('Indicator Data'!$L$5:$L$35&lt;&gt;""))/SUMPRODUCT(--(Indicators!$O$5:$O$35&gt;0))</f>
        <v>1</v>
      </c>
    </row>
    <row r="66" customFormat="false" ht="15" hidden="false" customHeight="false" outlineLevel="0" collapsed="false">
      <c r="A66" s="26" t="str">
        <f aca="false">Entities!$A$13</f>
        <v>SY</v>
      </c>
      <c r="B66" s="12" t="str">
        <f aca="false">INDEX(Entities!$B$5:$B$34,MATCH(A66,Entities!$A$5:$A$34,0))</f>
        <v>Arab Bank – Syria</v>
      </c>
      <c r="C66" s="12" t="str">
        <f aca="false">INDEX(Entities!$D$5:$D$34,MATCH(A66,Entities!$A$5:$A$34,0))</f>
        <v>Levant</v>
      </c>
      <c r="D66" s="12" t="s">
        <v>251</v>
      </c>
      <c r="E66" s="12" t="str">
        <f aca="false">INDEX('Risk Taxonomy'!$B$5:$B$24,MATCH(D66,'Risk Taxonomy'!$A$5:$A$24,0))</f>
        <v>Fraud</v>
      </c>
      <c r="F66" s="28" t="n">
        <f aca="false">IFERROR(SUMPRODUCT((Indicators!$B$5:$B$35=F$4)*Indicators!$P$5:$P$35*'Indicator Scores'!$L$5:$L$35)/SUMPRODUCT((Indicators!$B$5:$B$35=F$4)*Indicators!$P$5:$P$35*('Indicator Scores'!$L$5:$L$35&gt;0)),0)</f>
        <v>3.66666666666667</v>
      </c>
      <c r="G66" s="28" t="n">
        <f aca="false">IFERROR(SUMPRODUCT((Indicators!$B$5:$B$35=G$4)*Indicators!$P$5:$P$35*'Indicator Scores'!$L$5:$L$35)/SUMPRODUCT((Indicators!$B$5:$B$35=G$4)*Indicators!$P$5:$P$35*('Indicator Scores'!$L$5:$L$35&gt;0)),0)</f>
        <v>4.5</v>
      </c>
      <c r="H66" s="28" t="n">
        <f aca="false">IFERROR(SUMPRODUCT((Indicators!$B$5:$B$35=H$4)*Indicators!$P$5:$P$35*'Indicator Scores'!$L$5:$L$35)/SUMPRODUCT((Indicators!$B$5:$B$35=H$4)*Indicators!$P$5:$P$35*('Indicator Scores'!$L$5:$L$35&gt;0)),0)</f>
        <v>4</v>
      </c>
      <c r="I66" s="28" t="n">
        <f aca="false">IFERROR(SUMPRODUCT((Indicators!$B$5:$B$35=I$4)*Indicators!$P$5:$P$35*'Indicator Scores'!$L$5:$L$35)/SUMPRODUCT((Indicators!$B$5:$B$35=I$4)*Indicators!$P$5:$P$35*('Indicator Scores'!$L$5:$L$35&gt;0)),0)</f>
        <v>3.88888888888889</v>
      </c>
      <c r="J66" s="28" t="n">
        <f aca="false">IFERROR(SUMPRODUCT((Indicators!$B$5:$B$35=J$4)*Indicators!$P$5:$P$35*'Indicator Scores'!$L$5:$L$35)/SUMPRODUCT((Indicators!$B$5:$B$35=J$4)*Indicators!$P$5:$P$35*('Indicator Scores'!$L$5:$L$35&gt;0)),0)</f>
        <v>4.2</v>
      </c>
      <c r="K66" s="28" t="n">
        <f aca="false">IFERROR(SUMPRODUCT(F66:J66,INDEX('Factor Weights'!$C$5:$G$11,MATCH(D66,'Factor Weights'!$A$5:$A$11,0),0))/SUMPRODUCT((F66:J66&gt;0)*INDEX('Factor Weights'!$C$5:$G$11,MATCH(D66,'Factor Weights'!$A$5:$A$11,0),0)),0)</f>
        <v>3.99</v>
      </c>
      <c r="L66" s="29" t="n">
        <f aca="false">MAX(F66:J66)</f>
        <v>4.5</v>
      </c>
      <c r="M66" s="28" t="n">
        <f aca="false">IF(L66&gt;=Config!$C$13,MAX(K66,Config!$C$14),K66)</f>
        <v>3.99</v>
      </c>
      <c r="N66" s="30" t="n">
        <f aca="false">IF(Config!$C$12="Weighted average",K66,IF(Config!$C$12="Weighted with floor",M66,L66))</f>
        <v>3.99</v>
      </c>
      <c r="O66" s="31" t="n">
        <f aca="false">IF(N66&lt;Config!$D$5,"",MATCH(N66,Config!$D$5:$D$9,1))</f>
        <v>4</v>
      </c>
      <c r="P66" s="7" t="str">
        <f aca="false">IF(O66="","No data",INDEX(Config!$B$5:$B$9,O66))</f>
        <v>Medium-High</v>
      </c>
      <c r="Q66" s="32" t="n">
        <v>0</v>
      </c>
      <c r="R66" s="8"/>
      <c r="S66" s="33"/>
      <c r="T66" s="34" t="n">
        <f aca="false">IF(O66="","",IF(AND(S66="Y",Q66&lt;&gt;0),MAX(1,MIN(5,O66+MAX(-Config!$C$27,MIN(Config!$C$27,Q66)))),O66))</f>
        <v>4</v>
      </c>
      <c r="U66" s="35" t="str">
        <f aca="false">IF(T66="","No data",INDEX(Config!$B$5:$B$9,T66))</f>
        <v>Medium-High</v>
      </c>
      <c r="V66" s="7" t="str">
        <f aca="false">IF(Q66=0,"None",IF(S66="Y","Applied","Pending HO approval"))</f>
        <v>None</v>
      </c>
      <c r="W66" s="36" t="n">
        <f aca="false">SUMPRODUCT((Indicators!$P$5:$P$35&gt;0)*('Indicator Data'!$L$5:$L$35&lt;&gt;""))/SUMPRODUCT(--(Indicators!$P$5:$P$35&gt;0))</f>
        <v>1</v>
      </c>
    </row>
    <row r="67" customFormat="false" ht="15" hidden="false" customHeight="false" outlineLevel="0" collapsed="false">
      <c r="A67" s="26" t="str">
        <f aca="false">Entities!$A$13</f>
        <v>SY</v>
      </c>
      <c r="B67" s="12" t="str">
        <f aca="false">INDEX(Entities!$B$5:$B$34,MATCH(A67,Entities!$A$5:$A$34,0))</f>
        <v>Arab Bank – Syria</v>
      </c>
      <c r="C67" s="12" t="str">
        <f aca="false">INDEX(Entities!$D$5:$D$34,MATCH(A67,Entities!$A$5:$A$34,0))</f>
        <v>Levant</v>
      </c>
      <c r="D67" s="12" t="s">
        <v>254</v>
      </c>
      <c r="E67" s="12" t="str">
        <f aca="false">INDEX('Risk Taxonomy'!$B$5:$B$24,MATCH(D67,'Risk Taxonomy'!$A$5:$A$24,0))</f>
        <v>Tax evasion and tax transparency</v>
      </c>
      <c r="F67" s="28" t="n">
        <f aca="false">IFERROR(SUMPRODUCT((Indicators!$B$5:$B$35=F$4)*Indicators!$Q$5:$Q$35*'Indicator Scores'!$L$5:$L$35)/SUMPRODUCT((Indicators!$B$5:$B$35=F$4)*Indicators!$Q$5:$Q$35*('Indicator Scores'!$L$5:$L$35&gt;0)),0)</f>
        <v>3.66666666666667</v>
      </c>
      <c r="G67" s="28" t="n">
        <f aca="false">IFERROR(SUMPRODUCT((Indicators!$B$5:$B$35=G$4)*Indicators!$Q$5:$Q$35*'Indicator Scores'!$L$5:$L$35)/SUMPRODUCT((Indicators!$B$5:$B$35=G$4)*Indicators!$Q$5:$Q$35*('Indicator Scores'!$L$5:$L$35&gt;0)),0)</f>
        <v>4.16666666666667</v>
      </c>
      <c r="H67" s="28" t="n">
        <f aca="false">IFERROR(SUMPRODUCT((Indicators!$B$5:$B$35=H$4)*Indicators!$Q$5:$Q$35*'Indicator Scores'!$L$5:$L$35)/SUMPRODUCT((Indicators!$B$5:$B$35=H$4)*Indicators!$Q$5:$Q$35*('Indicator Scores'!$L$5:$L$35&gt;0)),0)</f>
        <v>4.33333333333333</v>
      </c>
      <c r="I67" s="28" t="n">
        <f aca="false">IFERROR(SUMPRODUCT((Indicators!$B$5:$B$35=I$4)*Indicators!$Q$5:$Q$35*'Indicator Scores'!$L$5:$L$35)/SUMPRODUCT((Indicators!$B$5:$B$35=I$4)*Indicators!$Q$5:$Q$35*('Indicator Scores'!$L$5:$L$35&gt;0)),0)</f>
        <v>3</v>
      </c>
      <c r="J67" s="28" t="n">
        <f aca="false">IFERROR(SUMPRODUCT((Indicators!$B$5:$B$35=J$4)*Indicators!$Q$5:$Q$35*'Indicator Scores'!$L$5:$L$35)/SUMPRODUCT((Indicators!$B$5:$B$35=J$4)*Indicators!$Q$5:$Q$35*('Indicator Scores'!$L$5:$L$35&gt;0)),0)</f>
        <v>4.2</v>
      </c>
      <c r="K67" s="28" t="n">
        <f aca="false">IFERROR(SUMPRODUCT(F67:J67,INDEX('Factor Weights'!$C$5:$G$11,MATCH(D67,'Factor Weights'!$A$5:$A$11,0),0))/SUMPRODUCT((F67:J67&gt;0)*INDEX('Factor Weights'!$C$5:$G$11,MATCH(D67,'Factor Weights'!$A$5:$A$11,0),0)),0)</f>
        <v>3.91166666666667</v>
      </c>
      <c r="L67" s="29" t="n">
        <f aca="false">MAX(F67:J67)</f>
        <v>4.33333333333333</v>
      </c>
      <c r="M67" s="28" t="n">
        <f aca="false">IF(L67&gt;=Config!$C$13,MAX(K67,Config!$C$14),K67)</f>
        <v>3.91166666666667</v>
      </c>
      <c r="N67" s="30" t="n">
        <f aca="false">IF(Config!$C$12="Weighted average",K67,IF(Config!$C$12="Weighted with floor",M67,L67))</f>
        <v>3.91166666666667</v>
      </c>
      <c r="O67" s="31" t="n">
        <f aca="false">IF(N67&lt;Config!$D$5,"",MATCH(N67,Config!$D$5:$D$9,1))</f>
        <v>4</v>
      </c>
      <c r="P67" s="7" t="str">
        <f aca="false">IF(O67="","No data",INDEX(Config!$B$5:$B$9,O67))</f>
        <v>Medium-High</v>
      </c>
      <c r="Q67" s="32" t="n">
        <v>0</v>
      </c>
      <c r="R67" s="8"/>
      <c r="S67" s="33"/>
      <c r="T67" s="34" t="n">
        <f aca="false">IF(O67="","",IF(AND(S67="Y",Q67&lt;&gt;0),MAX(1,MIN(5,O67+MAX(-Config!$C$27,MIN(Config!$C$27,Q67)))),O67))</f>
        <v>4</v>
      </c>
      <c r="U67" s="35" t="str">
        <f aca="false">IF(T67="","No data",INDEX(Config!$B$5:$B$9,T67))</f>
        <v>Medium-High</v>
      </c>
      <c r="V67" s="7" t="str">
        <f aca="false">IF(Q67=0,"None",IF(S67="Y","Applied","Pending HO approval"))</f>
        <v>None</v>
      </c>
      <c r="W67" s="36" t="n">
        <f aca="false">SUMPRODUCT((Indicators!$Q$5:$Q$35&gt;0)*('Indicator Data'!$L$5:$L$35&lt;&gt;""))/SUMPRODUCT(--(Indicators!$Q$5:$Q$35&gt;0))</f>
        <v>1</v>
      </c>
    </row>
    <row r="68" customFormat="false" ht="15" hidden="false" customHeight="false" outlineLevel="0" collapsed="false">
      <c r="A68" s="26" t="str">
        <f aca="false">Entities!$A$14</f>
        <v>AE</v>
      </c>
      <c r="B68" s="12" t="str">
        <f aca="false">INDEX(Entities!$B$5:$B$34,MATCH(A68,Entities!$A$5:$A$34,0))</f>
        <v>Arab Bank – UAE</v>
      </c>
      <c r="C68" s="12" t="str">
        <f aca="false">INDEX(Entities!$D$5:$D$34,MATCH(A68,Entities!$A$5:$A$34,0))</f>
        <v>GCC</v>
      </c>
      <c r="D68" s="12" t="s">
        <v>233</v>
      </c>
      <c r="E68" s="12" t="str">
        <f aca="false">INDEX('Risk Taxonomy'!$B$5:$B$24,MATCH(D68,'Risk Taxonomy'!$A$5:$A$24,0))</f>
        <v>Money laundering</v>
      </c>
      <c r="F68" s="28" t="n">
        <f aca="false">IFERROR(SUMPRODUCT((Indicators!$B$5:$B$35=F$4)*Indicators!$K$5:$K$35*'Indicator Scores'!$M$5:$M$35)/SUMPRODUCT((Indicators!$B$5:$B$35=F$4)*Indicators!$K$5:$K$35*('Indicator Scores'!$M$5:$M$35&gt;0)),0)</f>
        <v>2.75</v>
      </c>
      <c r="G68" s="28" t="n">
        <f aca="false">IFERROR(SUMPRODUCT((Indicators!$B$5:$B$35=G$4)*Indicators!$K$5:$K$35*'Indicator Scores'!$M$5:$M$35)/SUMPRODUCT((Indicators!$B$5:$B$35=G$4)*Indicators!$K$5:$K$35*('Indicator Scores'!$M$5:$M$35&gt;0)),0)</f>
        <v>3</v>
      </c>
      <c r="H68" s="28" t="n">
        <f aca="false">IFERROR(SUMPRODUCT((Indicators!$B$5:$B$35=H$4)*Indicators!$K$5:$K$35*'Indicator Scores'!$M$5:$M$35)/SUMPRODUCT((Indicators!$B$5:$B$35=H$4)*Indicators!$K$5:$K$35*('Indicator Scores'!$M$5:$M$35&gt;0)),0)</f>
        <v>2.8</v>
      </c>
      <c r="I68" s="28" t="n">
        <f aca="false">IFERROR(SUMPRODUCT((Indicators!$B$5:$B$35=I$4)*Indicators!$K$5:$K$35*'Indicator Scores'!$M$5:$M$35)/SUMPRODUCT((Indicators!$B$5:$B$35=I$4)*Indicators!$K$5:$K$35*('Indicator Scores'!$M$5:$M$35&gt;0)),0)</f>
        <v>3.28571428571429</v>
      </c>
      <c r="J68" s="28" t="n">
        <f aca="false">IFERROR(SUMPRODUCT((Indicators!$B$5:$B$35=J$4)*Indicators!$K$5:$K$35*'Indicator Scores'!$M$5:$M$35)/SUMPRODUCT((Indicators!$B$5:$B$35=J$4)*Indicators!$K$5:$K$35*('Indicator Scores'!$M$5:$M$35&gt;0)),0)</f>
        <v>2.5</v>
      </c>
      <c r="K68" s="28" t="n">
        <f aca="false">IFERROR(SUMPRODUCT(F68:J68,INDEX('Factor Weights'!$C$5:$G$11,MATCH(D68,'Factor Weights'!$A$5:$A$11,0),0))/SUMPRODUCT((F68:J68&gt;0)*INDEX('Factor Weights'!$C$5:$G$11,MATCH(D68,'Factor Weights'!$A$5:$A$11,0),0)),0)</f>
        <v>2.87785714285714</v>
      </c>
      <c r="L68" s="29" t="n">
        <f aca="false">MAX(F68:J68)</f>
        <v>3.28571428571429</v>
      </c>
      <c r="M68" s="28" t="n">
        <f aca="false">IF(L68&gt;=Config!$C$13,MAX(K68,Config!$C$14),K68)</f>
        <v>2.87785714285714</v>
      </c>
      <c r="N68" s="30" t="n">
        <f aca="false">IF(Config!$C$12="Weighted average",K68,IF(Config!$C$12="Weighted with floor",M68,L68))</f>
        <v>2.87785714285714</v>
      </c>
      <c r="O68" s="31" t="n">
        <f aca="false">IF(N68&lt;Config!$D$5,"",MATCH(N68,Config!$D$5:$D$9,1))</f>
        <v>3</v>
      </c>
      <c r="P68" s="7" t="str">
        <f aca="false">IF(O68="","No data",INDEX(Config!$B$5:$B$9,O68))</f>
        <v>Medium</v>
      </c>
      <c r="Q68" s="32" t="n">
        <v>0</v>
      </c>
      <c r="R68" s="8"/>
      <c r="S68" s="33"/>
      <c r="T68" s="34" t="n">
        <f aca="false">IF(O68="","",IF(AND(S68="Y",Q68&lt;&gt;0),MAX(1,MIN(5,O68+MAX(-Config!$C$27,MIN(Config!$C$27,Q68)))),O68))</f>
        <v>3</v>
      </c>
      <c r="U68" s="35" t="str">
        <f aca="false">IF(T68="","No data",INDEX(Config!$B$5:$B$9,T68))</f>
        <v>Medium</v>
      </c>
      <c r="V68" s="7" t="str">
        <f aca="false">IF(Q68=0,"None",IF(S68="Y","Applied","Pending HO approval"))</f>
        <v>None</v>
      </c>
      <c r="W68" s="36" t="n">
        <f aca="false">SUMPRODUCT((Indicators!$K$5:$K$35&gt;0)*('Indicator Data'!$M$5:$M$35&lt;&gt;""))/SUMPRODUCT(--(Indicators!$K$5:$K$35&gt;0))</f>
        <v>1</v>
      </c>
    </row>
    <row r="69" customFormat="false" ht="15" hidden="false" customHeight="false" outlineLevel="0" collapsed="false">
      <c r="A69" s="26" t="str">
        <f aca="false">Entities!$A$14</f>
        <v>AE</v>
      </c>
      <c r="B69" s="12" t="str">
        <f aca="false">INDEX(Entities!$B$5:$B$34,MATCH(A69,Entities!$A$5:$A$34,0))</f>
        <v>Arab Bank – UAE</v>
      </c>
      <c r="C69" s="12" t="str">
        <f aca="false">INDEX(Entities!$D$5:$D$34,MATCH(A69,Entities!$A$5:$A$34,0))</f>
        <v>GCC</v>
      </c>
      <c r="D69" s="12" t="s">
        <v>240</v>
      </c>
      <c r="E69" s="12" t="str">
        <f aca="false">INDEX('Risk Taxonomy'!$B$5:$B$24,MATCH(D69,'Risk Taxonomy'!$A$5:$A$24,0))</f>
        <v>Terrorist financing</v>
      </c>
      <c r="F69" s="28" t="n">
        <f aca="false">IFERROR(SUMPRODUCT((Indicators!$B$5:$B$35=F$4)*Indicators!$L$5:$L$35*'Indicator Scores'!$M$5:$M$35)/SUMPRODUCT((Indicators!$B$5:$B$35=F$4)*Indicators!$L$5:$L$35*('Indicator Scores'!$M$5:$M$35&gt;0)),0)</f>
        <v>3.2</v>
      </c>
      <c r="G69" s="28" t="n">
        <f aca="false">IFERROR(SUMPRODUCT((Indicators!$B$5:$B$35=G$4)*Indicators!$L$5:$L$35*'Indicator Scores'!$M$5:$M$35)/SUMPRODUCT((Indicators!$B$5:$B$35=G$4)*Indicators!$L$5:$L$35*('Indicator Scores'!$M$5:$M$35&gt;0)),0)</f>
        <v>2.33333333333333</v>
      </c>
      <c r="H69" s="28" t="n">
        <f aca="false">IFERROR(SUMPRODUCT((Indicators!$B$5:$B$35=H$4)*Indicators!$L$5:$L$35*'Indicator Scores'!$M$5:$M$35)/SUMPRODUCT((Indicators!$B$5:$B$35=H$4)*Indicators!$L$5:$L$35*('Indicator Scores'!$M$5:$M$35&gt;0)),0)</f>
        <v>2.66666666666667</v>
      </c>
      <c r="I69" s="28" t="n">
        <f aca="false">IFERROR(SUMPRODUCT((Indicators!$B$5:$B$35=I$4)*Indicators!$L$5:$L$35*'Indicator Scores'!$M$5:$M$35)/SUMPRODUCT((Indicators!$B$5:$B$35=I$4)*Indicators!$L$5:$L$35*('Indicator Scores'!$M$5:$M$35&gt;0)),0)</f>
        <v>3.16666666666667</v>
      </c>
      <c r="J69" s="28" t="n">
        <f aca="false">IFERROR(SUMPRODUCT((Indicators!$B$5:$B$35=J$4)*Indicators!$L$5:$L$35*'Indicator Scores'!$M$5:$M$35)/SUMPRODUCT((Indicators!$B$5:$B$35=J$4)*Indicators!$L$5:$L$35*('Indicator Scores'!$M$5:$M$35&gt;0)),0)</f>
        <v>2.71428571428571</v>
      </c>
      <c r="K69" s="28" t="n">
        <f aca="false">IFERROR(SUMPRODUCT(F69:J69,INDEX('Factor Weights'!$C$5:$G$11,MATCH(D69,'Factor Weights'!$A$5:$A$11,0),0))/SUMPRODUCT((F69:J69&gt;0)*INDEX('Factor Weights'!$C$5:$G$11,MATCH(D69,'Factor Weights'!$A$5:$A$11,0),0)),0)</f>
        <v>2.75952380952381</v>
      </c>
      <c r="L69" s="29" t="n">
        <f aca="false">MAX(F69:J69)</f>
        <v>3.2</v>
      </c>
      <c r="M69" s="28" t="n">
        <f aca="false">IF(L69&gt;=Config!$C$13,MAX(K69,Config!$C$14),K69)</f>
        <v>2.75952380952381</v>
      </c>
      <c r="N69" s="30" t="n">
        <f aca="false">IF(Config!$C$12="Weighted average",K69,IF(Config!$C$12="Weighted with floor",M69,L69))</f>
        <v>2.75952380952381</v>
      </c>
      <c r="O69" s="31" t="n">
        <f aca="false">IF(N69&lt;Config!$D$5,"",MATCH(N69,Config!$D$5:$D$9,1))</f>
        <v>3</v>
      </c>
      <c r="P69" s="7" t="str">
        <f aca="false">IF(O69="","No data",INDEX(Config!$B$5:$B$9,O69))</f>
        <v>Medium</v>
      </c>
      <c r="Q69" s="32" t="n">
        <v>0</v>
      </c>
      <c r="R69" s="8"/>
      <c r="S69" s="33"/>
      <c r="T69" s="34" t="n">
        <f aca="false">IF(O69="","",IF(AND(S69="Y",Q69&lt;&gt;0),MAX(1,MIN(5,O69+MAX(-Config!$C$27,MIN(Config!$C$27,Q69)))),O69))</f>
        <v>3</v>
      </c>
      <c r="U69" s="35" t="str">
        <f aca="false">IF(T69="","No data",INDEX(Config!$B$5:$B$9,T69))</f>
        <v>Medium</v>
      </c>
      <c r="V69" s="7" t="str">
        <f aca="false">IF(Q69=0,"None",IF(S69="Y","Applied","Pending HO approval"))</f>
        <v>None</v>
      </c>
      <c r="W69" s="36" t="n">
        <f aca="false">SUMPRODUCT((Indicators!$L$5:$L$35&gt;0)*('Indicator Data'!$M$5:$M$35&lt;&gt;""))/SUMPRODUCT(--(Indicators!$L$5:$L$35&gt;0))</f>
        <v>1</v>
      </c>
    </row>
    <row r="70" customFormat="false" ht="15" hidden="false" customHeight="false" outlineLevel="0" collapsed="false">
      <c r="A70" s="26" t="str">
        <f aca="false">Entities!$A$14</f>
        <v>AE</v>
      </c>
      <c r="B70" s="12" t="str">
        <f aca="false">INDEX(Entities!$B$5:$B$34,MATCH(A70,Entities!$A$5:$A$34,0))</f>
        <v>Arab Bank – UAE</v>
      </c>
      <c r="C70" s="12" t="str">
        <f aca="false">INDEX(Entities!$D$5:$D$34,MATCH(A70,Entities!$A$5:$A$34,0))</f>
        <v>GCC</v>
      </c>
      <c r="D70" s="12" t="s">
        <v>243</v>
      </c>
      <c r="E70" s="12" t="str">
        <f aca="false">INDEX('Risk Taxonomy'!$B$5:$B$24,MATCH(D70,'Risk Taxonomy'!$A$5:$A$24,0))</f>
        <v>Proliferation financing</v>
      </c>
      <c r="F70" s="28" t="n">
        <f aca="false">IFERROR(SUMPRODUCT((Indicators!$B$5:$B$35=F$4)*Indicators!$M$5:$M$35*'Indicator Scores'!$M$5:$M$35)/SUMPRODUCT((Indicators!$B$5:$B$35=F$4)*Indicators!$M$5:$M$35*('Indicator Scores'!$M$5:$M$35&gt;0)),0)</f>
        <v>2.25</v>
      </c>
      <c r="G70" s="28" t="n">
        <f aca="false">IFERROR(SUMPRODUCT((Indicators!$B$5:$B$35=G$4)*Indicators!$M$5:$M$35*'Indicator Scores'!$M$5:$M$35)/SUMPRODUCT((Indicators!$B$5:$B$35=G$4)*Indicators!$M$5:$M$35*('Indicator Scores'!$M$5:$M$35&gt;0)),0)</f>
        <v>2.75</v>
      </c>
      <c r="H70" s="28" t="n">
        <f aca="false">IFERROR(SUMPRODUCT((Indicators!$B$5:$B$35=H$4)*Indicators!$M$5:$M$35*'Indicator Scores'!$M$5:$M$35)/SUMPRODUCT((Indicators!$B$5:$B$35=H$4)*Indicators!$M$5:$M$35*('Indicator Scores'!$M$5:$M$35&gt;0)),0)</f>
        <v>2.66666666666667</v>
      </c>
      <c r="I70" s="28" t="n">
        <f aca="false">IFERROR(SUMPRODUCT((Indicators!$B$5:$B$35=I$4)*Indicators!$M$5:$M$35*'Indicator Scores'!$M$5:$M$35)/SUMPRODUCT((Indicators!$B$5:$B$35=I$4)*Indicators!$M$5:$M$35*('Indicator Scores'!$M$5:$M$35&gt;0)),0)</f>
        <v>3</v>
      </c>
      <c r="J70" s="28" t="n">
        <f aca="false">IFERROR(SUMPRODUCT((Indicators!$B$5:$B$35=J$4)*Indicators!$M$5:$M$35*'Indicator Scores'!$M$5:$M$35)/SUMPRODUCT((Indicators!$B$5:$B$35=J$4)*Indicators!$M$5:$M$35*('Indicator Scores'!$M$5:$M$35&gt;0)),0)</f>
        <v>1.5</v>
      </c>
      <c r="K70" s="28" t="n">
        <f aca="false">IFERROR(SUMPRODUCT(F70:J70,INDEX('Factor Weights'!$C$5:$G$11,MATCH(D70,'Factor Weights'!$A$5:$A$11,0),0))/SUMPRODUCT((F70:J70&gt;0)*INDEX('Factor Weights'!$C$5:$G$11,MATCH(D70,'Factor Weights'!$A$5:$A$11,0),0)),0)</f>
        <v>2.4125</v>
      </c>
      <c r="L70" s="29" t="n">
        <f aca="false">MAX(F70:J70)</f>
        <v>3</v>
      </c>
      <c r="M70" s="28" t="n">
        <f aca="false">IF(L70&gt;=Config!$C$13,MAX(K70,Config!$C$14),K70)</f>
        <v>2.4125</v>
      </c>
      <c r="N70" s="30" t="n">
        <f aca="false">IF(Config!$C$12="Weighted average",K70,IF(Config!$C$12="Weighted with floor",M70,L70))</f>
        <v>2.4125</v>
      </c>
      <c r="O70" s="31" t="n">
        <f aca="false">IF(N70&lt;Config!$D$5,"",MATCH(N70,Config!$D$5:$D$9,1))</f>
        <v>2</v>
      </c>
      <c r="P70" s="7" t="str">
        <f aca="false">IF(O70="","No data",INDEX(Config!$B$5:$B$9,O70))</f>
        <v>Medium-Low</v>
      </c>
      <c r="Q70" s="32" t="n">
        <v>0</v>
      </c>
      <c r="R70" s="8"/>
      <c r="S70" s="33"/>
      <c r="T70" s="34" t="n">
        <f aca="false">IF(O70="","",IF(AND(S70="Y",Q70&lt;&gt;0),MAX(1,MIN(5,O70+MAX(-Config!$C$27,MIN(Config!$C$27,Q70)))),O70))</f>
        <v>2</v>
      </c>
      <c r="U70" s="35" t="str">
        <f aca="false">IF(T70="","No data",INDEX(Config!$B$5:$B$9,T70))</f>
        <v>Medium-Low</v>
      </c>
      <c r="V70" s="7" t="str">
        <f aca="false">IF(Q70=0,"None",IF(S70="Y","Applied","Pending HO approval"))</f>
        <v>None</v>
      </c>
      <c r="W70" s="36" t="n">
        <f aca="false">SUMPRODUCT((Indicators!$M$5:$M$35&gt;0)*('Indicator Data'!$M$5:$M$35&lt;&gt;""))/SUMPRODUCT(--(Indicators!$M$5:$M$35&gt;0))</f>
        <v>1</v>
      </c>
    </row>
    <row r="71" customFormat="false" ht="15" hidden="false" customHeight="false" outlineLevel="0" collapsed="false">
      <c r="A71" s="26" t="str">
        <f aca="false">Entities!$A$14</f>
        <v>AE</v>
      </c>
      <c r="B71" s="12" t="str">
        <f aca="false">INDEX(Entities!$B$5:$B$34,MATCH(A71,Entities!$A$5:$A$34,0))</f>
        <v>Arab Bank – UAE</v>
      </c>
      <c r="C71" s="12" t="str">
        <f aca="false">INDEX(Entities!$D$5:$D$34,MATCH(A71,Entities!$A$5:$A$34,0))</f>
        <v>GCC</v>
      </c>
      <c r="D71" s="12" t="s">
        <v>245</v>
      </c>
      <c r="E71" s="12" t="str">
        <f aca="false">INDEX('Risk Taxonomy'!$B$5:$B$24,MATCH(D71,'Risk Taxonomy'!$A$5:$A$24,0))</f>
        <v>Sanctions</v>
      </c>
      <c r="F71" s="28" t="n">
        <f aca="false">IFERROR(SUMPRODUCT((Indicators!$B$5:$B$35=F$4)*Indicators!$N$5:$N$35*'Indicator Scores'!$M$5:$M$35)/SUMPRODUCT((Indicators!$B$5:$B$35=F$4)*Indicators!$N$5:$N$35*('Indicator Scores'!$M$5:$M$35&gt;0)),0)</f>
        <v>2.71428571428571</v>
      </c>
      <c r="G71" s="28" t="n">
        <f aca="false">IFERROR(SUMPRODUCT((Indicators!$B$5:$B$35=G$4)*Indicators!$N$5:$N$35*'Indicator Scores'!$M$5:$M$35)/SUMPRODUCT((Indicators!$B$5:$B$35=G$4)*Indicators!$N$5:$N$35*('Indicator Scores'!$M$5:$M$35&gt;0)),0)</f>
        <v>2.71428571428571</v>
      </c>
      <c r="H71" s="28" t="n">
        <f aca="false">IFERROR(SUMPRODUCT((Indicators!$B$5:$B$35=H$4)*Indicators!$N$5:$N$35*'Indicator Scores'!$M$5:$M$35)/SUMPRODUCT((Indicators!$B$5:$B$35=H$4)*Indicators!$N$5:$N$35*('Indicator Scores'!$M$5:$M$35&gt;0)),0)</f>
        <v>2.75</v>
      </c>
      <c r="I71" s="28" t="n">
        <f aca="false">IFERROR(SUMPRODUCT((Indicators!$B$5:$B$35=I$4)*Indicators!$N$5:$N$35*'Indicator Scores'!$M$5:$M$35)/SUMPRODUCT((Indicators!$B$5:$B$35=I$4)*Indicators!$N$5:$N$35*('Indicator Scores'!$M$5:$M$35&gt;0)),0)</f>
        <v>3</v>
      </c>
      <c r="J71" s="28" t="n">
        <f aca="false">IFERROR(SUMPRODUCT((Indicators!$B$5:$B$35=J$4)*Indicators!$N$5:$N$35*'Indicator Scores'!$M$5:$M$35)/SUMPRODUCT((Indicators!$B$5:$B$35=J$4)*Indicators!$N$5:$N$35*('Indicator Scores'!$M$5:$M$35&gt;0)),0)</f>
        <v>1.6</v>
      </c>
      <c r="K71" s="28" t="n">
        <f aca="false">IFERROR(SUMPRODUCT(F71:J71,INDEX('Factor Weights'!$C$5:$G$11,MATCH(D71,'Factor Weights'!$A$5:$A$11,0),0))/SUMPRODUCT((F71:J71&gt;0)*INDEX('Factor Weights'!$C$5:$G$11,MATCH(D71,'Factor Weights'!$A$5:$A$11,0),0)),0)</f>
        <v>2.51285714285714</v>
      </c>
      <c r="L71" s="29" t="n">
        <f aca="false">MAX(F71:J71)</f>
        <v>3</v>
      </c>
      <c r="M71" s="28" t="n">
        <f aca="false">IF(L71&gt;=Config!$C$13,MAX(K71,Config!$C$14),K71)</f>
        <v>2.51285714285714</v>
      </c>
      <c r="N71" s="30" t="n">
        <f aca="false">IF(Config!$C$12="Weighted average",K71,IF(Config!$C$12="Weighted with floor",M71,L71))</f>
        <v>2.51285714285714</v>
      </c>
      <c r="O71" s="31" t="n">
        <f aca="false">IF(N71&lt;Config!$D$5,"",MATCH(N71,Config!$D$5:$D$9,1))</f>
        <v>2</v>
      </c>
      <c r="P71" s="7" t="str">
        <f aca="false">IF(O71="","No data",INDEX(Config!$B$5:$B$9,O71))</f>
        <v>Medium-Low</v>
      </c>
      <c r="Q71" s="32" t="n">
        <v>1</v>
      </c>
      <c r="R71" s="8" t="s">
        <v>431</v>
      </c>
      <c r="S71" s="33" t="s">
        <v>84</v>
      </c>
      <c r="T71" s="34" t="n">
        <f aca="false">IF(O71="","",IF(AND(S71="Y",Q71&lt;&gt;0),MAX(1,MIN(5,O71+MAX(-Config!$C$27,MIN(Config!$C$27,Q71)))),O71))</f>
        <v>3</v>
      </c>
      <c r="U71" s="35" t="str">
        <f aca="false">IF(T71="","No data",INDEX(Config!$B$5:$B$9,T71))</f>
        <v>Medium</v>
      </c>
      <c r="V71" s="7" t="str">
        <f aca="false">IF(Q71=0,"None",IF(S71="Y","Applied","Pending HO approval"))</f>
        <v>Applied</v>
      </c>
      <c r="W71" s="36" t="n">
        <f aca="false">SUMPRODUCT((Indicators!$N$5:$N$35&gt;0)*('Indicator Data'!$M$5:$M$35&lt;&gt;""))/SUMPRODUCT(--(Indicators!$N$5:$N$35&gt;0))</f>
        <v>1</v>
      </c>
    </row>
    <row r="72" customFormat="false" ht="15" hidden="false" customHeight="false" outlineLevel="0" collapsed="false">
      <c r="A72" s="26" t="str">
        <f aca="false">Entities!$A$14</f>
        <v>AE</v>
      </c>
      <c r="B72" s="12" t="str">
        <f aca="false">INDEX(Entities!$B$5:$B$34,MATCH(A72,Entities!$A$5:$A$34,0))</f>
        <v>Arab Bank – UAE</v>
      </c>
      <c r="C72" s="12" t="str">
        <f aca="false">INDEX(Entities!$D$5:$D$34,MATCH(A72,Entities!$A$5:$A$34,0))</f>
        <v>GCC</v>
      </c>
      <c r="D72" s="12" t="s">
        <v>248</v>
      </c>
      <c r="E72" s="12" t="str">
        <f aca="false">INDEX('Risk Taxonomy'!$B$5:$B$24,MATCH(D72,'Risk Taxonomy'!$A$5:$A$24,0))</f>
        <v>Bribery and corruption</v>
      </c>
      <c r="F72" s="28" t="n">
        <f aca="false">IFERROR(SUMPRODUCT((Indicators!$B$5:$B$35=F$4)*Indicators!$O$5:$O$35*'Indicator Scores'!$M$5:$M$35)/SUMPRODUCT((Indicators!$B$5:$B$35=F$4)*Indicators!$O$5:$O$35*('Indicator Scores'!$M$5:$M$35&gt;0)),0)</f>
        <v>2.88888888888889</v>
      </c>
      <c r="G72" s="28" t="n">
        <f aca="false">IFERROR(SUMPRODUCT((Indicators!$B$5:$B$35=G$4)*Indicators!$O$5:$O$35*'Indicator Scores'!$M$5:$M$35)/SUMPRODUCT((Indicators!$B$5:$B$35=G$4)*Indicators!$O$5:$O$35*('Indicator Scores'!$M$5:$M$35&gt;0)),0)</f>
        <v>3.6</v>
      </c>
      <c r="H72" s="28" t="n">
        <f aca="false">IFERROR(SUMPRODUCT((Indicators!$B$5:$B$35=H$4)*Indicators!$O$5:$O$35*'Indicator Scores'!$M$5:$M$35)/SUMPRODUCT((Indicators!$B$5:$B$35=H$4)*Indicators!$O$5:$O$35*('Indicator Scores'!$M$5:$M$35&gt;0)),0)</f>
        <v>3</v>
      </c>
      <c r="I72" s="28" t="n">
        <f aca="false">IFERROR(SUMPRODUCT((Indicators!$B$5:$B$35=I$4)*Indicators!$O$5:$O$35*'Indicator Scores'!$M$5:$M$35)/SUMPRODUCT((Indicators!$B$5:$B$35=I$4)*Indicators!$O$5:$O$35*('Indicator Scores'!$M$5:$M$35&gt;0)),0)</f>
        <v>2.4</v>
      </c>
      <c r="J72" s="28" t="n">
        <f aca="false">IFERROR(SUMPRODUCT((Indicators!$B$5:$B$35=J$4)*Indicators!$O$5:$O$35*'Indicator Scores'!$M$5:$M$35)/SUMPRODUCT((Indicators!$B$5:$B$35=J$4)*Indicators!$O$5:$O$35*('Indicator Scores'!$M$5:$M$35&gt;0)),0)</f>
        <v>1</v>
      </c>
      <c r="K72" s="28" t="n">
        <f aca="false">IFERROR(SUMPRODUCT(F72:J72,INDEX('Factor Weights'!$C$5:$G$11,MATCH(D72,'Factor Weights'!$A$5:$A$11,0),0))/SUMPRODUCT((F72:J72&gt;0)*INDEX('Factor Weights'!$C$5:$G$11,MATCH(D72,'Factor Weights'!$A$5:$A$11,0),0)),0)</f>
        <v>2.79666666666667</v>
      </c>
      <c r="L72" s="29" t="n">
        <f aca="false">MAX(F72:J72)</f>
        <v>3.6</v>
      </c>
      <c r="M72" s="28" t="n">
        <f aca="false">IF(L72&gt;=Config!$C$13,MAX(K72,Config!$C$14),K72)</f>
        <v>2.79666666666667</v>
      </c>
      <c r="N72" s="30" t="n">
        <f aca="false">IF(Config!$C$12="Weighted average",K72,IF(Config!$C$12="Weighted with floor",M72,L72))</f>
        <v>2.79666666666667</v>
      </c>
      <c r="O72" s="31" t="n">
        <f aca="false">IF(N72&lt;Config!$D$5,"",MATCH(N72,Config!$D$5:$D$9,1))</f>
        <v>3</v>
      </c>
      <c r="P72" s="7" t="str">
        <f aca="false">IF(O72="","No data",INDEX(Config!$B$5:$B$9,O72))</f>
        <v>Medium</v>
      </c>
      <c r="Q72" s="32" t="n">
        <v>0</v>
      </c>
      <c r="R72" s="8"/>
      <c r="S72" s="33"/>
      <c r="T72" s="34" t="n">
        <f aca="false">IF(O72="","",IF(AND(S72="Y",Q72&lt;&gt;0),MAX(1,MIN(5,O72+MAX(-Config!$C$27,MIN(Config!$C$27,Q72)))),O72))</f>
        <v>3</v>
      </c>
      <c r="U72" s="35" t="str">
        <f aca="false">IF(T72="","No data",INDEX(Config!$B$5:$B$9,T72))</f>
        <v>Medium</v>
      </c>
      <c r="V72" s="7" t="str">
        <f aca="false">IF(Q72=0,"None",IF(S72="Y","Applied","Pending HO approval"))</f>
        <v>None</v>
      </c>
      <c r="W72" s="36" t="n">
        <f aca="false">SUMPRODUCT((Indicators!$O$5:$O$35&gt;0)*('Indicator Data'!$M$5:$M$35&lt;&gt;""))/SUMPRODUCT(--(Indicators!$O$5:$O$35&gt;0))</f>
        <v>1</v>
      </c>
    </row>
    <row r="73" customFormat="false" ht="15" hidden="false" customHeight="false" outlineLevel="0" collapsed="false">
      <c r="A73" s="26" t="str">
        <f aca="false">Entities!$A$14</f>
        <v>AE</v>
      </c>
      <c r="B73" s="12" t="str">
        <f aca="false">INDEX(Entities!$B$5:$B$34,MATCH(A73,Entities!$A$5:$A$34,0))</f>
        <v>Arab Bank – UAE</v>
      </c>
      <c r="C73" s="12" t="str">
        <f aca="false">INDEX(Entities!$D$5:$D$34,MATCH(A73,Entities!$A$5:$A$34,0))</f>
        <v>GCC</v>
      </c>
      <c r="D73" s="12" t="s">
        <v>251</v>
      </c>
      <c r="E73" s="12" t="str">
        <f aca="false">INDEX('Risk Taxonomy'!$B$5:$B$24,MATCH(D73,'Risk Taxonomy'!$A$5:$A$24,0))</f>
        <v>Fraud</v>
      </c>
      <c r="F73" s="28" t="n">
        <f aca="false">IFERROR(SUMPRODUCT((Indicators!$B$5:$B$35=F$4)*Indicators!$P$5:$P$35*'Indicator Scores'!$M$5:$M$35)/SUMPRODUCT((Indicators!$B$5:$B$35=F$4)*Indicators!$P$5:$P$35*('Indicator Scores'!$M$5:$M$35&gt;0)),0)</f>
        <v>3.33333333333333</v>
      </c>
      <c r="G73" s="28" t="n">
        <f aca="false">IFERROR(SUMPRODUCT((Indicators!$B$5:$B$35=G$4)*Indicators!$P$5:$P$35*'Indicator Scores'!$M$5:$M$35)/SUMPRODUCT((Indicators!$B$5:$B$35=G$4)*Indicators!$P$5:$P$35*('Indicator Scores'!$M$5:$M$35&gt;0)),0)</f>
        <v>2.75</v>
      </c>
      <c r="H73" s="28" t="n">
        <f aca="false">IFERROR(SUMPRODUCT((Indicators!$B$5:$B$35=H$4)*Indicators!$P$5:$P$35*'Indicator Scores'!$M$5:$M$35)/SUMPRODUCT((Indicators!$B$5:$B$35=H$4)*Indicators!$P$5:$P$35*('Indicator Scores'!$M$5:$M$35&gt;0)),0)</f>
        <v>2.6</v>
      </c>
      <c r="I73" s="28" t="n">
        <f aca="false">IFERROR(SUMPRODUCT((Indicators!$B$5:$B$35=I$4)*Indicators!$P$5:$P$35*'Indicator Scores'!$M$5:$M$35)/SUMPRODUCT((Indicators!$B$5:$B$35=I$4)*Indicators!$P$5:$P$35*('Indicator Scores'!$M$5:$M$35&gt;0)),0)</f>
        <v>3.33333333333333</v>
      </c>
      <c r="J73" s="28" t="n">
        <f aca="false">IFERROR(SUMPRODUCT((Indicators!$B$5:$B$35=J$4)*Indicators!$P$5:$P$35*'Indicator Scores'!$M$5:$M$35)/SUMPRODUCT((Indicators!$B$5:$B$35=J$4)*Indicators!$P$5:$P$35*('Indicator Scores'!$M$5:$M$35&gt;0)),0)</f>
        <v>3.8</v>
      </c>
      <c r="K73" s="28" t="n">
        <f aca="false">IFERROR(SUMPRODUCT(F73:J73,INDEX('Factor Weights'!$C$5:$G$11,MATCH(D73,'Factor Weights'!$A$5:$A$11,0),0))/SUMPRODUCT((F73:J73&gt;0)*INDEX('Factor Weights'!$C$5:$G$11,MATCH(D73,'Factor Weights'!$A$5:$A$11,0),0)),0)</f>
        <v>3.22166666666667</v>
      </c>
      <c r="L73" s="29" t="n">
        <f aca="false">MAX(F73:J73)</f>
        <v>3.8</v>
      </c>
      <c r="M73" s="28" t="n">
        <f aca="false">IF(L73&gt;=Config!$C$13,MAX(K73,Config!$C$14),K73)</f>
        <v>3.22166666666667</v>
      </c>
      <c r="N73" s="30" t="n">
        <f aca="false">IF(Config!$C$12="Weighted average",K73,IF(Config!$C$12="Weighted with floor",M73,L73))</f>
        <v>3.22166666666667</v>
      </c>
      <c r="O73" s="31" t="n">
        <f aca="false">IF(N73&lt;Config!$D$5,"",MATCH(N73,Config!$D$5:$D$9,1))</f>
        <v>3</v>
      </c>
      <c r="P73" s="7" t="str">
        <f aca="false">IF(O73="","No data",INDEX(Config!$B$5:$B$9,O73))</f>
        <v>Medium</v>
      </c>
      <c r="Q73" s="32" t="n">
        <v>0</v>
      </c>
      <c r="R73" s="8"/>
      <c r="S73" s="33"/>
      <c r="T73" s="34" t="n">
        <f aca="false">IF(O73="","",IF(AND(S73="Y",Q73&lt;&gt;0),MAX(1,MIN(5,O73+MAX(-Config!$C$27,MIN(Config!$C$27,Q73)))),O73))</f>
        <v>3</v>
      </c>
      <c r="U73" s="35" t="str">
        <f aca="false">IF(T73="","No data",INDEX(Config!$B$5:$B$9,T73))</f>
        <v>Medium</v>
      </c>
      <c r="V73" s="7" t="str">
        <f aca="false">IF(Q73=0,"None",IF(S73="Y","Applied","Pending HO approval"))</f>
        <v>None</v>
      </c>
      <c r="W73" s="36" t="n">
        <f aca="false">SUMPRODUCT((Indicators!$P$5:$P$35&gt;0)*('Indicator Data'!$M$5:$M$35&lt;&gt;""))/SUMPRODUCT(--(Indicators!$P$5:$P$35&gt;0))</f>
        <v>1</v>
      </c>
    </row>
    <row r="74" customFormat="false" ht="15" hidden="false" customHeight="false" outlineLevel="0" collapsed="false">
      <c r="A74" s="26" t="str">
        <f aca="false">Entities!$A$14</f>
        <v>AE</v>
      </c>
      <c r="B74" s="12" t="str">
        <f aca="false">INDEX(Entities!$B$5:$B$34,MATCH(A74,Entities!$A$5:$A$34,0))</f>
        <v>Arab Bank – UAE</v>
      </c>
      <c r="C74" s="12" t="str">
        <f aca="false">INDEX(Entities!$D$5:$D$34,MATCH(A74,Entities!$A$5:$A$34,0))</f>
        <v>GCC</v>
      </c>
      <c r="D74" s="12" t="s">
        <v>254</v>
      </c>
      <c r="E74" s="12" t="str">
        <f aca="false">INDEX('Risk Taxonomy'!$B$5:$B$24,MATCH(D74,'Risk Taxonomy'!$A$5:$A$24,0))</f>
        <v>Tax evasion and tax transparency</v>
      </c>
      <c r="F74" s="28" t="n">
        <f aca="false">IFERROR(SUMPRODUCT((Indicators!$B$5:$B$35=F$4)*Indicators!$Q$5:$Q$35*'Indicator Scores'!$M$5:$M$35)/SUMPRODUCT((Indicators!$B$5:$B$35=F$4)*Indicators!$Q$5:$Q$35*('Indicator Scores'!$M$5:$M$35&gt;0)),0)</f>
        <v>2.55555555555556</v>
      </c>
      <c r="G74" s="28" t="n">
        <f aca="false">IFERROR(SUMPRODUCT((Indicators!$B$5:$B$35=G$4)*Indicators!$Q$5:$Q$35*'Indicator Scores'!$M$5:$M$35)/SUMPRODUCT((Indicators!$B$5:$B$35=G$4)*Indicators!$Q$5:$Q$35*('Indicator Scores'!$M$5:$M$35&gt;0)),0)</f>
        <v>3.66666666666667</v>
      </c>
      <c r="H74" s="28" t="n">
        <f aca="false">IFERROR(SUMPRODUCT((Indicators!$B$5:$B$35=H$4)*Indicators!$Q$5:$Q$35*'Indicator Scores'!$M$5:$M$35)/SUMPRODUCT((Indicators!$B$5:$B$35=H$4)*Indicators!$Q$5:$Q$35*('Indicator Scores'!$M$5:$M$35&gt;0)),0)</f>
        <v>3</v>
      </c>
      <c r="I74" s="28" t="n">
        <f aca="false">IFERROR(SUMPRODUCT((Indicators!$B$5:$B$35=I$4)*Indicators!$Q$5:$Q$35*'Indicator Scores'!$M$5:$M$35)/SUMPRODUCT((Indicators!$B$5:$B$35=I$4)*Indicators!$Q$5:$Q$35*('Indicator Scores'!$M$5:$M$35&gt;0)),0)</f>
        <v>3.5</v>
      </c>
      <c r="J74" s="28" t="n">
        <f aca="false">IFERROR(SUMPRODUCT((Indicators!$B$5:$B$35=J$4)*Indicators!$Q$5:$Q$35*'Indicator Scores'!$M$5:$M$35)/SUMPRODUCT((Indicators!$B$5:$B$35=J$4)*Indicators!$Q$5:$Q$35*('Indicator Scores'!$M$5:$M$35&gt;0)),0)</f>
        <v>2.6</v>
      </c>
      <c r="K74" s="28" t="n">
        <f aca="false">IFERROR(SUMPRODUCT(F74:J74,INDEX('Factor Weights'!$C$5:$G$11,MATCH(D74,'Factor Weights'!$A$5:$A$11,0),0))/SUMPRODUCT((F74:J74&gt;0)*INDEX('Factor Weights'!$C$5:$G$11,MATCH(D74,'Factor Weights'!$A$5:$A$11,0),0)),0)</f>
        <v>3.02111111111111</v>
      </c>
      <c r="L74" s="29" t="n">
        <f aca="false">MAX(F74:J74)</f>
        <v>3.66666666666667</v>
      </c>
      <c r="M74" s="28" t="n">
        <f aca="false">IF(L74&gt;=Config!$C$13,MAX(K74,Config!$C$14),K74)</f>
        <v>3.02111111111111</v>
      </c>
      <c r="N74" s="30" t="n">
        <f aca="false">IF(Config!$C$12="Weighted average",K74,IF(Config!$C$12="Weighted with floor",M74,L74))</f>
        <v>3.02111111111111</v>
      </c>
      <c r="O74" s="31" t="n">
        <f aca="false">IF(N74&lt;Config!$D$5,"",MATCH(N74,Config!$D$5:$D$9,1))</f>
        <v>3</v>
      </c>
      <c r="P74" s="7" t="str">
        <f aca="false">IF(O74="","No data",INDEX(Config!$B$5:$B$9,O74))</f>
        <v>Medium</v>
      </c>
      <c r="Q74" s="32" t="n">
        <v>0</v>
      </c>
      <c r="R74" s="8"/>
      <c r="S74" s="33"/>
      <c r="T74" s="34" t="n">
        <f aca="false">IF(O74="","",IF(AND(S74="Y",Q74&lt;&gt;0),MAX(1,MIN(5,O74+MAX(-Config!$C$27,MIN(Config!$C$27,Q74)))),O74))</f>
        <v>3</v>
      </c>
      <c r="U74" s="35" t="str">
        <f aca="false">IF(T74="","No data",INDEX(Config!$B$5:$B$9,T74))</f>
        <v>Medium</v>
      </c>
      <c r="V74" s="7" t="str">
        <f aca="false">IF(Q74=0,"None",IF(S74="Y","Applied","Pending HO approval"))</f>
        <v>None</v>
      </c>
      <c r="W74" s="36" t="n">
        <f aca="false">SUMPRODUCT((Indicators!$Q$5:$Q$35&gt;0)*('Indicator Data'!$M$5:$M$35&lt;&gt;""))/SUMPRODUCT(--(Indicators!$Q$5:$Q$35&gt;0))</f>
        <v>1</v>
      </c>
    </row>
    <row r="75" customFormat="false" ht="15" hidden="false" customHeight="false" outlineLevel="0" collapsed="false">
      <c r="A75" s="26" t="str">
        <f aca="false">Entities!$A$15</f>
        <v>BH</v>
      </c>
      <c r="B75" s="12" t="str">
        <f aca="false">INDEX(Entities!$B$5:$B$34,MATCH(A75,Entities!$A$5:$A$34,0))</f>
        <v>Arab Bank – Bahrain</v>
      </c>
      <c r="C75" s="12" t="str">
        <f aca="false">INDEX(Entities!$D$5:$D$34,MATCH(A75,Entities!$A$5:$A$34,0))</f>
        <v>GCC</v>
      </c>
      <c r="D75" s="12" t="s">
        <v>233</v>
      </c>
      <c r="E75" s="12" t="str">
        <f aca="false">INDEX('Risk Taxonomy'!$B$5:$B$24,MATCH(D75,'Risk Taxonomy'!$A$5:$A$24,0))</f>
        <v>Money laundering</v>
      </c>
      <c r="F75" s="28" t="n">
        <f aca="false">IFERROR(SUMPRODUCT((Indicators!$B$5:$B$35=F$4)*Indicators!$K$5:$K$35*'Indicator Scores'!$N$5:$N$35)/SUMPRODUCT((Indicators!$B$5:$B$35=F$4)*Indicators!$K$5:$K$35*('Indicator Scores'!$N$5:$N$35&gt;0)),0)</f>
        <v>2.83333333333333</v>
      </c>
      <c r="G75" s="28" t="n">
        <f aca="false">IFERROR(SUMPRODUCT((Indicators!$B$5:$B$35=G$4)*Indicators!$K$5:$K$35*'Indicator Scores'!$N$5:$N$35)/SUMPRODUCT((Indicators!$B$5:$B$35=G$4)*Indicators!$K$5:$K$35*('Indicator Scores'!$N$5:$N$35&gt;0)),0)</f>
        <v>3</v>
      </c>
      <c r="H75" s="28" t="n">
        <f aca="false">IFERROR(SUMPRODUCT((Indicators!$B$5:$B$35=H$4)*Indicators!$K$5:$K$35*'Indicator Scores'!$N$5:$N$35)/SUMPRODUCT((Indicators!$B$5:$B$35=H$4)*Indicators!$K$5:$K$35*('Indicator Scores'!$N$5:$N$35&gt;0)),0)</f>
        <v>2.8</v>
      </c>
      <c r="I75" s="28" t="n">
        <f aca="false">IFERROR(SUMPRODUCT((Indicators!$B$5:$B$35=I$4)*Indicators!$K$5:$K$35*'Indicator Scores'!$N$5:$N$35)/SUMPRODUCT((Indicators!$B$5:$B$35=I$4)*Indicators!$K$5:$K$35*('Indicator Scores'!$N$5:$N$35&gt;0)),0)</f>
        <v>3.14285714285714</v>
      </c>
      <c r="J75" s="28" t="n">
        <f aca="false">IFERROR(SUMPRODUCT((Indicators!$B$5:$B$35=J$4)*Indicators!$K$5:$K$35*'Indicator Scores'!$N$5:$N$35)/SUMPRODUCT((Indicators!$B$5:$B$35=J$4)*Indicators!$K$5:$K$35*('Indicator Scores'!$N$5:$N$35&gt;0)),0)</f>
        <v>2.6</v>
      </c>
      <c r="K75" s="28" t="n">
        <f aca="false">IFERROR(SUMPRODUCT(F75:J75,INDEX('Factor Weights'!$C$5:$G$11,MATCH(D75,'Factor Weights'!$A$5:$A$11,0),0))/SUMPRODUCT((F75:J75&gt;0)*INDEX('Factor Weights'!$C$5:$G$11,MATCH(D75,'Factor Weights'!$A$5:$A$11,0),0)),0)</f>
        <v>2.89142857142857</v>
      </c>
      <c r="L75" s="29" t="n">
        <f aca="false">MAX(F75:J75)</f>
        <v>3.14285714285714</v>
      </c>
      <c r="M75" s="28" t="n">
        <f aca="false">IF(L75&gt;=Config!$C$13,MAX(K75,Config!$C$14),K75)</f>
        <v>2.89142857142857</v>
      </c>
      <c r="N75" s="30" t="n">
        <f aca="false">IF(Config!$C$12="Weighted average",K75,IF(Config!$C$12="Weighted with floor",M75,L75))</f>
        <v>2.89142857142857</v>
      </c>
      <c r="O75" s="31" t="n">
        <f aca="false">IF(N75&lt;Config!$D$5,"",MATCH(N75,Config!$D$5:$D$9,1))</f>
        <v>3</v>
      </c>
      <c r="P75" s="7" t="str">
        <f aca="false">IF(O75="","No data",INDEX(Config!$B$5:$B$9,O75))</f>
        <v>Medium</v>
      </c>
      <c r="Q75" s="32" t="n">
        <v>0</v>
      </c>
      <c r="R75" s="8"/>
      <c r="S75" s="33"/>
      <c r="T75" s="34" t="n">
        <f aca="false">IF(O75="","",IF(AND(S75="Y",Q75&lt;&gt;0),MAX(1,MIN(5,O75+MAX(-Config!$C$27,MIN(Config!$C$27,Q75)))),O75))</f>
        <v>3</v>
      </c>
      <c r="U75" s="35" t="str">
        <f aca="false">IF(T75="","No data",INDEX(Config!$B$5:$B$9,T75))</f>
        <v>Medium</v>
      </c>
      <c r="V75" s="7" t="str">
        <f aca="false">IF(Q75=0,"None",IF(S75="Y","Applied","Pending HO approval"))</f>
        <v>None</v>
      </c>
      <c r="W75" s="36" t="n">
        <f aca="false">SUMPRODUCT((Indicators!$K$5:$K$35&gt;0)*('Indicator Data'!$N$5:$N$35&lt;&gt;""))/SUMPRODUCT(--(Indicators!$K$5:$K$35&gt;0))</f>
        <v>1</v>
      </c>
    </row>
    <row r="76" customFormat="false" ht="15" hidden="false" customHeight="false" outlineLevel="0" collapsed="false">
      <c r="A76" s="26" t="str">
        <f aca="false">Entities!$A$15</f>
        <v>BH</v>
      </c>
      <c r="B76" s="12" t="str">
        <f aca="false">INDEX(Entities!$B$5:$B$34,MATCH(A76,Entities!$A$5:$A$34,0))</f>
        <v>Arab Bank – Bahrain</v>
      </c>
      <c r="C76" s="12" t="str">
        <f aca="false">INDEX(Entities!$D$5:$D$34,MATCH(A76,Entities!$A$5:$A$34,0))</f>
        <v>GCC</v>
      </c>
      <c r="D76" s="12" t="s">
        <v>240</v>
      </c>
      <c r="E76" s="12" t="str">
        <f aca="false">INDEX('Risk Taxonomy'!$B$5:$B$24,MATCH(D76,'Risk Taxonomy'!$A$5:$A$24,0))</f>
        <v>Terrorist financing</v>
      </c>
      <c r="F76" s="28" t="n">
        <f aca="false">IFERROR(SUMPRODUCT((Indicators!$B$5:$B$35=F$4)*Indicators!$L$5:$L$35*'Indicator Scores'!$N$5:$N$35)/SUMPRODUCT((Indicators!$B$5:$B$35=F$4)*Indicators!$L$5:$L$35*('Indicator Scores'!$N$5:$N$35&gt;0)),0)</f>
        <v>3</v>
      </c>
      <c r="G76" s="28" t="n">
        <f aca="false">IFERROR(SUMPRODUCT((Indicators!$B$5:$B$35=G$4)*Indicators!$L$5:$L$35*'Indicator Scores'!$N$5:$N$35)/SUMPRODUCT((Indicators!$B$5:$B$35=G$4)*Indicators!$L$5:$L$35*('Indicator Scores'!$N$5:$N$35&gt;0)),0)</f>
        <v>3</v>
      </c>
      <c r="H76" s="28" t="n">
        <f aca="false">IFERROR(SUMPRODUCT((Indicators!$B$5:$B$35=H$4)*Indicators!$L$5:$L$35*'Indicator Scores'!$N$5:$N$35)/SUMPRODUCT((Indicators!$B$5:$B$35=H$4)*Indicators!$L$5:$L$35*('Indicator Scores'!$N$5:$N$35&gt;0)),0)</f>
        <v>2.66666666666667</v>
      </c>
      <c r="I76" s="28" t="n">
        <f aca="false">IFERROR(SUMPRODUCT((Indicators!$B$5:$B$35=I$4)*Indicators!$L$5:$L$35*'Indicator Scores'!$N$5:$N$35)/SUMPRODUCT((Indicators!$B$5:$B$35=I$4)*Indicators!$L$5:$L$35*('Indicator Scores'!$N$5:$N$35&gt;0)),0)</f>
        <v>3.33333333333333</v>
      </c>
      <c r="J76" s="28" t="n">
        <f aca="false">IFERROR(SUMPRODUCT((Indicators!$B$5:$B$35=J$4)*Indicators!$L$5:$L$35*'Indicator Scores'!$N$5:$N$35)/SUMPRODUCT((Indicators!$B$5:$B$35=J$4)*Indicators!$L$5:$L$35*('Indicator Scores'!$N$5:$N$35&gt;0)),0)</f>
        <v>2.57142857142857</v>
      </c>
      <c r="K76" s="28" t="n">
        <f aca="false">IFERROR(SUMPRODUCT(F76:J76,INDEX('Factor Weights'!$C$5:$G$11,MATCH(D76,'Factor Weights'!$A$5:$A$11,0),0))/SUMPRODUCT((F76:J76&gt;0)*INDEX('Factor Weights'!$C$5:$G$11,MATCH(D76,'Factor Weights'!$A$5:$A$11,0),0)),0)</f>
        <v>2.89761904761905</v>
      </c>
      <c r="L76" s="29" t="n">
        <f aca="false">MAX(F76:J76)</f>
        <v>3.33333333333333</v>
      </c>
      <c r="M76" s="28" t="n">
        <f aca="false">IF(L76&gt;=Config!$C$13,MAX(K76,Config!$C$14),K76)</f>
        <v>2.89761904761905</v>
      </c>
      <c r="N76" s="30" t="n">
        <f aca="false">IF(Config!$C$12="Weighted average",K76,IF(Config!$C$12="Weighted with floor",M76,L76))</f>
        <v>2.89761904761905</v>
      </c>
      <c r="O76" s="31" t="n">
        <f aca="false">IF(N76&lt;Config!$D$5,"",MATCH(N76,Config!$D$5:$D$9,1))</f>
        <v>3</v>
      </c>
      <c r="P76" s="7" t="str">
        <f aca="false">IF(O76="","No data",INDEX(Config!$B$5:$B$9,O76))</f>
        <v>Medium</v>
      </c>
      <c r="Q76" s="32" t="n">
        <v>0</v>
      </c>
      <c r="R76" s="8"/>
      <c r="S76" s="33"/>
      <c r="T76" s="34" t="n">
        <f aca="false">IF(O76="","",IF(AND(S76="Y",Q76&lt;&gt;0),MAX(1,MIN(5,O76+MAX(-Config!$C$27,MIN(Config!$C$27,Q76)))),O76))</f>
        <v>3</v>
      </c>
      <c r="U76" s="35" t="str">
        <f aca="false">IF(T76="","No data",INDEX(Config!$B$5:$B$9,T76))</f>
        <v>Medium</v>
      </c>
      <c r="V76" s="7" t="str">
        <f aca="false">IF(Q76=0,"None",IF(S76="Y","Applied","Pending HO approval"))</f>
        <v>None</v>
      </c>
      <c r="W76" s="36" t="n">
        <f aca="false">SUMPRODUCT((Indicators!$L$5:$L$35&gt;0)*('Indicator Data'!$N$5:$N$35&lt;&gt;""))/SUMPRODUCT(--(Indicators!$L$5:$L$35&gt;0))</f>
        <v>1</v>
      </c>
    </row>
    <row r="77" customFormat="false" ht="15" hidden="false" customHeight="false" outlineLevel="0" collapsed="false">
      <c r="A77" s="26" t="str">
        <f aca="false">Entities!$A$15</f>
        <v>BH</v>
      </c>
      <c r="B77" s="12" t="str">
        <f aca="false">INDEX(Entities!$B$5:$B$34,MATCH(A77,Entities!$A$5:$A$34,0))</f>
        <v>Arab Bank – Bahrain</v>
      </c>
      <c r="C77" s="12" t="str">
        <f aca="false">INDEX(Entities!$D$5:$D$34,MATCH(A77,Entities!$A$5:$A$34,0))</f>
        <v>GCC</v>
      </c>
      <c r="D77" s="12" t="s">
        <v>243</v>
      </c>
      <c r="E77" s="12" t="str">
        <f aca="false">INDEX('Risk Taxonomy'!$B$5:$B$24,MATCH(D77,'Risk Taxonomy'!$A$5:$A$24,0))</f>
        <v>Proliferation financing</v>
      </c>
      <c r="F77" s="28" t="n">
        <f aca="false">IFERROR(SUMPRODUCT((Indicators!$B$5:$B$35=F$4)*Indicators!$M$5:$M$35*'Indicator Scores'!$N$5:$N$35)/SUMPRODUCT((Indicators!$B$5:$B$35=F$4)*Indicators!$M$5:$M$35*('Indicator Scores'!$N$5:$N$35&gt;0)),0)</f>
        <v>3</v>
      </c>
      <c r="G77" s="28" t="n">
        <f aca="false">IFERROR(SUMPRODUCT((Indicators!$B$5:$B$35=G$4)*Indicators!$M$5:$M$35*'Indicator Scores'!$N$5:$N$35)/SUMPRODUCT((Indicators!$B$5:$B$35=G$4)*Indicators!$M$5:$M$35*('Indicator Scores'!$N$5:$N$35&gt;0)),0)</f>
        <v>3</v>
      </c>
      <c r="H77" s="28" t="n">
        <f aca="false">IFERROR(SUMPRODUCT((Indicators!$B$5:$B$35=H$4)*Indicators!$M$5:$M$35*'Indicator Scores'!$N$5:$N$35)/SUMPRODUCT((Indicators!$B$5:$B$35=H$4)*Indicators!$M$5:$M$35*('Indicator Scores'!$N$5:$N$35&gt;0)),0)</f>
        <v>2.88888888888889</v>
      </c>
      <c r="I77" s="28" t="n">
        <f aca="false">IFERROR(SUMPRODUCT((Indicators!$B$5:$B$35=I$4)*Indicators!$M$5:$M$35*'Indicator Scores'!$N$5:$N$35)/SUMPRODUCT((Indicators!$B$5:$B$35=I$4)*Indicators!$M$5:$M$35*('Indicator Scores'!$N$5:$N$35&gt;0)),0)</f>
        <v>4</v>
      </c>
      <c r="J77" s="28" t="n">
        <f aca="false">IFERROR(SUMPRODUCT((Indicators!$B$5:$B$35=J$4)*Indicators!$M$5:$M$35*'Indicator Scores'!$N$5:$N$35)/SUMPRODUCT((Indicators!$B$5:$B$35=J$4)*Indicators!$M$5:$M$35*('Indicator Scores'!$N$5:$N$35&gt;0)),0)</f>
        <v>3.5</v>
      </c>
      <c r="K77" s="28" t="n">
        <f aca="false">IFERROR(SUMPRODUCT(F77:J77,INDEX('Factor Weights'!$C$5:$G$11,MATCH(D77,'Factor Weights'!$A$5:$A$11,0),0))/SUMPRODUCT((F77:J77&gt;0)*INDEX('Factor Weights'!$C$5:$G$11,MATCH(D77,'Factor Weights'!$A$5:$A$11,0),0)),0)</f>
        <v>3.11666666666667</v>
      </c>
      <c r="L77" s="29" t="n">
        <f aca="false">MAX(F77:J77)</f>
        <v>4</v>
      </c>
      <c r="M77" s="28" t="n">
        <f aca="false">IF(L77&gt;=Config!$C$13,MAX(K77,Config!$C$14),K77)</f>
        <v>3.11666666666667</v>
      </c>
      <c r="N77" s="30" t="n">
        <f aca="false">IF(Config!$C$12="Weighted average",K77,IF(Config!$C$12="Weighted with floor",M77,L77))</f>
        <v>3.11666666666667</v>
      </c>
      <c r="O77" s="31" t="n">
        <f aca="false">IF(N77&lt;Config!$D$5,"",MATCH(N77,Config!$D$5:$D$9,1))</f>
        <v>3</v>
      </c>
      <c r="P77" s="7" t="str">
        <f aca="false">IF(O77="","No data",INDEX(Config!$B$5:$B$9,O77))</f>
        <v>Medium</v>
      </c>
      <c r="Q77" s="32" t="n">
        <v>0</v>
      </c>
      <c r="R77" s="8"/>
      <c r="S77" s="33"/>
      <c r="T77" s="34" t="n">
        <f aca="false">IF(O77="","",IF(AND(S77="Y",Q77&lt;&gt;0),MAX(1,MIN(5,O77+MAX(-Config!$C$27,MIN(Config!$C$27,Q77)))),O77))</f>
        <v>3</v>
      </c>
      <c r="U77" s="35" t="str">
        <f aca="false">IF(T77="","No data",INDEX(Config!$B$5:$B$9,T77))</f>
        <v>Medium</v>
      </c>
      <c r="V77" s="7" t="str">
        <f aca="false">IF(Q77=0,"None",IF(S77="Y","Applied","Pending HO approval"))</f>
        <v>None</v>
      </c>
      <c r="W77" s="36" t="n">
        <f aca="false">SUMPRODUCT((Indicators!$M$5:$M$35&gt;0)*('Indicator Data'!$N$5:$N$35&lt;&gt;""))/SUMPRODUCT(--(Indicators!$M$5:$M$35&gt;0))</f>
        <v>1</v>
      </c>
    </row>
    <row r="78" customFormat="false" ht="15" hidden="false" customHeight="false" outlineLevel="0" collapsed="false">
      <c r="A78" s="26" t="str">
        <f aca="false">Entities!$A$15</f>
        <v>BH</v>
      </c>
      <c r="B78" s="12" t="str">
        <f aca="false">INDEX(Entities!$B$5:$B$34,MATCH(A78,Entities!$A$5:$A$34,0))</f>
        <v>Arab Bank – Bahrain</v>
      </c>
      <c r="C78" s="12" t="str">
        <f aca="false">INDEX(Entities!$D$5:$D$34,MATCH(A78,Entities!$A$5:$A$34,0))</f>
        <v>GCC</v>
      </c>
      <c r="D78" s="12" t="s">
        <v>245</v>
      </c>
      <c r="E78" s="12" t="str">
        <f aca="false">INDEX('Risk Taxonomy'!$B$5:$B$24,MATCH(D78,'Risk Taxonomy'!$A$5:$A$24,0))</f>
        <v>Sanctions</v>
      </c>
      <c r="F78" s="28" t="n">
        <f aca="false">IFERROR(SUMPRODUCT((Indicators!$B$5:$B$35=F$4)*Indicators!$N$5:$N$35*'Indicator Scores'!$N$5:$N$35)/SUMPRODUCT((Indicators!$B$5:$B$35=F$4)*Indicators!$N$5:$N$35*('Indicator Scores'!$N$5:$N$35&gt;0)),0)</f>
        <v>2.85714285714286</v>
      </c>
      <c r="G78" s="28" t="n">
        <f aca="false">IFERROR(SUMPRODUCT((Indicators!$B$5:$B$35=G$4)*Indicators!$N$5:$N$35*'Indicator Scores'!$N$5:$N$35)/SUMPRODUCT((Indicators!$B$5:$B$35=G$4)*Indicators!$N$5:$N$35*('Indicator Scores'!$N$5:$N$35&gt;0)),0)</f>
        <v>3</v>
      </c>
      <c r="H78" s="28" t="n">
        <f aca="false">IFERROR(SUMPRODUCT((Indicators!$B$5:$B$35=H$4)*Indicators!$N$5:$N$35*'Indicator Scores'!$N$5:$N$35)/SUMPRODUCT((Indicators!$B$5:$B$35=H$4)*Indicators!$N$5:$N$35*('Indicator Scores'!$N$5:$N$35&gt;0)),0)</f>
        <v>3</v>
      </c>
      <c r="I78" s="28" t="n">
        <f aca="false">IFERROR(SUMPRODUCT((Indicators!$B$5:$B$35=I$4)*Indicators!$N$5:$N$35*'Indicator Scores'!$N$5:$N$35)/SUMPRODUCT((Indicators!$B$5:$B$35=I$4)*Indicators!$N$5:$N$35*('Indicator Scores'!$N$5:$N$35&gt;0)),0)</f>
        <v>3</v>
      </c>
      <c r="J78" s="28" t="n">
        <f aca="false">IFERROR(SUMPRODUCT((Indicators!$B$5:$B$35=J$4)*Indicators!$N$5:$N$35*'Indicator Scores'!$N$5:$N$35)/SUMPRODUCT((Indicators!$B$5:$B$35=J$4)*Indicators!$N$5:$N$35*('Indicator Scores'!$N$5:$N$35&gt;0)),0)</f>
        <v>3.6</v>
      </c>
      <c r="K78" s="28" t="n">
        <f aca="false">IFERROR(SUMPRODUCT(F78:J78,INDEX('Factor Weights'!$C$5:$G$11,MATCH(D78,'Factor Weights'!$A$5:$A$11,0),0))/SUMPRODUCT((F78:J78&gt;0)*INDEX('Factor Weights'!$C$5:$G$11,MATCH(D78,'Factor Weights'!$A$5:$A$11,0),0)),0)</f>
        <v>3.09857142857143</v>
      </c>
      <c r="L78" s="29" t="n">
        <f aca="false">MAX(F78:J78)</f>
        <v>3.6</v>
      </c>
      <c r="M78" s="28" t="n">
        <f aca="false">IF(L78&gt;=Config!$C$13,MAX(K78,Config!$C$14),K78)</f>
        <v>3.09857142857143</v>
      </c>
      <c r="N78" s="30" t="n">
        <f aca="false">IF(Config!$C$12="Weighted average",K78,IF(Config!$C$12="Weighted with floor",M78,L78))</f>
        <v>3.09857142857143</v>
      </c>
      <c r="O78" s="31" t="n">
        <f aca="false">IF(N78&lt;Config!$D$5,"",MATCH(N78,Config!$D$5:$D$9,1))</f>
        <v>3</v>
      </c>
      <c r="P78" s="7" t="str">
        <f aca="false">IF(O78="","No data",INDEX(Config!$B$5:$B$9,O78))</f>
        <v>Medium</v>
      </c>
      <c r="Q78" s="32" t="n">
        <v>0</v>
      </c>
      <c r="R78" s="8"/>
      <c r="S78" s="33"/>
      <c r="T78" s="34" t="n">
        <f aca="false">IF(O78="","",IF(AND(S78="Y",Q78&lt;&gt;0),MAX(1,MIN(5,O78+MAX(-Config!$C$27,MIN(Config!$C$27,Q78)))),O78))</f>
        <v>3</v>
      </c>
      <c r="U78" s="35" t="str">
        <f aca="false">IF(T78="","No data",INDEX(Config!$B$5:$B$9,T78))</f>
        <v>Medium</v>
      </c>
      <c r="V78" s="7" t="str">
        <f aca="false">IF(Q78=0,"None",IF(S78="Y","Applied","Pending HO approval"))</f>
        <v>None</v>
      </c>
      <c r="W78" s="36" t="n">
        <f aca="false">SUMPRODUCT((Indicators!$N$5:$N$35&gt;0)*('Indicator Data'!$N$5:$N$35&lt;&gt;""))/SUMPRODUCT(--(Indicators!$N$5:$N$35&gt;0))</f>
        <v>1</v>
      </c>
    </row>
    <row r="79" customFormat="false" ht="15" hidden="false" customHeight="false" outlineLevel="0" collapsed="false">
      <c r="A79" s="26" t="str">
        <f aca="false">Entities!$A$15</f>
        <v>BH</v>
      </c>
      <c r="B79" s="12" t="str">
        <f aca="false">INDEX(Entities!$B$5:$B$34,MATCH(A79,Entities!$A$5:$A$34,0))</f>
        <v>Arab Bank – Bahrain</v>
      </c>
      <c r="C79" s="12" t="str">
        <f aca="false">INDEX(Entities!$D$5:$D$34,MATCH(A79,Entities!$A$5:$A$34,0))</f>
        <v>GCC</v>
      </c>
      <c r="D79" s="12" t="s">
        <v>248</v>
      </c>
      <c r="E79" s="12" t="str">
        <f aca="false">INDEX('Risk Taxonomy'!$B$5:$B$24,MATCH(D79,'Risk Taxonomy'!$A$5:$A$24,0))</f>
        <v>Bribery and corruption</v>
      </c>
      <c r="F79" s="28" t="n">
        <f aca="false">IFERROR(SUMPRODUCT((Indicators!$B$5:$B$35=F$4)*Indicators!$O$5:$O$35*'Indicator Scores'!$N$5:$N$35)/SUMPRODUCT((Indicators!$B$5:$B$35=F$4)*Indicators!$O$5:$O$35*('Indicator Scores'!$N$5:$N$35&gt;0)),0)</f>
        <v>3.11111111111111</v>
      </c>
      <c r="G79" s="28" t="n">
        <f aca="false">IFERROR(SUMPRODUCT((Indicators!$B$5:$B$35=G$4)*Indicators!$O$5:$O$35*'Indicator Scores'!$N$5:$N$35)/SUMPRODUCT((Indicators!$B$5:$B$35=G$4)*Indicators!$O$5:$O$35*('Indicator Scores'!$N$5:$N$35&gt;0)),0)</f>
        <v>3.6</v>
      </c>
      <c r="H79" s="28" t="n">
        <f aca="false">IFERROR(SUMPRODUCT((Indicators!$B$5:$B$35=H$4)*Indicators!$O$5:$O$35*'Indicator Scores'!$N$5:$N$35)/SUMPRODUCT((Indicators!$B$5:$B$35=H$4)*Indicators!$O$5:$O$35*('Indicator Scores'!$N$5:$N$35&gt;0)),0)</f>
        <v>2</v>
      </c>
      <c r="I79" s="28" t="n">
        <f aca="false">IFERROR(SUMPRODUCT((Indicators!$B$5:$B$35=I$4)*Indicators!$O$5:$O$35*'Indicator Scores'!$N$5:$N$35)/SUMPRODUCT((Indicators!$B$5:$B$35=I$4)*Indicators!$O$5:$O$35*('Indicator Scores'!$N$5:$N$35&gt;0)),0)</f>
        <v>4.4</v>
      </c>
      <c r="J79" s="28" t="n">
        <f aca="false">IFERROR(SUMPRODUCT((Indicators!$B$5:$B$35=J$4)*Indicators!$O$5:$O$35*'Indicator Scores'!$N$5:$N$35)/SUMPRODUCT((Indicators!$B$5:$B$35=J$4)*Indicators!$O$5:$O$35*('Indicator Scores'!$N$5:$N$35&gt;0)),0)</f>
        <v>3</v>
      </c>
      <c r="K79" s="28" t="n">
        <f aca="false">IFERROR(SUMPRODUCT(F79:J79,INDEX('Factor Weights'!$C$5:$G$11,MATCH(D79,'Factor Weights'!$A$5:$A$11,0),0))/SUMPRODUCT((F79:J79&gt;0)*INDEX('Factor Weights'!$C$5:$G$11,MATCH(D79,'Factor Weights'!$A$5:$A$11,0),0)),0)</f>
        <v>3.31333333333333</v>
      </c>
      <c r="L79" s="29" t="n">
        <f aca="false">MAX(F79:J79)</f>
        <v>4.4</v>
      </c>
      <c r="M79" s="28" t="n">
        <f aca="false">IF(L79&gt;=Config!$C$13,MAX(K79,Config!$C$14),K79)</f>
        <v>3.31333333333333</v>
      </c>
      <c r="N79" s="30" t="n">
        <f aca="false">IF(Config!$C$12="Weighted average",K79,IF(Config!$C$12="Weighted with floor",M79,L79))</f>
        <v>3.31333333333333</v>
      </c>
      <c r="O79" s="31" t="n">
        <f aca="false">IF(N79&lt;Config!$D$5,"",MATCH(N79,Config!$D$5:$D$9,1))</f>
        <v>3</v>
      </c>
      <c r="P79" s="7" t="str">
        <f aca="false">IF(O79="","No data",INDEX(Config!$B$5:$B$9,O79))</f>
        <v>Medium</v>
      </c>
      <c r="Q79" s="32" t="n">
        <v>0</v>
      </c>
      <c r="R79" s="8"/>
      <c r="S79" s="33"/>
      <c r="T79" s="34" t="n">
        <f aca="false">IF(O79="","",IF(AND(S79="Y",Q79&lt;&gt;0),MAX(1,MIN(5,O79+MAX(-Config!$C$27,MIN(Config!$C$27,Q79)))),O79))</f>
        <v>3</v>
      </c>
      <c r="U79" s="35" t="str">
        <f aca="false">IF(T79="","No data",INDEX(Config!$B$5:$B$9,T79))</f>
        <v>Medium</v>
      </c>
      <c r="V79" s="7" t="str">
        <f aca="false">IF(Q79=0,"None",IF(S79="Y","Applied","Pending HO approval"))</f>
        <v>None</v>
      </c>
      <c r="W79" s="36" t="n">
        <f aca="false">SUMPRODUCT((Indicators!$O$5:$O$35&gt;0)*('Indicator Data'!$N$5:$N$35&lt;&gt;""))/SUMPRODUCT(--(Indicators!$O$5:$O$35&gt;0))</f>
        <v>1</v>
      </c>
    </row>
    <row r="80" customFormat="false" ht="15" hidden="false" customHeight="false" outlineLevel="0" collapsed="false">
      <c r="A80" s="26" t="str">
        <f aca="false">Entities!$A$15</f>
        <v>BH</v>
      </c>
      <c r="B80" s="12" t="str">
        <f aca="false">INDEX(Entities!$B$5:$B$34,MATCH(A80,Entities!$A$5:$A$34,0))</f>
        <v>Arab Bank – Bahrain</v>
      </c>
      <c r="C80" s="12" t="str">
        <f aca="false">INDEX(Entities!$D$5:$D$34,MATCH(A80,Entities!$A$5:$A$34,0))</f>
        <v>GCC</v>
      </c>
      <c r="D80" s="12" t="s">
        <v>251</v>
      </c>
      <c r="E80" s="12" t="str">
        <f aca="false">INDEX('Risk Taxonomy'!$B$5:$B$24,MATCH(D80,'Risk Taxonomy'!$A$5:$A$24,0))</f>
        <v>Fraud</v>
      </c>
      <c r="F80" s="28" t="n">
        <f aca="false">IFERROR(SUMPRODUCT((Indicators!$B$5:$B$35=F$4)*Indicators!$P$5:$P$35*'Indicator Scores'!$N$5:$N$35)/SUMPRODUCT((Indicators!$B$5:$B$35=F$4)*Indicators!$P$5:$P$35*('Indicator Scores'!$N$5:$N$35&gt;0)),0)</f>
        <v>2.33333333333333</v>
      </c>
      <c r="G80" s="28" t="n">
        <f aca="false">IFERROR(SUMPRODUCT((Indicators!$B$5:$B$35=G$4)*Indicators!$P$5:$P$35*'Indicator Scores'!$N$5:$N$35)/SUMPRODUCT((Indicators!$B$5:$B$35=G$4)*Indicators!$P$5:$P$35*('Indicator Scores'!$N$5:$N$35&gt;0)),0)</f>
        <v>3.25</v>
      </c>
      <c r="H80" s="28" t="n">
        <f aca="false">IFERROR(SUMPRODUCT((Indicators!$B$5:$B$35=H$4)*Indicators!$P$5:$P$35*'Indicator Scores'!$N$5:$N$35)/SUMPRODUCT((Indicators!$B$5:$B$35=H$4)*Indicators!$P$5:$P$35*('Indicator Scores'!$N$5:$N$35&gt;0)),0)</f>
        <v>2.2</v>
      </c>
      <c r="I80" s="28" t="n">
        <f aca="false">IFERROR(SUMPRODUCT((Indicators!$B$5:$B$35=I$4)*Indicators!$P$5:$P$35*'Indicator Scores'!$N$5:$N$35)/SUMPRODUCT((Indicators!$B$5:$B$35=I$4)*Indicators!$P$5:$P$35*('Indicator Scores'!$N$5:$N$35&gt;0)),0)</f>
        <v>2.77777777777778</v>
      </c>
      <c r="J80" s="28" t="n">
        <f aca="false">IFERROR(SUMPRODUCT((Indicators!$B$5:$B$35=J$4)*Indicators!$P$5:$P$35*'Indicator Scores'!$N$5:$N$35)/SUMPRODUCT((Indicators!$B$5:$B$35=J$4)*Indicators!$P$5:$P$35*('Indicator Scores'!$N$5:$N$35&gt;0)),0)</f>
        <v>2.6</v>
      </c>
      <c r="K80" s="28" t="n">
        <f aca="false">IFERROR(SUMPRODUCT(F80:J80,INDEX('Factor Weights'!$C$5:$G$11,MATCH(D80,'Factor Weights'!$A$5:$A$11,0),0))/SUMPRODUCT((F80:J80&gt;0)*INDEX('Factor Weights'!$C$5:$G$11,MATCH(D80,'Factor Weights'!$A$5:$A$11,0),0)),0)</f>
        <v>2.585</v>
      </c>
      <c r="L80" s="29" t="n">
        <f aca="false">MAX(F80:J80)</f>
        <v>3.25</v>
      </c>
      <c r="M80" s="28" t="n">
        <f aca="false">IF(L80&gt;=Config!$C$13,MAX(K80,Config!$C$14),K80)</f>
        <v>2.585</v>
      </c>
      <c r="N80" s="30" t="n">
        <f aca="false">IF(Config!$C$12="Weighted average",K80,IF(Config!$C$12="Weighted with floor",M80,L80))</f>
        <v>2.585</v>
      </c>
      <c r="O80" s="31" t="n">
        <f aca="false">IF(N80&lt;Config!$D$5,"",MATCH(N80,Config!$D$5:$D$9,1))</f>
        <v>2</v>
      </c>
      <c r="P80" s="7" t="str">
        <f aca="false">IF(O80="","No data",INDEX(Config!$B$5:$B$9,O80))</f>
        <v>Medium-Low</v>
      </c>
      <c r="Q80" s="32" t="n">
        <v>0</v>
      </c>
      <c r="R80" s="8"/>
      <c r="S80" s="33"/>
      <c r="T80" s="34" t="n">
        <f aca="false">IF(O80="","",IF(AND(S80="Y",Q80&lt;&gt;0),MAX(1,MIN(5,O80+MAX(-Config!$C$27,MIN(Config!$C$27,Q80)))),O80))</f>
        <v>2</v>
      </c>
      <c r="U80" s="35" t="str">
        <f aca="false">IF(T80="","No data",INDEX(Config!$B$5:$B$9,T80))</f>
        <v>Medium-Low</v>
      </c>
      <c r="V80" s="7" t="str">
        <f aca="false">IF(Q80=0,"None",IF(S80="Y","Applied","Pending HO approval"))</f>
        <v>None</v>
      </c>
      <c r="W80" s="36" t="n">
        <f aca="false">SUMPRODUCT((Indicators!$P$5:$P$35&gt;0)*('Indicator Data'!$N$5:$N$35&lt;&gt;""))/SUMPRODUCT(--(Indicators!$P$5:$P$35&gt;0))</f>
        <v>1</v>
      </c>
    </row>
    <row r="81" customFormat="false" ht="15" hidden="false" customHeight="false" outlineLevel="0" collapsed="false">
      <c r="A81" s="26" t="str">
        <f aca="false">Entities!$A$15</f>
        <v>BH</v>
      </c>
      <c r="B81" s="12" t="str">
        <f aca="false">INDEX(Entities!$B$5:$B$34,MATCH(A81,Entities!$A$5:$A$34,0))</f>
        <v>Arab Bank – Bahrain</v>
      </c>
      <c r="C81" s="12" t="str">
        <f aca="false">INDEX(Entities!$D$5:$D$34,MATCH(A81,Entities!$A$5:$A$34,0))</f>
        <v>GCC</v>
      </c>
      <c r="D81" s="12" t="s">
        <v>254</v>
      </c>
      <c r="E81" s="12" t="str">
        <f aca="false">INDEX('Risk Taxonomy'!$B$5:$B$24,MATCH(D81,'Risk Taxonomy'!$A$5:$A$24,0))</f>
        <v>Tax evasion and tax transparency</v>
      </c>
      <c r="F81" s="28" t="n">
        <f aca="false">IFERROR(SUMPRODUCT((Indicators!$B$5:$B$35=F$4)*Indicators!$Q$5:$Q$35*'Indicator Scores'!$N$5:$N$35)/SUMPRODUCT((Indicators!$B$5:$B$35=F$4)*Indicators!$Q$5:$Q$35*('Indicator Scores'!$N$5:$N$35&gt;0)),0)</f>
        <v>2.88888888888889</v>
      </c>
      <c r="G81" s="28" t="n">
        <f aca="false">IFERROR(SUMPRODUCT((Indicators!$B$5:$B$35=G$4)*Indicators!$Q$5:$Q$35*'Indicator Scores'!$N$5:$N$35)/SUMPRODUCT((Indicators!$B$5:$B$35=G$4)*Indicators!$Q$5:$Q$35*('Indicator Scores'!$N$5:$N$35&gt;0)),0)</f>
        <v>2.66666666666667</v>
      </c>
      <c r="H81" s="28" t="n">
        <f aca="false">IFERROR(SUMPRODUCT((Indicators!$B$5:$B$35=H$4)*Indicators!$Q$5:$Q$35*'Indicator Scores'!$N$5:$N$35)/SUMPRODUCT((Indicators!$B$5:$B$35=H$4)*Indicators!$Q$5:$Q$35*('Indicator Scores'!$N$5:$N$35&gt;0)),0)</f>
        <v>3.16666666666667</v>
      </c>
      <c r="I81" s="28" t="n">
        <f aca="false">IFERROR(SUMPRODUCT((Indicators!$B$5:$B$35=I$4)*Indicators!$Q$5:$Q$35*'Indicator Scores'!$N$5:$N$35)/SUMPRODUCT((Indicators!$B$5:$B$35=I$4)*Indicators!$Q$5:$Q$35*('Indicator Scores'!$N$5:$N$35&gt;0)),0)</f>
        <v>3.5</v>
      </c>
      <c r="J81" s="28" t="n">
        <f aca="false">IFERROR(SUMPRODUCT((Indicators!$B$5:$B$35=J$4)*Indicators!$Q$5:$Q$35*'Indicator Scores'!$N$5:$N$35)/SUMPRODUCT((Indicators!$B$5:$B$35=J$4)*Indicators!$Q$5:$Q$35*('Indicator Scores'!$N$5:$N$35&gt;0)),0)</f>
        <v>2.6</v>
      </c>
      <c r="K81" s="28" t="n">
        <f aca="false">IFERROR(SUMPRODUCT(F81:J81,INDEX('Factor Weights'!$C$5:$G$11,MATCH(D81,'Factor Weights'!$A$5:$A$11,0),0))/SUMPRODUCT((F81:J81&gt;0)*INDEX('Factor Weights'!$C$5:$G$11,MATCH(D81,'Factor Weights'!$A$5:$A$11,0),0)),0)</f>
        <v>2.92111111111111</v>
      </c>
      <c r="L81" s="29" t="n">
        <f aca="false">MAX(F81:J81)</f>
        <v>3.5</v>
      </c>
      <c r="M81" s="28" t="n">
        <f aca="false">IF(L81&gt;=Config!$C$13,MAX(K81,Config!$C$14),K81)</f>
        <v>2.92111111111111</v>
      </c>
      <c r="N81" s="30" t="n">
        <f aca="false">IF(Config!$C$12="Weighted average",K81,IF(Config!$C$12="Weighted with floor",M81,L81))</f>
        <v>2.92111111111111</v>
      </c>
      <c r="O81" s="31" t="n">
        <f aca="false">IF(N81&lt;Config!$D$5,"",MATCH(N81,Config!$D$5:$D$9,1))</f>
        <v>3</v>
      </c>
      <c r="P81" s="7" t="str">
        <f aca="false">IF(O81="","No data",INDEX(Config!$B$5:$B$9,O81))</f>
        <v>Medium</v>
      </c>
      <c r="Q81" s="32" t="n">
        <v>0</v>
      </c>
      <c r="R81" s="8"/>
      <c r="S81" s="33"/>
      <c r="T81" s="34" t="n">
        <f aca="false">IF(O81="","",IF(AND(S81="Y",Q81&lt;&gt;0),MAX(1,MIN(5,O81+MAX(-Config!$C$27,MIN(Config!$C$27,Q81)))),O81))</f>
        <v>3</v>
      </c>
      <c r="U81" s="35" t="str">
        <f aca="false">IF(T81="","No data",INDEX(Config!$B$5:$B$9,T81))</f>
        <v>Medium</v>
      </c>
      <c r="V81" s="7" t="str">
        <f aca="false">IF(Q81=0,"None",IF(S81="Y","Applied","Pending HO approval"))</f>
        <v>None</v>
      </c>
      <c r="W81" s="36" t="n">
        <f aca="false">SUMPRODUCT((Indicators!$Q$5:$Q$35&gt;0)*('Indicator Data'!$N$5:$N$35&lt;&gt;""))/SUMPRODUCT(--(Indicators!$Q$5:$Q$35&gt;0))</f>
        <v>1</v>
      </c>
    </row>
    <row r="82" customFormat="false" ht="15" hidden="false" customHeight="false" outlineLevel="0" collapsed="false">
      <c r="A82" s="26" t="str">
        <f aca="false">Entities!$A$16</f>
        <v>QA</v>
      </c>
      <c r="B82" s="12" t="str">
        <f aca="false">INDEX(Entities!$B$5:$B$34,MATCH(A82,Entities!$A$5:$A$34,0))</f>
        <v>Arab Bank – Qatar</v>
      </c>
      <c r="C82" s="12" t="str">
        <f aca="false">INDEX(Entities!$D$5:$D$34,MATCH(A82,Entities!$A$5:$A$34,0))</f>
        <v>GCC</v>
      </c>
      <c r="D82" s="12" t="s">
        <v>233</v>
      </c>
      <c r="E82" s="12" t="str">
        <f aca="false">INDEX('Risk Taxonomy'!$B$5:$B$24,MATCH(D82,'Risk Taxonomy'!$A$5:$A$24,0))</f>
        <v>Money laundering</v>
      </c>
      <c r="F82" s="28" t="n">
        <f aca="false">IFERROR(SUMPRODUCT((Indicators!$B$5:$B$35=F$4)*Indicators!$K$5:$K$35*'Indicator Scores'!$O$5:$O$35)/SUMPRODUCT((Indicators!$B$5:$B$35=F$4)*Indicators!$K$5:$K$35*('Indicator Scores'!$O$5:$O$35&gt;0)),0)</f>
        <v>2.83333333333333</v>
      </c>
      <c r="G82" s="28" t="n">
        <f aca="false">IFERROR(SUMPRODUCT((Indicators!$B$5:$B$35=G$4)*Indicators!$K$5:$K$35*'Indicator Scores'!$O$5:$O$35)/SUMPRODUCT((Indicators!$B$5:$B$35=G$4)*Indicators!$K$5:$K$35*('Indicator Scores'!$O$5:$O$35&gt;0)),0)</f>
        <v>3.11111111111111</v>
      </c>
      <c r="H82" s="28" t="n">
        <f aca="false">IFERROR(SUMPRODUCT((Indicators!$B$5:$B$35=H$4)*Indicators!$K$5:$K$35*'Indicator Scores'!$O$5:$O$35)/SUMPRODUCT((Indicators!$B$5:$B$35=H$4)*Indicators!$K$5:$K$35*('Indicator Scores'!$O$5:$O$35&gt;0)),0)</f>
        <v>2.9</v>
      </c>
      <c r="I82" s="28" t="n">
        <f aca="false">IFERROR(SUMPRODUCT((Indicators!$B$5:$B$35=I$4)*Indicators!$K$5:$K$35*'Indicator Scores'!$O$5:$O$35)/SUMPRODUCT((Indicators!$B$5:$B$35=I$4)*Indicators!$K$5:$K$35*('Indicator Scores'!$O$5:$O$35&gt;0)),0)</f>
        <v>2.85714285714286</v>
      </c>
      <c r="J82" s="28" t="n">
        <f aca="false">IFERROR(SUMPRODUCT((Indicators!$B$5:$B$35=J$4)*Indicators!$K$5:$K$35*'Indicator Scores'!$O$5:$O$35)/SUMPRODUCT((Indicators!$B$5:$B$35=J$4)*Indicators!$K$5:$K$35*('Indicator Scores'!$O$5:$O$35&gt;0)),0)</f>
        <v>3.4</v>
      </c>
      <c r="K82" s="28" t="n">
        <f aca="false">IFERROR(SUMPRODUCT(F82:J82,INDEX('Factor Weights'!$C$5:$G$11,MATCH(D82,'Factor Weights'!$A$5:$A$11,0),0))/SUMPRODUCT((F82:J82&gt;0)*INDEX('Factor Weights'!$C$5:$G$11,MATCH(D82,'Factor Weights'!$A$5:$A$11,0),0)),0)</f>
        <v>2.97634920634921</v>
      </c>
      <c r="L82" s="29" t="n">
        <f aca="false">MAX(F82:J82)</f>
        <v>3.4</v>
      </c>
      <c r="M82" s="28" t="n">
        <f aca="false">IF(L82&gt;=Config!$C$13,MAX(K82,Config!$C$14),K82)</f>
        <v>2.97634920634921</v>
      </c>
      <c r="N82" s="30" t="n">
        <f aca="false">IF(Config!$C$12="Weighted average",K82,IF(Config!$C$12="Weighted with floor",M82,L82))</f>
        <v>2.97634920634921</v>
      </c>
      <c r="O82" s="31" t="n">
        <f aca="false">IF(N82&lt;Config!$D$5,"",MATCH(N82,Config!$D$5:$D$9,1))</f>
        <v>3</v>
      </c>
      <c r="P82" s="7" t="str">
        <f aca="false">IF(O82="","No data",INDEX(Config!$B$5:$B$9,O82))</f>
        <v>Medium</v>
      </c>
      <c r="Q82" s="32" t="n">
        <v>0</v>
      </c>
      <c r="R82" s="8"/>
      <c r="S82" s="33"/>
      <c r="T82" s="34" t="n">
        <f aca="false">IF(O82="","",IF(AND(S82="Y",Q82&lt;&gt;0),MAX(1,MIN(5,O82+MAX(-Config!$C$27,MIN(Config!$C$27,Q82)))),O82))</f>
        <v>3</v>
      </c>
      <c r="U82" s="35" t="str">
        <f aca="false">IF(T82="","No data",INDEX(Config!$B$5:$B$9,T82))</f>
        <v>Medium</v>
      </c>
      <c r="V82" s="7" t="str">
        <f aca="false">IF(Q82=0,"None",IF(S82="Y","Applied","Pending HO approval"))</f>
        <v>None</v>
      </c>
      <c r="W82" s="36" t="n">
        <f aca="false">SUMPRODUCT((Indicators!$K$5:$K$35&gt;0)*('Indicator Data'!$O$5:$O$35&lt;&gt;""))/SUMPRODUCT(--(Indicators!$K$5:$K$35&gt;0))</f>
        <v>1</v>
      </c>
    </row>
    <row r="83" customFormat="false" ht="15" hidden="false" customHeight="false" outlineLevel="0" collapsed="false">
      <c r="A83" s="26" t="str">
        <f aca="false">Entities!$A$16</f>
        <v>QA</v>
      </c>
      <c r="B83" s="12" t="str">
        <f aca="false">INDEX(Entities!$B$5:$B$34,MATCH(A83,Entities!$A$5:$A$34,0))</f>
        <v>Arab Bank – Qatar</v>
      </c>
      <c r="C83" s="12" t="str">
        <f aca="false">INDEX(Entities!$D$5:$D$34,MATCH(A83,Entities!$A$5:$A$34,0))</f>
        <v>GCC</v>
      </c>
      <c r="D83" s="12" t="s">
        <v>240</v>
      </c>
      <c r="E83" s="12" t="str">
        <f aca="false">INDEX('Risk Taxonomy'!$B$5:$B$24,MATCH(D83,'Risk Taxonomy'!$A$5:$A$24,0))</f>
        <v>Terrorist financing</v>
      </c>
      <c r="F83" s="28" t="n">
        <f aca="false">IFERROR(SUMPRODUCT((Indicators!$B$5:$B$35=F$4)*Indicators!$L$5:$L$35*'Indicator Scores'!$O$5:$O$35)/SUMPRODUCT((Indicators!$B$5:$B$35=F$4)*Indicators!$L$5:$L$35*('Indicator Scores'!$O$5:$O$35&gt;0)),0)</f>
        <v>2.7</v>
      </c>
      <c r="G83" s="28" t="n">
        <f aca="false">IFERROR(SUMPRODUCT((Indicators!$B$5:$B$35=G$4)*Indicators!$L$5:$L$35*'Indicator Scores'!$O$5:$O$35)/SUMPRODUCT((Indicators!$B$5:$B$35=G$4)*Indicators!$L$5:$L$35*('Indicator Scores'!$O$5:$O$35&gt;0)),0)</f>
        <v>3.11111111111111</v>
      </c>
      <c r="H83" s="28" t="n">
        <f aca="false">IFERROR(SUMPRODUCT((Indicators!$B$5:$B$35=H$4)*Indicators!$L$5:$L$35*'Indicator Scores'!$O$5:$O$35)/SUMPRODUCT((Indicators!$B$5:$B$35=H$4)*Indicators!$L$5:$L$35*('Indicator Scores'!$O$5:$O$35&gt;0)),0)</f>
        <v>3.16666666666667</v>
      </c>
      <c r="I83" s="28" t="n">
        <f aca="false">IFERROR(SUMPRODUCT((Indicators!$B$5:$B$35=I$4)*Indicators!$L$5:$L$35*'Indicator Scores'!$O$5:$O$35)/SUMPRODUCT((Indicators!$B$5:$B$35=I$4)*Indicators!$L$5:$L$35*('Indicator Scores'!$O$5:$O$35&gt;0)),0)</f>
        <v>2.83333333333333</v>
      </c>
      <c r="J83" s="28" t="n">
        <f aca="false">IFERROR(SUMPRODUCT((Indicators!$B$5:$B$35=J$4)*Indicators!$L$5:$L$35*'Indicator Scores'!$O$5:$O$35)/SUMPRODUCT((Indicators!$B$5:$B$35=J$4)*Indicators!$L$5:$L$35*('Indicator Scores'!$O$5:$O$35&gt;0)),0)</f>
        <v>3.42857142857143</v>
      </c>
      <c r="K83" s="28" t="n">
        <f aca="false">IFERROR(SUMPRODUCT(F83:J83,INDEX('Factor Weights'!$C$5:$G$11,MATCH(D83,'Factor Weights'!$A$5:$A$11,0),0))/SUMPRODUCT((F83:J83&gt;0)*INDEX('Factor Weights'!$C$5:$G$11,MATCH(D83,'Factor Weights'!$A$5:$A$11,0),0)),0)</f>
        <v>3.05238095238095</v>
      </c>
      <c r="L83" s="29" t="n">
        <f aca="false">MAX(F83:J83)</f>
        <v>3.42857142857143</v>
      </c>
      <c r="M83" s="28" t="n">
        <f aca="false">IF(L83&gt;=Config!$C$13,MAX(K83,Config!$C$14),K83)</f>
        <v>3.05238095238095</v>
      </c>
      <c r="N83" s="30" t="n">
        <f aca="false">IF(Config!$C$12="Weighted average",K83,IF(Config!$C$12="Weighted with floor",M83,L83))</f>
        <v>3.05238095238095</v>
      </c>
      <c r="O83" s="31" t="n">
        <f aca="false">IF(N83&lt;Config!$D$5,"",MATCH(N83,Config!$D$5:$D$9,1))</f>
        <v>3</v>
      </c>
      <c r="P83" s="7" t="str">
        <f aca="false">IF(O83="","No data",INDEX(Config!$B$5:$B$9,O83))</f>
        <v>Medium</v>
      </c>
      <c r="Q83" s="32" t="n">
        <v>0</v>
      </c>
      <c r="R83" s="8"/>
      <c r="S83" s="33"/>
      <c r="T83" s="34" t="n">
        <f aca="false">IF(O83="","",IF(AND(S83="Y",Q83&lt;&gt;0),MAX(1,MIN(5,O83+MAX(-Config!$C$27,MIN(Config!$C$27,Q83)))),O83))</f>
        <v>3</v>
      </c>
      <c r="U83" s="35" t="str">
        <f aca="false">IF(T83="","No data",INDEX(Config!$B$5:$B$9,T83))</f>
        <v>Medium</v>
      </c>
      <c r="V83" s="7" t="str">
        <f aca="false">IF(Q83=0,"None",IF(S83="Y","Applied","Pending HO approval"))</f>
        <v>None</v>
      </c>
      <c r="W83" s="36" t="n">
        <f aca="false">SUMPRODUCT((Indicators!$L$5:$L$35&gt;0)*('Indicator Data'!$O$5:$O$35&lt;&gt;""))/SUMPRODUCT(--(Indicators!$L$5:$L$35&gt;0))</f>
        <v>1</v>
      </c>
    </row>
    <row r="84" customFormat="false" ht="15" hidden="false" customHeight="false" outlineLevel="0" collapsed="false">
      <c r="A84" s="26" t="str">
        <f aca="false">Entities!$A$16</f>
        <v>QA</v>
      </c>
      <c r="B84" s="12" t="str">
        <f aca="false">INDEX(Entities!$B$5:$B$34,MATCH(A84,Entities!$A$5:$A$34,0))</f>
        <v>Arab Bank – Qatar</v>
      </c>
      <c r="C84" s="12" t="str">
        <f aca="false">INDEX(Entities!$D$5:$D$34,MATCH(A84,Entities!$A$5:$A$34,0))</f>
        <v>GCC</v>
      </c>
      <c r="D84" s="12" t="s">
        <v>243</v>
      </c>
      <c r="E84" s="12" t="str">
        <f aca="false">INDEX('Risk Taxonomy'!$B$5:$B$24,MATCH(D84,'Risk Taxonomy'!$A$5:$A$24,0))</f>
        <v>Proliferation financing</v>
      </c>
      <c r="F84" s="28" t="n">
        <f aca="false">IFERROR(SUMPRODUCT((Indicators!$B$5:$B$35=F$4)*Indicators!$M$5:$M$35*'Indicator Scores'!$O$5:$O$35)/SUMPRODUCT((Indicators!$B$5:$B$35=F$4)*Indicators!$M$5:$M$35*('Indicator Scores'!$O$5:$O$35&gt;0)),0)</f>
        <v>2.75</v>
      </c>
      <c r="G84" s="28" t="n">
        <f aca="false">IFERROR(SUMPRODUCT((Indicators!$B$5:$B$35=G$4)*Indicators!$M$5:$M$35*'Indicator Scores'!$O$5:$O$35)/SUMPRODUCT((Indicators!$B$5:$B$35=G$4)*Indicators!$M$5:$M$35*('Indicator Scores'!$O$5:$O$35&gt;0)),0)</f>
        <v>3.375</v>
      </c>
      <c r="H84" s="28" t="n">
        <f aca="false">IFERROR(SUMPRODUCT((Indicators!$B$5:$B$35=H$4)*Indicators!$M$5:$M$35*'Indicator Scores'!$O$5:$O$35)/SUMPRODUCT((Indicators!$B$5:$B$35=H$4)*Indicators!$M$5:$M$35*('Indicator Scores'!$O$5:$O$35&gt;0)),0)</f>
        <v>2.77777777777778</v>
      </c>
      <c r="I84" s="28" t="n">
        <f aca="false">IFERROR(SUMPRODUCT((Indicators!$B$5:$B$35=I$4)*Indicators!$M$5:$M$35*'Indicator Scores'!$O$5:$O$35)/SUMPRODUCT((Indicators!$B$5:$B$35=I$4)*Indicators!$M$5:$M$35*('Indicator Scores'!$O$5:$O$35&gt;0)),0)</f>
        <v>3</v>
      </c>
      <c r="J84" s="28" t="n">
        <f aca="false">IFERROR(SUMPRODUCT((Indicators!$B$5:$B$35=J$4)*Indicators!$M$5:$M$35*'Indicator Scores'!$O$5:$O$35)/SUMPRODUCT((Indicators!$B$5:$B$35=J$4)*Indicators!$M$5:$M$35*('Indicator Scores'!$O$5:$O$35&gt;0)),0)</f>
        <v>2.5</v>
      </c>
      <c r="K84" s="28" t="n">
        <f aca="false">IFERROR(SUMPRODUCT(F84:J84,INDEX('Factor Weights'!$C$5:$G$11,MATCH(D84,'Factor Weights'!$A$5:$A$11,0),0))/SUMPRODUCT((F84:J84&gt;0)*INDEX('Factor Weights'!$C$5:$G$11,MATCH(D84,'Factor Weights'!$A$5:$A$11,0),0)),0)</f>
        <v>2.90833333333333</v>
      </c>
      <c r="L84" s="29" t="n">
        <f aca="false">MAX(F84:J84)</f>
        <v>3.375</v>
      </c>
      <c r="M84" s="28" t="n">
        <f aca="false">IF(L84&gt;=Config!$C$13,MAX(K84,Config!$C$14),K84)</f>
        <v>2.90833333333333</v>
      </c>
      <c r="N84" s="30" t="n">
        <f aca="false">IF(Config!$C$12="Weighted average",K84,IF(Config!$C$12="Weighted with floor",M84,L84))</f>
        <v>2.90833333333333</v>
      </c>
      <c r="O84" s="31" t="n">
        <f aca="false">IF(N84&lt;Config!$D$5,"",MATCH(N84,Config!$D$5:$D$9,1))</f>
        <v>3</v>
      </c>
      <c r="P84" s="7" t="str">
        <f aca="false">IF(O84="","No data",INDEX(Config!$B$5:$B$9,O84))</f>
        <v>Medium</v>
      </c>
      <c r="Q84" s="32" t="n">
        <v>0</v>
      </c>
      <c r="R84" s="8"/>
      <c r="S84" s="33"/>
      <c r="T84" s="34" t="n">
        <f aca="false">IF(O84="","",IF(AND(S84="Y",Q84&lt;&gt;0),MAX(1,MIN(5,O84+MAX(-Config!$C$27,MIN(Config!$C$27,Q84)))),O84))</f>
        <v>3</v>
      </c>
      <c r="U84" s="35" t="str">
        <f aca="false">IF(T84="","No data",INDEX(Config!$B$5:$B$9,T84))</f>
        <v>Medium</v>
      </c>
      <c r="V84" s="7" t="str">
        <f aca="false">IF(Q84=0,"None",IF(S84="Y","Applied","Pending HO approval"))</f>
        <v>None</v>
      </c>
      <c r="W84" s="36" t="n">
        <f aca="false">SUMPRODUCT((Indicators!$M$5:$M$35&gt;0)*('Indicator Data'!$O$5:$O$35&lt;&gt;""))/SUMPRODUCT(--(Indicators!$M$5:$M$35&gt;0))</f>
        <v>1</v>
      </c>
    </row>
    <row r="85" customFormat="false" ht="15" hidden="false" customHeight="false" outlineLevel="0" collapsed="false">
      <c r="A85" s="26" t="str">
        <f aca="false">Entities!$A$16</f>
        <v>QA</v>
      </c>
      <c r="B85" s="12" t="str">
        <f aca="false">INDEX(Entities!$B$5:$B$34,MATCH(A85,Entities!$A$5:$A$34,0))</f>
        <v>Arab Bank – Qatar</v>
      </c>
      <c r="C85" s="12" t="str">
        <f aca="false">INDEX(Entities!$D$5:$D$34,MATCH(A85,Entities!$A$5:$A$34,0))</f>
        <v>GCC</v>
      </c>
      <c r="D85" s="12" t="s">
        <v>245</v>
      </c>
      <c r="E85" s="12" t="str">
        <f aca="false">INDEX('Risk Taxonomy'!$B$5:$B$24,MATCH(D85,'Risk Taxonomy'!$A$5:$A$24,0))</f>
        <v>Sanctions</v>
      </c>
      <c r="F85" s="28" t="n">
        <f aca="false">IFERROR(SUMPRODUCT((Indicators!$B$5:$B$35=F$4)*Indicators!$N$5:$N$35*'Indicator Scores'!$O$5:$O$35)/SUMPRODUCT((Indicators!$B$5:$B$35=F$4)*Indicators!$N$5:$N$35*('Indicator Scores'!$O$5:$O$35&gt;0)),0)</f>
        <v>2.57142857142857</v>
      </c>
      <c r="G85" s="28" t="n">
        <f aca="false">IFERROR(SUMPRODUCT((Indicators!$B$5:$B$35=G$4)*Indicators!$N$5:$N$35*'Indicator Scores'!$O$5:$O$35)/SUMPRODUCT((Indicators!$B$5:$B$35=G$4)*Indicators!$N$5:$N$35*('Indicator Scores'!$O$5:$O$35&gt;0)),0)</f>
        <v>3.42857142857143</v>
      </c>
      <c r="H85" s="28" t="n">
        <f aca="false">IFERROR(SUMPRODUCT((Indicators!$B$5:$B$35=H$4)*Indicators!$N$5:$N$35*'Indicator Scores'!$O$5:$O$35)/SUMPRODUCT((Indicators!$B$5:$B$35=H$4)*Indicators!$N$5:$N$35*('Indicator Scores'!$O$5:$O$35&gt;0)),0)</f>
        <v>2.75</v>
      </c>
      <c r="I85" s="28" t="n">
        <f aca="false">IFERROR(SUMPRODUCT((Indicators!$B$5:$B$35=I$4)*Indicators!$N$5:$N$35*'Indicator Scores'!$O$5:$O$35)/SUMPRODUCT((Indicators!$B$5:$B$35=I$4)*Indicators!$N$5:$N$35*('Indicator Scores'!$O$5:$O$35&gt;0)),0)</f>
        <v>3</v>
      </c>
      <c r="J85" s="28" t="n">
        <f aca="false">IFERROR(SUMPRODUCT((Indicators!$B$5:$B$35=J$4)*Indicators!$N$5:$N$35*'Indicator Scores'!$O$5:$O$35)/SUMPRODUCT((Indicators!$B$5:$B$35=J$4)*Indicators!$N$5:$N$35*('Indicator Scores'!$O$5:$O$35&gt;0)),0)</f>
        <v>2.6</v>
      </c>
      <c r="K85" s="28" t="n">
        <f aca="false">IFERROR(SUMPRODUCT(F85:J85,INDEX('Factor Weights'!$C$5:$G$11,MATCH(D85,'Factor Weights'!$A$5:$A$11,0),0))/SUMPRODUCT((F85:J85&gt;0)*INDEX('Factor Weights'!$C$5:$G$11,MATCH(D85,'Factor Weights'!$A$5:$A$11,0),0)),0)</f>
        <v>2.97714285714286</v>
      </c>
      <c r="L85" s="29" t="n">
        <f aca="false">MAX(F85:J85)</f>
        <v>3.42857142857143</v>
      </c>
      <c r="M85" s="28" t="n">
        <f aca="false">IF(L85&gt;=Config!$C$13,MAX(K85,Config!$C$14),K85)</f>
        <v>2.97714285714286</v>
      </c>
      <c r="N85" s="30" t="n">
        <f aca="false">IF(Config!$C$12="Weighted average",K85,IF(Config!$C$12="Weighted with floor",M85,L85))</f>
        <v>2.97714285714286</v>
      </c>
      <c r="O85" s="31" t="n">
        <f aca="false">IF(N85&lt;Config!$D$5,"",MATCH(N85,Config!$D$5:$D$9,1))</f>
        <v>3</v>
      </c>
      <c r="P85" s="7" t="str">
        <f aca="false">IF(O85="","No data",INDEX(Config!$B$5:$B$9,O85))</f>
        <v>Medium</v>
      </c>
      <c r="Q85" s="32" t="n">
        <v>0</v>
      </c>
      <c r="R85" s="8"/>
      <c r="S85" s="33"/>
      <c r="T85" s="34" t="n">
        <f aca="false">IF(O85="","",IF(AND(S85="Y",Q85&lt;&gt;0),MAX(1,MIN(5,O85+MAX(-Config!$C$27,MIN(Config!$C$27,Q85)))),O85))</f>
        <v>3</v>
      </c>
      <c r="U85" s="35" t="str">
        <f aca="false">IF(T85="","No data",INDEX(Config!$B$5:$B$9,T85))</f>
        <v>Medium</v>
      </c>
      <c r="V85" s="7" t="str">
        <f aca="false">IF(Q85=0,"None",IF(S85="Y","Applied","Pending HO approval"))</f>
        <v>None</v>
      </c>
      <c r="W85" s="36" t="n">
        <f aca="false">SUMPRODUCT((Indicators!$N$5:$N$35&gt;0)*('Indicator Data'!$O$5:$O$35&lt;&gt;""))/SUMPRODUCT(--(Indicators!$N$5:$N$35&gt;0))</f>
        <v>1</v>
      </c>
    </row>
    <row r="86" customFormat="false" ht="15" hidden="false" customHeight="false" outlineLevel="0" collapsed="false">
      <c r="A86" s="26" t="str">
        <f aca="false">Entities!$A$16</f>
        <v>QA</v>
      </c>
      <c r="B86" s="12" t="str">
        <f aca="false">INDEX(Entities!$B$5:$B$34,MATCH(A86,Entities!$A$5:$A$34,0))</f>
        <v>Arab Bank – Qatar</v>
      </c>
      <c r="C86" s="12" t="str">
        <f aca="false">INDEX(Entities!$D$5:$D$34,MATCH(A86,Entities!$A$5:$A$34,0))</f>
        <v>GCC</v>
      </c>
      <c r="D86" s="12" t="s">
        <v>248</v>
      </c>
      <c r="E86" s="12" t="str">
        <f aca="false">INDEX('Risk Taxonomy'!$B$5:$B$24,MATCH(D86,'Risk Taxonomy'!$A$5:$A$24,0))</f>
        <v>Bribery and corruption</v>
      </c>
      <c r="F86" s="28" t="n">
        <f aca="false">IFERROR(SUMPRODUCT((Indicators!$B$5:$B$35=F$4)*Indicators!$O$5:$O$35*'Indicator Scores'!$O$5:$O$35)/SUMPRODUCT((Indicators!$B$5:$B$35=F$4)*Indicators!$O$5:$O$35*('Indicator Scores'!$O$5:$O$35&gt;0)),0)</f>
        <v>2.22222222222222</v>
      </c>
      <c r="G86" s="28" t="n">
        <f aca="false">IFERROR(SUMPRODUCT((Indicators!$B$5:$B$35=G$4)*Indicators!$O$5:$O$35*'Indicator Scores'!$O$5:$O$35)/SUMPRODUCT((Indicators!$B$5:$B$35=G$4)*Indicators!$O$5:$O$35*('Indicator Scores'!$O$5:$O$35&gt;0)),0)</f>
        <v>3</v>
      </c>
      <c r="H86" s="28" t="n">
        <f aca="false">IFERROR(SUMPRODUCT((Indicators!$B$5:$B$35=H$4)*Indicators!$O$5:$O$35*'Indicator Scores'!$O$5:$O$35)/SUMPRODUCT((Indicators!$B$5:$B$35=H$4)*Indicators!$O$5:$O$35*('Indicator Scores'!$O$5:$O$35&gt;0)),0)</f>
        <v>2.5</v>
      </c>
      <c r="I86" s="28" t="n">
        <f aca="false">IFERROR(SUMPRODUCT((Indicators!$B$5:$B$35=I$4)*Indicators!$O$5:$O$35*'Indicator Scores'!$O$5:$O$35)/SUMPRODUCT((Indicators!$B$5:$B$35=I$4)*Indicators!$O$5:$O$35*('Indicator Scores'!$O$5:$O$35&gt;0)),0)</f>
        <v>3</v>
      </c>
      <c r="J86" s="28" t="n">
        <f aca="false">IFERROR(SUMPRODUCT((Indicators!$B$5:$B$35=J$4)*Indicators!$O$5:$O$35*'Indicator Scores'!$O$5:$O$35)/SUMPRODUCT((Indicators!$B$5:$B$35=J$4)*Indicators!$O$5:$O$35*('Indicator Scores'!$O$5:$O$35&gt;0)),0)</f>
        <v>2</v>
      </c>
      <c r="K86" s="28" t="n">
        <f aca="false">IFERROR(SUMPRODUCT(F86:J86,INDEX('Factor Weights'!$C$5:$G$11,MATCH(D86,'Factor Weights'!$A$5:$A$11,0),0))/SUMPRODUCT((F86:J86&gt;0)*INDEX('Factor Weights'!$C$5:$G$11,MATCH(D86,'Factor Weights'!$A$5:$A$11,0),0)),0)</f>
        <v>2.59166666666667</v>
      </c>
      <c r="L86" s="29" t="n">
        <f aca="false">MAX(F86:J86)</f>
        <v>3</v>
      </c>
      <c r="M86" s="28" t="n">
        <f aca="false">IF(L86&gt;=Config!$C$13,MAX(K86,Config!$C$14),K86)</f>
        <v>2.59166666666667</v>
      </c>
      <c r="N86" s="30" t="n">
        <f aca="false">IF(Config!$C$12="Weighted average",K86,IF(Config!$C$12="Weighted with floor",M86,L86))</f>
        <v>2.59166666666667</v>
      </c>
      <c r="O86" s="31" t="n">
        <f aca="false">IF(N86&lt;Config!$D$5,"",MATCH(N86,Config!$D$5:$D$9,1))</f>
        <v>2</v>
      </c>
      <c r="P86" s="7" t="str">
        <f aca="false">IF(O86="","No data",INDEX(Config!$B$5:$B$9,O86))</f>
        <v>Medium-Low</v>
      </c>
      <c r="Q86" s="32" t="n">
        <v>0</v>
      </c>
      <c r="R86" s="8"/>
      <c r="S86" s="33"/>
      <c r="T86" s="34" t="n">
        <f aca="false">IF(O86="","",IF(AND(S86="Y",Q86&lt;&gt;0),MAX(1,MIN(5,O86+MAX(-Config!$C$27,MIN(Config!$C$27,Q86)))),O86))</f>
        <v>2</v>
      </c>
      <c r="U86" s="35" t="str">
        <f aca="false">IF(T86="","No data",INDEX(Config!$B$5:$B$9,T86))</f>
        <v>Medium-Low</v>
      </c>
      <c r="V86" s="7" t="str">
        <f aca="false">IF(Q86=0,"None",IF(S86="Y","Applied","Pending HO approval"))</f>
        <v>None</v>
      </c>
      <c r="W86" s="36" t="n">
        <f aca="false">SUMPRODUCT((Indicators!$O$5:$O$35&gt;0)*('Indicator Data'!$O$5:$O$35&lt;&gt;""))/SUMPRODUCT(--(Indicators!$O$5:$O$35&gt;0))</f>
        <v>1</v>
      </c>
    </row>
    <row r="87" customFormat="false" ht="15" hidden="false" customHeight="false" outlineLevel="0" collapsed="false">
      <c r="A87" s="26" t="str">
        <f aca="false">Entities!$A$16</f>
        <v>QA</v>
      </c>
      <c r="B87" s="12" t="str">
        <f aca="false">INDEX(Entities!$B$5:$B$34,MATCH(A87,Entities!$A$5:$A$34,0))</f>
        <v>Arab Bank – Qatar</v>
      </c>
      <c r="C87" s="12" t="str">
        <f aca="false">INDEX(Entities!$D$5:$D$34,MATCH(A87,Entities!$A$5:$A$34,0))</f>
        <v>GCC</v>
      </c>
      <c r="D87" s="12" t="s">
        <v>251</v>
      </c>
      <c r="E87" s="12" t="str">
        <f aca="false">INDEX('Risk Taxonomy'!$B$5:$B$24,MATCH(D87,'Risk Taxonomy'!$A$5:$A$24,0))</f>
        <v>Fraud</v>
      </c>
      <c r="F87" s="28" t="n">
        <f aca="false">IFERROR(SUMPRODUCT((Indicators!$B$5:$B$35=F$4)*Indicators!$P$5:$P$35*'Indicator Scores'!$O$5:$O$35)/SUMPRODUCT((Indicators!$B$5:$B$35=F$4)*Indicators!$P$5:$P$35*('Indicator Scores'!$O$5:$O$35&gt;0)),0)</f>
        <v>3.66666666666667</v>
      </c>
      <c r="G87" s="28" t="n">
        <f aca="false">IFERROR(SUMPRODUCT((Indicators!$B$5:$B$35=G$4)*Indicators!$P$5:$P$35*'Indicator Scores'!$O$5:$O$35)/SUMPRODUCT((Indicators!$B$5:$B$35=G$4)*Indicators!$P$5:$P$35*('Indicator Scores'!$O$5:$O$35&gt;0)),0)</f>
        <v>3</v>
      </c>
      <c r="H87" s="28" t="n">
        <f aca="false">IFERROR(SUMPRODUCT((Indicators!$B$5:$B$35=H$4)*Indicators!$P$5:$P$35*'Indicator Scores'!$O$5:$O$35)/SUMPRODUCT((Indicators!$B$5:$B$35=H$4)*Indicators!$P$5:$P$35*('Indicator Scores'!$O$5:$O$35&gt;0)),0)</f>
        <v>3.4</v>
      </c>
      <c r="I87" s="28" t="n">
        <f aca="false">IFERROR(SUMPRODUCT((Indicators!$B$5:$B$35=I$4)*Indicators!$P$5:$P$35*'Indicator Scores'!$O$5:$O$35)/SUMPRODUCT((Indicators!$B$5:$B$35=I$4)*Indicators!$P$5:$P$35*('Indicator Scores'!$O$5:$O$35&gt;0)),0)</f>
        <v>2.77777777777778</v>
      </c>
      <c r="J87" s="28" t="n">
        <f aca="false">IFERROR(SUMPRODUCT((Indicators!$B$5:$B$35=J$4)*Indicators!$P$5:$P$35*'Indicator Scores'!$O$5:$O$35)/SUMPRODUCT((Indicators!$B$5:$B$35=J$4)*Indicators!$P$5:$P$35*('Indicator Scores'!$O$5:$O$35&gt;0)),0)</f>
        <v>2</v>
      </c>
      <c r="K87" s="28" t="n">
        <f aca="false">IFERROR(SUMPRODUCT(F87:J87,INDEX('Factor Weights'!$C$5:$G$11,MATCH(D87,'Factor Weights'!$A$5:$A$11,0),0))/SUMPRODUCT((F87:J87&gt;0)*INDEX('Factor Weights'!$C$5:$G$11,MATCH(D87,'Factor Weights'!$A$5:$A$11,0),0)),0)</f>
        <v>2.94666666666667</v>
      </c>
      <c r="L87" s="29" t="n">
        <f aca="false">MAX(F87:J87)</f>
        <v>3.66666666666667</v>
      </c>
      <c r="M87" s="28" t="n">
        <f aca="false">IF(L87&gt;=Config!$C$13,MAX(K87,Config!$C$14),K87)</f>
        <v>2.94666666666667</v>
      </c>
      <c r="N87" s="30" t="n">
        <f aca="false">IF(Config!$C$12="Weighted average",K87,IF(Config!$C$12="Weighted with floor",M87,L87))</f>
        <v>2.94666666666667</v>
      </c>
      <c r="O87" s="31" t="n">
        <f aca="false">IF(N87&lt;Config!$D$5,"",MATCH(N87,Config!$D$5:$D$9,1))</f>
        <v>3</v>
      </c>
      <c r="P87" s="7" t="str">
        <f aca="false">IF(O87="","No data",INDEX(Config!$B$5:$B$9,O87))</f>
        <v>Medium</v>
      </c>
      <c r="Q87" s="32" t="n">
        <v>0</v>
      </c>
      <c r="R87" s="8"/>
      <c r="S87" s="33"/>
      <c r="T87" s="34" t="n">
        <f aca="false">IF(O87="","",IF(AND(S87="Y",Q87&lt;&gt;0),MAX(1,MIN(5,O87+MAX(-Config!$C$27,MIN(Config!$C$27,Q87)))),O87))</f>
        <v>3</v>
      </c>
      <c r="U87" s="35" t="str">
        <f aca="false">IF(T87="","No data",INDEX(Config!$B$5:$B$9,T87))</f>
        <v>Medium</v>
      </c>
      <c r="V87" s="7" t="str">
        <f aca="false">IF(Q87=0,"None",IF(S87="Y","Applied","Pending HO approval"))</f>
        <v>None</v>
      </c>
      <c r="W87" s="36" t="n">
        <f aca="false">SUMPRODUCT((Indicators!$P$5:$P$35&gt;0)*('Indicator Data'!$O$5:$O$35&lt;&gt;""))/SUMPRODUCT(--(Indicators!$P$5:$P$35&gt;0))</f>
        <v>1</v>
      </c>
    </row>
    <row r="88" customFormat="false" ht="15" hidden="false" customHeight="false" outlineLevel="0" collapsed="false">
      <c r="A88" s="26" t="str">
        <f aca="false">Entities!$A$16</f>
        <v>QA</v>
      </c>
      <c r="B88" s="12" t="str">
        <f aca="false">INDEX(Entities!$B$5:$B$34,MATCH(A88,Entities!$A$5:$A$34,0))</f>
        <v>Arab Bank – Qatar</v>
      </c>
      <c r="C88" s="12" t="str">
        <f aca="false">INDEX(Entities!$D$5:$D$34,MATCH(A88,Entities!$A$5:$A$34,0))</f>
        <v>GCC</v>
      </c>
      <c r="D88" s="12" t="s">
        <v>254</v>
      </c>
      <c r="E88" s="12" t="str">
        <f aca="false">INDEX('Risk Taxonomy'!$B$5:$B$24,MATCH(D88,'Risk Taxonomy'!$A$5:$A$24,0))</f>
        <v>Tax evasion and tax transparency</v>
      </c>
      <c r="F88" s="28" t="n">
        <f aca="false">IFERROR(SUMPRODUCT((Indicators!$B$5:$B$35=F$4)*Indicators!$Q$5:$Q$35*'Indicator Scores'!$O$5:$O$35)/SUMPRODUCT((Indicators!$B$5:$B$35=F$4)*Indicators!$Q$5:$Q$35*('Indicator Scores'!$O$5:$O$35&gt;0)),0)</f>
        <v>2.66666666666667</v>
      </c>
      <c r="G88" s="28" t="n">
        <f aca="false">IFERROR(SUMPRODUCT((Indicators!$B$5:$B$35=G$4)*Indicators!$Q$5:$Q$35*'Indicator Scores'!$O$5:$O$35)/SUMPRODUCT((Indicators!$B$5:$B$35=G$4)*Indicators!$Q$5:$Q$35*('Indicator Scores'!$O$5:$O$35&gt;0)),0)</f>
        <v>3</v>
      </c>
      <c r="H88" s="28" t="n">
        <f aca="false">IFERROR(SUMPRODUCT((Indicators!$B$5:$B$35=H$4)*Indicators!$Q$5:$Q$35*'Indicator Scores'!$O$5:$O$35)/SUMPRODUCT((Indicators!$B$5:$B$35=H$4)*Indicators!$Q$5:$Q$35*('Indicator Scores'!$O$5:$O$35&gt;0)),0)</f>
        <v>2.83333333333333</v>
      </c>
      <c r="I88" s="28" t="n">
        <f aca="false">IFERROR(SUMPRODUCT((Indicators!$B$5:$B$35=I$4)*Indicators!$Q$5:$Q$35*'Indicator Scores'!$O$5:$O$35)/SUMPRODUCT((Indicators!$B$5:$B$35=I$4)*Indicators!$Q$5:$Q$35*('Indicator Scores'!$O$5:$O$35&gt;0)),0)</f>
        <v>3</v>
      </c>
      <c r="J88" s="28" t="n">
        <f aca="false">IFERROR(SUMPRODUCT((Indicators!$B$5:$B$35=J$4)*Indicators!$Q$5:$Q$35*'Indicator Scores'!$O$5:$O$35)/SUMPRODUCT((Indicators!$B$5:$B$35=J$4)*Indicators!$Q$5:$Q$35*('Indicator Scores'!$O$5:$O$35&gt;0)),0)</f>
        <v>3.8</v>
      </c>
      <c r="K88" s="28" t="n">
        <f aca="false">IFERROR(SUMPRODUCT(F88:J88,INDEX('Factor Weights'!$C$5:$G$11,MATCH(D88,'Factor Weights'!$A$5:$A$11,0),0))/SUMPRODUCT((F88:J88&gt;0)*INDEX('Factor Weights'!$C$5:$G$11,MATCH(D88,'Factor Weights'!$A$5:$A$11,0),0)),0)</f>
        <v>2.93</v>
      </c>
      <c r="L88" s="29" t="n">
        <f aca="false">MAX(F88:J88)</f>
        <v>3.8</v>
      </c>
      <c r="M88" s="28" t="n">
        <f aca="false">IF(L88&gt;=Config!$C$13,MAX(K88,Config!$C$14),K88)</f>
        <v>2.93</v>
      </c>
      <c r="N88" s="30" t="n">
        <f aca="false">IF(Config!$C$12="Weighted average",K88,IF(Config!$C$12="Weighted with floor",M88,L88))</f>
        <v>2.93</v>
      </c>
      <c r="O88" s="31" t="n">
        <f aca="false">IF(N88&lt;Config!$D$5,"",MATCH(N88,Config!$D$5:$D$9,1))</f>
        <v>3</v>
      </c>
      <c r="P88" s="7" t="str">
        <f aca="false">IF(O88="","No data",INDEX(Config!$B$5:$B$9,O88))</f>
        <v>Medium</v>
      </c>
      <c r="Q88" s="32" t="n">
        <v>0</v>
      </c>
      <c r="R88" s="8"/>
      <c r="S88" s="33"/>
      <c r="T88" s="34" t="n">
        <f aca="false">IF(O88="","",IF(AND(S88="Y",Q88&lt;&gt;0),MAX(1,MIN(5,O88+MAX(-Config!$C$27,MIN(Config!$C$27,Q88)))),O88))</f>
        <v>3</v>
      </c>
      <c r="U88" s="35" t="str">
        <f aca="false">IF(T88="","No data",INDEX(Config!$B$5:$B$9,T88))</f>
        <v>Medium</v>
      </c>
      <c r="V88" s="7" t="str">
        <f aca="false">IF(Q88=0,"None",IF(S88="Y","Applied","Pending HO approval"))</f>
        <v>None</v>
      </c>
      <c r="W88" s="36" t="n">
        <f aca="false">SUMPRODUCT((Indicators!$Q$5:$Q$35&gt;0)*('Indicator Data'!$O$5:$O$35&lt;&gt;""))/SUMPRODUCT(--(Indicators!$Q$5:$Q$35&gt;0))</f>
        <v>1</v>
      </c>
    </row>
    <row r="89" customFormat="false" ht="15" hidden="false" customHeight="false" outlineLevel="0" collapsed="false">
      <c r="A89" s="26" t="str">
        <f aca="false">Entities!$A$17</f>
        <v>SA</v>
      </c>
      <c r="B89" s="12" t="str">
        <f aca="false">INDEX(Entities!$B$5:$B$34,MATCH(A89,Entities!$A$5:$A$34,0))</f>
        <v>Arab National Bank (affiliate)</v>
      </c>
      <c r="C89" s="12" t="str">
        <f aca="false">INDEX(Entities!$D$5:$D$34,MATCH(A89,Entities!$A$5:$A$34,0))</f>
        <v>GCC</v>
      </c>
      <c r="D89" s="12" t="s">
        <v>233</v>
      </c>
      <c r="E89" s="12" t="str">
        <f aca="false">INDEX('Risk Taxonomy'!$B$5:$B$24,MATCH(D89,'Risk Taxonomy'!$A$5:$A$24,0))</f>
        <v>Money laundering</v>
      </c>
      <c r="F89" s="28" t="n">
        <f aca="false">IFERROR(SUMPRODUCT((Indicators!$B$5:$B$35=F$4)*Indicators!$K$5:$K$35*'Indicator Scores'!$P$5:$P$35)/SUMPRODUCT((Indicators!$B$5:$B$35=F$4)*Indicators!$K$5:$K$35*('Indicator Scores'!$P$5:$P$35&gt;0)),0)</f>
        <v>3</v>
      </c>
      <c r="G89" s="28" t="n">
        <f aca="false">IFERROR(SUMPRODUCT((Indicators!$B$5:$B$35=G$4)*Indicators!$K$5:$K$35*'Indicator Scores'!$P$5:$P$35)/SUMPRODUCT((Indicators!$B$5:$B$35=G$4)*Indicators!$K$5:$K$35*('Indicator Scores'!$P$5:$P$35&gt;0)),0)</f>
        <v>3</v>
      </c>
      <c r="H89" s="28" t="n">
        <f aca="false">IFERROR(SUMPRODUCT((Indicators!$B$5:$B$35=H$4)*Indicators!$K$5:$K$35*'Indicator Scores'!$P$5:$P$35)/SUMPRODUCT((Indicators!$B$5:$B$35=H$4)*Indicators!$K$5:$K$35*('Indicator Scores'!$P$5:$P$35&gt;0)),0)</f>
        <v>2.9</v>
      </c>
      <c r="I89" s="28" t="n">
        <f aca="false">IFERROR(SUMPRODUCT((Indicators!$B$5:$B$35=I$4)*Indicators!$K$5:$K$35*'Indicator Scores'!$P$5:$P$35)/SUMPRODUCT((Indicators!$B$5:$B$35=I$4)*Indicators!$K$5:$K$35*('Indicator Scores'!$P$5:$P$35&gt;0)),0)</f>
        <v>2</v>
      </c>
      <c r="J89" s="28" t="n">
        <f aca="false">IFERROR(SUMPRODUCT((Indicators!$B$5:$B$35=J$4)*Indicators!$K$5:$K$35*'Indicator Scores'!$P$5:$P$35)/SUMPRODUCT((Indicators!$B$5:$B$35=J$4)*Indicators!$K$5:$K$35*('Indicator Scores'!$P$5:$P$35&gt;0)),0)</f>
        <v>2.5</v>
      </c>
      <c r="K89" s="28" t="n">
        <f aca="false">IFERROR(SUMPRODUCT(F89:J89,INDEX('Factor Weights'!$C$5:$G$11,MATCH(D89,'Factor Weights'!$A$5:$A$11,0),0))/SUMPRODUCT((F89:J89&gt;0)*INDEX('Factor Weights'!$C$5:$G$11,MATCH(D89,'Factor Weights'!$A$5:$A$11,0),0)),0)</f>
        <v>2.78</v>
      </c>
      <c r="L89" s="29" t="n">
        <f aca="false">MAX(F89:J89)</f>
        <v>3</v>
      </c>
      <c r="M89" s="28" t="n">
        <f aca="false">IF(L89&gt;=Config!$C$13,MAX(K89,Config!$C$14),K89)</f>
        <v>2.78</v>
      </c>
      <c r="N89" s="30" t="n">
        <f aca="false">IF(Config!$C$12="Weighted average",K89,IF(Config!$C$12="Weighted with floor",M89,L89))</f>
        <v>2.78</v>
      </c>
      <c r="O89" s="31" t="n">
        <f aca="false">IF(N89&lt;Config!$D$5,"",MATCH(N89,Config!$D$5:$D$9,1))</f>
        <v>3</v>
      </c>
      <c r="P89" s="7" t="str">
        <f aca="false">IF(O89="","No data",INDEX(Config!$B$5:$B$9,O89))</f>
        <v>Medium</v>
      </c>
      <c r="Q89" s="32" t="n">
        <v>0</v>
      </c>
      <c r="R89" s="8"/>
      <c r="S89" s="33"/>
      <c r="T89" s="34" t="n">
        <f aca="false">IF(O89="","",IF(AND(S89="Y",Q89&lt;&gt;0),MAX(1,MIN(5,O89+MAX(-Config!$C$27,MIN(Config!$C$27,Q89)))),O89))</f>
        <v>3</v>
      </c>
      <c r="U89" s="35" t="str">
        <f aca="false">IF(T89="","No data",INDEX(Config!$B$5:$B$9,T89))</f>
        <v>Medium</v>
      </c>
      <c r="V89" s="7" t="str">
        <f aca="false">IF(Q89=0,"None",IF(S89="Y","Applied","Pending HO approval"))</f>
        <v>None</v>
      </c>
      <c r="W89" s="36" t="n">
        <f aca="false">SUMPRODUCT((Indicators!$K$5:$K$35&gt;0)*('Indicator Data'!$P$5:$P$35&lt;&gt;""))/SUMPRODUCT(--(Indicators!$K$5:$K$35&gt;0))</f>
        <v>1</v>
      </c>
    </row>
    <row r="90" customFormat="false" ht="15" hidden="false" customHeight="false" outlineLevel="0" collapsed="false">
      <c r="A90" s="26" t="str">
        <f aca="false">Entities!$A$17</f>
        <v>SA</v>
      </c>
      <c r="B90" s="12" t="str">
        <f aca="false">INDEX(Entities!$B$5:$B$34,MATCH(A90,Entities!$A$5:$A$34,0))</f>
        <v>Arab National Bank (affiliate)</v>
      </c>
      <c r="C90" s="12" t="str">
        <f aca="false">INDEX(Entities!$D$5:$D$34,MATCH(A90,Entities!$A$5:$A$34,0))</f>
        <v>GCC</v>
      </c>
      <c r="D90" s="12" t="s">
        <v>240</v>
      </c>
      <c r="E90" s="12" t="str">
        <f aca="false">INDEX('Risk Taxonomy'!$B$5:$B$24,MATCH(D90,'Risk Taxonomy'!$A$5:$A$24,0))</f>
        <v>Terrorist financing</v>
      </c>
      <c r="F90" s="28" t="n">
        <f aca="false">IFERROR(SUMPRODUCT((Indicators!$B$5:$B$35=F$4)*Indicators!$L$5:$L$35*'Indicator Scores'!$P$5:$P$35)/SUMPRODUCT((Indicators!$B$5:$B$35=F$4)*Indicators!$L$5:$L$35*('Indicator Scores'!$P$5:$P$35&gt;0)),0)</f>
        <v>3.3</v>
      </c>
      <c r="G90" s="28" t="n">
        <f aca="false">IFERROR(SUMPRODUCT((Indicators!$B$5:$B$35=G$4)*Indicators!$L$5:$L$35*'Indicator Scores'!$P$5:$P$35)/SUMPRODUCT((Indicators!$B$5:$B$35=G$4)*Indicators!$L$5:$L$35*('Indicator Scores'!$P$5:$P$35&gt;0)),0)</f>
        <v>2.66666666666667</v>
      </c>
      <c r="H90" s="28" t="n">
        <f aca="false">IFERROR(SUMPRODUCT((Indicators!$B$5:$B$35=H$4)*Indicators!$L$5:$L$35*'Indicator Scores'!$P$5:$P$35)/SUMPRODUCT((Indicators!$B$5:$B$35=H$4)*Indicators!$L$5:$L$35*('Indicator Scores'!$P$5:$P$35&gt;0)),0)</f>
        <v>3.33333333333333</v>
      </c>
      <c r="I90" s="28" t="n">
        <f aca="false">IFERROR(SUMPRODUCT((Indicators!$B$5:$B$35=I$4)*Indicators!$L$5:$L$35*'Indicator Scores'!$P$5:$P$35)/SUMPRODUCT((Indicators!$B$5:$B$35=I$4)*Indicators!$L$5:$L$35*('Indicator Scores'!$P$5:$P$35&gt;0)),0)</f>
        <v>2</v>
      </c>
      <c r="J90" s="28" t="n">
        <f aca="false">IFERROR(SUMPRODUCT((Indicators!$B$5:$B$35=J$4)*Indicators!$L$5:$L$35*'Indicator Scores'!$P$5:$P$35)/SUMPRODUCT((Indicators!$B$5:$B$35=J$4)*Indicators!$L$5:$L$35*('Indicator Scores'!$P$5:$P$35&gt;0)),0)</f>
        <v>2.42857142857143</v>
      </c>
      <c r="K90" s="28" t="n">
        <f aca="false">IFERROR(SUMPRODUCT(F90:J90,INDEX('Factor Weights'!$C$5:$G$11,MATCH(D90,'Factor Weights'!$A$5:$A$11,0),0))/SUMPRODUCT((F90:J90&gt;0)*INDEX('Factor Weights'!$C$5:$G$11,MATCH(D90,'Factor Weights'!$A$5:$A$11,0),0)),0)</f>
        <v>2.81071428571429</v>
      </c>
      <c r="L90" s="29" t="n">
        <f aca="false">MAX(F90:J90)</f>
        <v>3.33333333333333</v>
      </c>
      <c r="M90" s="28" t="n">
        <f aca="false">IF(L90&gt;=Config!$C$13,MAX(K90,Config!$C$14),K90)</f>
        <v>2.81071428571429</v>
      </c>
      <c r="N90" s="30" t="n">
        <f aca="false">IF(Config!$C$12="Weighted average",K90,IF(Config!$C$12="Weighted with floor",M90,L90))</f>
        <v>2.81071428571429</v>
      </c>
      <c r="O90" s="31" t="n">
        <f aca="false">IF(N90&lt;Config!$D$5,"",MATCH(N90,Config!$D$5:$D$9,1))</f>
        <v>3</v>
      </c>
      <c r="P90" s="7" t="str">
        <f aca="false">IF(O90="","No data",INDEX(Config!$B$5:$B$9,O90))</f>
        <v>Medium</v>
      </c>
      <c r="Q90" s="32" t="n">
        <v>0</v>
      </c>
      <c r="R90" s="8"/>
      <c r="S90" s="33"/>
      <c r="T90" s="34" t="n">
        <f aca="false">IF(O90="","",IF(AND(S90="Y",Q90&lt;&gt;0),MAX(1,MIN(5,O90+MAX(-Config!$C$27,MIN(Config!$C$27,Q90)))),O90))</f>
        <v>3</v>
      </c>
      <c r="U90" s="35" t="str">
        <f aca="false">IF(T90="","No data",INDEX(Config!$B$5:$B$9,T90))</f>
        <v>Medium</v>
      </c>
      <c r="V90" s="7" t="str">
        <f aca="false">IF(Q90=0,"None",IF(S90="Y","Applied","Pending HO approval"))</f>
        <v>None</v>
      </c>
      <c r="W90" s="36" t="n">
        <f aca="false">SUMPRODUCT((Indicators!$L$5:$L$35&gt;0)*('Indicator Data'!$P$5:$P$35&lt;&gt;""))/SUMPRODUCT(--(Indicators!$L$5:$L$35&gt;0))</f>
        <v>1</v>
      </c>
    </row>
    <row r="91" customFormat="false" ht="15" hidden="false" customHeight="false" outlineLevel="0" collapsed="false">
      <c r="A91" s="26" t="str">
        <f aca="false">Entities!$A$17</f>
        <v>SA</v>
      </c>
      <c r="B91" s="12" t="str">
        <f aca="false">INDEX(Entities!$B$5:$B$34,MATCH(A91,Entities!$A$5:$A$34,0))</f>
        <v>Arab National Bank (affiliate)</v>
      </c>
      <c r="C91" s="12" t="str">
        <f aca="false">INDEX(Entities!$D$5:$D$34,MATCH(A91,Entities!$A$5:$A$34,0))</f>
        <v>GCC</v>
      </c>
      <c r="D91" s="12" t="s">
        <v>243</v>
      </c>
      <c r="E91" s="12" t="str">
        <f aca="false">INDEX('Risk Taxonomy'!$B$5:$B$24,MATCH(D91,'Risk Taxonomy'!$A$5:$A$24,0))</f>
        <v>Proliferation financing</v>
      </c>
      <c r="F91" s="28" t="n">
        <f aca="false">IFERROR(SUMPRODUCT((Indicators!$B$5:$B$35=F$4)*Indicators!$M$5:$M$35*'Indicator Scores'!$P$5:$P$35)/SUMPRODUCT((Indicators!$B$5:$B$35=F$4)*Indicators!$M$5:$M$35*('Indicator Scores'!$P$5:$P$35&gt;0)),0)</f>
        <v>3.5</v>
      </c>
      <c r="G91" s="28" t="n">
        <f aca="false">IFERROR(SUMPRODUCT((Indicators!$B$5:$B$35=G$4)*Indicators!$M$5:$M$35*'Indicator Scores'!$P$5:$P$35)/SUMPRODUCT((Indicators!$B$5:$B$35=G$4)*Indicators!$M$5:$M$35*('Indicator Scores'!$P$5:$P$35&gt;0)),0)</f>
        <v>3.125</v>
      </c>
      <c r="H91" s="28" t="n">
        <f aca="false">IFERROR(SUMPRODUCT((Indicators!$B$5:$B$35=H$4)*Indicators!$M$5:$M$35*'Indicator Scores'!$P$5:$P$35)/SUMPRODUCT((Indicators!$B$5:$B$35=H$4)*Indicators!$M$5:$M$35*('Indicator Scores'!$P$5:$P$35&gt;0)),0)</f>
        <v>3.11111111111111</v>
      </c>
      <c r="I91" s="28" t="n">
        <f aca="false">IFERROR(SUMPRODUCT((Indicators!$B$5:$B$35=I$4)*Indicators!$M$5:$M$35*'Indicator Scores'!$P$5:$P$35)/SUMPRODUCT((Indicators!$B$5:$B$35=I$4)*Indicators!$M$5:$M$35*('Indicator Scores'!$P$5:$P$35&gt;0)),0)</f>
        <v>2</v>
      </c>
      <c r="J91" s="28" t="n">
        <f aca="false">IFERROR(SUMPRODUCT((Indicators!$B$5:$B$35=J$4)*Indicators!$M$5:$M$35*'Indicator Scores'!$P$5:$P$35)/SUMPRODUCT((Indicators!$B$5:$B$35=J$4)*Indicators!$M$5:$M$35*('Indicator Scores'!$P$5:$P$35&gt;0)),0)</f>
        <v>3</v>
      </c>
      <c r="K91" s="28" t="n">
        <f aca="false">IFERROR(SUMPRODUCT(F91:J91,INDEX('Factor Weights'!$C$5:$G$11,MATCH(D91,'Factor Weights'!$A$5:$A$11,0),0))/SUMPRODUCT((F91:J91&gt;0)*INDEX('Factor Weights'!$C$5:$G$11,MATCH(D91,'Factor Weights'!$A$5:$A$11,0),0)),0)</f>
        <v>3.09583333333333</v>
      </c>
      <c r="L91" s="29" t="n">
        <f aca="false">MAX(F91:J91)</f>
        <v>3.5</v>
      </c>
      <c r="M91" s="28" t="n">
        <f aca="false">IF(L91&gt;=Config!$C$13,MAX(K91,Config!$C$14),K91)</f>
        <v>3.09583333333333</v>
      </c>
      <c r="N91" s="30" t="n">
        <f aca="false">IF(Config!$C$12="Weighted average",K91,IF(Config!$C$12="Weighted with floor",M91,L91))</f>
        <v>3.09583333333333</v>
      </c>
      <c r="O91" s="31" t="n">
        <f aca="false">IF(N91&lt;Config!$D$5,"",MATCH(N91,Config!$D$5:$D$9,1))</f>
        <v>3</v>
      </c>
      <c r="P91" s="7" t="str">
        <f aca="false">IF(O91="","No data",INDEX(Config!$B$5:$B$9,O91))</f>
        <v>Medium</v>
      </c>
      <c r="Q91" s="32" t="n">
        <v>0</v>
      </c>
      <c r="R91" s="8"/>
      <c r="S91" s="33"/>
      <c r="T91" s="34" t="n">
        <f aca="false">IF(O91="","",IF(AND(S91="Y",Q91&lt;&gt;0),MAX(1,MIN(5,O91+MAX(-Config!$C$27,MIN(Config!$C$27,Q91)))),O91))</f>
        <v>3</v>
      </c>
      <c r="U91" s="35" t="str">
        <f aca="false">IF(T91="","No data",INDEX(Config!$B$5:$B$9,T91))</f>
        <v>Medium</v>
      </c>
      <c r="V91" s="7" t="str">
        <f aca="false">IF(Q91=0,"None",IF(S91="Y","Applied","Pending HO approval"))</f>
        <v>None</v>
      </c>
      <c r="W91" s="36" t="n">
        <f aca="false">SUMPRODUCT((Indicators!$M$5:$M$35&gt;0)*('Indicator Data'!$P$5:$P$35&lt;&gt;""))/SUMPRODUCT(--(Indicators!$M$5:$M$35&gt;0))</f>
        <v>1</v>
      </c>
    </row>
    <row r="92" customFormat="false" ht="15" hidden="false" customHeight="false" outlineLevel="0" collapsed="false">
      <c r="A92" s="26" t="str">
        <f aca="false">Entities!$A$17</f>
        <v>SA</v>
      </c>
      <c r="B92" s="12" t="str">
        <f aca="false">INDEX(Entities!$B$5:$B$34,MATCH(A92,Entities!$A$5:$A$34,0))</f>
        <v>Arab National Bank (affiliate)</v>
      </c>
      <c r="C92" s="12" t="str">
        <f aca="false">INDEX(Entities!$D$5:$D$34,MATCH(A92,Entities!$A$5:$A$34,0))</f>
        <v>GCC</v>
      </c>
      <c r="D92" s="12" t="s">
        <v>245</v>
      </c>
      <c r="E92" s="12" t="str">
        <f aca="false">INDEX('Risk Taxonomy'!$B$5:$B$24,MATCH(D92,'Risk Taxonomy'!$A$5:$A$24,0))</f>
        <v>Sanctions</v>
      </c>
      <c r="F92" s="28" t="n">
        <f aca="false">IFERROR(SUMPRODUCT((Indicators!$B$5:$B$35=F$4)*Indicators!$N$5:$N$35*'Indicator Scores'!$P$5:$P$35)/SUMPRODUCT((Indicators!$B$5:$B$35=F$4)*Indicators!$N$5:$N$35*('Indicator Scores'!$P$5:$P$35&gt;0)),0)</f>
        <v>3.28571428571429</v>
      </c>
      <c r="G92" s="28" t="n">
        <f aca="false">IFERROR(SUMPRODUCT((Indicators!$B$5:$B$35=G$4)*Indicators!$N$5:$N$35*'Indicator Scores'!$P$5:$P$35)/SUMPRODUCT((Indicators!$B$5:$B$35=G$4)*Indicators!$N$5:$N$35*('Indicator Scores'!$P$5:$P$35&gt;0)),0)</f>
        <v>3</v>
      </c>
      <c r="H92" s="28" t="n">
        <f aca="false">IFERROR(SUMPRODUCT((Indicators!$B$5:$B$35=H$4)*Indicators!$N$5:$N$35*'Indicator Scores'!$P$5:$P$35)/SUMPRODUCT((Indicators!$B$5:$B$35=H$4)*Indicators!$N$5:$N$35*('Indicator Scores'!$P$5:$P$35&gt;0)),0)</f>
        <v>3</v>
      </c>
      <c r="I92" s="28" t="n">
        <f aca="false">IFERROR(SUMPRODUCT((Indicators!$B$5:$B$35=I$4)*Indicators!$N$5:$N$35*'Indicator Scores'!$P$5:$P$35)/SUMPRODUCT((Indicators!$B$5:$B$35=I$4)*Indicators!$N$5:$N$35*('Indicator Scores'!$P$5:$P$35&gt;0)),0)</f>
        <v>2</v>
      </c>
      <c r="J92" s="28" t="n">
        <f aca="false">IFERROR(SUMPRODUCT((Indicators!$B$5:$B$35=J$4)*Indicators!$N$5:$N$35*'Indicator Scores'!$P$5:$P$35)/SUMPRODUCT((Indicators!$B$5:$B$35=J$4)*Indicators!$N$5:$N$35*('Indicator Scores'!$P$5:$P$35&gt;0)),0)</f>
        <v>3</v>
      </c>
      <c r="K92" s="28" t="n">
        <f aca="false">IFERROR(SUMPRODUCT(F92:J92,INDEX('Factor Weights'!$C$5:$G$11,MATCH(D92,'Factor Weights'!$A$5:$A$11,0),0))/SUMPRODUCT((F92:J92&gt;0)*INDEX('Factor Weights'!$C$5:$G$11,MATCH(D92,'Factor Weights'!$A$5:$A$11,0),0)),0)</f>
        <v>2.99285714285714</v>
      </c>
      <c r="L92" s="29" t="n">
        <f aca="false">MAX(F92:J92)</f>
        <v>3.28571428571429</v>
      </c>
      <c r="M92" s="28" t="n">
        <f aca="false">IF(L92&gt;=Config!$C$13,MAX(K92,Config!$C$14),K92)</f>
        <v>2.99285714285714</v>
      </c>
      <c r="N92" s="30" t="n">
        <f aca="false">IF(Config!$C$12="Weighted average",K92,IF(Config!$C$12="Weighted with floor",M92,L92))</f>
        <v>2.99285714285714</v>
      </c>
      <c r="O92" s="31" t="n">
        <f aca="false">IF(N92&lt;Config!$D$5,"",MATCH(N92,Config!$D$5:$D$9,1))</f>
        <v>3</v>
      </c>
      <c r="P92" s="7" t="str">
        <f aca="false">IF(O92="","No data",INDEX(Config!$B$5:$B$9,O92))</f>
        <v>Medium</v>
      </c>
      <c r="Q92" s="32" t="n">
        <v>0</v>
      </c>
      <c r="R92" s="8"/>
      <c r="S92" s="33"/>
      <c r="T92" s="34" t="n">
        <f aca="false">IF(O92="","",IF(AND(S92="Y",Q92&lt;&gt;0),MAX(1,MIN(5,O92+MAX(-Config!$C$27,MIN(Config!$C$27,Q92)))),O92))</f>
        <v>3</v>
      </c>
      <c r="U92" s="35" t="str">
        <f aca="false">IF(T92="","No data",INDEX(Config!$B$5:$B$9,T92))</f>
        <v>Medium</v>
      </c>
      <c r="V92" s="7" t="str">
        <f aca="false">IF(Q92=0,"None",IF(S92="Y","Applied","Pending HO approval"))</f>
        <v>None</v>
      </c>
      <c r="W92" s="36" t="n">
        <f aca="false">SUMPRODUCT((Indicators!$N$5:$N$35&gt;0)*('Indicator Data'!$P$5:$P$35&lt;&gt;""))/SUMPRODUCT(--(Indicators!$N$5:$N$35&gt;0))</f>
        <v>1</v>
      </c>
    </row>
    <row r="93" customFormat="false" ht="15" hidden="false" customHeight="false" outlineLevel="0" collapsed="false">
      <c r="A93" s="26" t="str">
        <f aca="false">Entities!$A$17</f>
        <v>SA</v>
      </c>
      <c r="B93" s="12" t="str">
        <f aca="false">INDEX(Entities!$B$5:$B$34,MATCH(A93,Entities!$A$5:$A$34,0))</f>
        <v>Arab National Bank (affiliate)</v>
      </c>
      <c r="C93" s="12" t="str">
        <f aca="false">INDEX(Entities!$D$5:$D$34,MATCH(A93,Entities!$A$5:$A$34,0))</f>
        <v>GCC</v>
      </c>
      <c r="D93" s="12" t="s">
        <v>248</v>
      </c>
      <c r="E93" s="12" t="str">
        <f aca="false">INDEX('Risk Taxonomy'!$B$5:$B$24,MATCH(D93,'Risk Taxonomy'!$A$5:$A$24,0))</f>
        <v>Bribery and corruption</v>
      </c>
      <c r="F93" s="28" t="n">
        <f aca="false">IFERROR(SUMPRODUCT((Indicators!$B$5:$B$35=F$4)*Indicators!$O$5:$O$35*'Indicator Scores'!$P$5:$P$35)/SUMPRODUCT((Indicators!$B$5:$B$35=F$4)*Indicators!$O$5:$O$35*('Indicator Scores'!$P$5:$P$35&gt;0)),0)</f>
        <v>2.77777777777778</v>
      </c>
      <c r="G93" s="28" t="n">
        <f aca="false">IFERROR(SUMPRODUCT((Indicators!$B$5:$B$35=G$4)*Indicators!$O$5:$O$35*'Indicator Scores'!$P$5:$P$35)/SUMPRODUCT((Indicators!$B$5:$B$35=G$4)*Indicators!$O$5:$O$35*('Indicator Scores'!$P$5:$P$35&gt;0)),0)</f>
        <v>2.6</v>
      </c>
      <c r="H93" s="28" t="n">
        <f aca="false">IFERROR(SUMPRODUCT((Indicators!$B$5:$B$35=H$4)*Indicators!$O$5:$O$35*'Indicator Scores'!$P$5:$P$35)/SUMPRODUCT((Indicators!$B$5:$B$35=H$4)*Indicators!$O$5:$O$35*('Indicator Scores'!$P$5:$P$35&gt;0)),0)</f>
        <v>3</v>
      </c>
      <c r="I93" s="28" t="n">
        <f aca="false">IFERROR(SUMPRODUCT((Indicators!$B$5:$B$35=I$4)*Indicators!$O$5:$O$35*'Indicator Scores'!$P$5:$P$35)/SUMPRODUCT((Indicators!$B$5:$B$35=I$4)*Indicators!$O$5:$O$35*('Indicator Scores'!$P$5:$P$35&gt;0)),0)</f>
        <v>2.6</v>
      </c>
      <c r="J93" s="28" t="n">
        <f aca="false">IFERROR(SUMPRODUCT((Indicators!$B$5:$B$35=J$4)*Indicators!$O$5:$O$35*'Indicator Scores'!$P$5:$P$35)/SUMPRODUCT((Indicators!$B$5:$B$35=J$4)*Indicators!$O$5:$O$35*('Indicator Scores'!$P$5:$P$35&gt;0)),0)</f>
        <v>3</v>
      </c>
      <c r="K93" s="28" t="n">
        <f aca="false">IFERROR(SUMPRODUCT(F93:J93,INDEX('Factor Weights'!$C$5:$G$11,MATCH(D93,'Factor Weights'!$A$5:$A$11,0),0))/SUMPRODUCT((F93:J93&gt;0)*INDEX('Factor Weights'!$C$5:$G$11,MATCH(D93,'Factor Weights'!$A$5:$A$11,0),0)),0)</f>
        <v>2.75333333333333</v>
      </c>
      <c r="L93" s="29" t="n">
        <f aca="false">MAX(F93:J93)</f>
        <v>3</v>
      </c>
      <c r="M93" s="28" t="n">
        <f aca="false">IF(L93&gt;=Config!$C$13,MAX(K93,Config!$C$14),K93)</f>
        <v>2.75333333333333</v>
      </c>
      <c r="N93" s="30" t="n">
        <f aca="false">IF(Config!$C$12="Weighted average",K93,IF(Config!$C$12="Weighted with floor",M93,L93))</f>
        <v>2.75333333333333</v>
      </c>
      <c r="O93" s="31" t="n">
        <f aca="false">IF(N93&lt;Config!$D$5,"",MATCH(N93,Config!$D$5:$D$9,1))</f>
        <v>3</v>
      </c>
      <c r="P93" s="7" t="str">
        <f aca="false">IF(O93="","No data",INDEX(Config!$B$5:$B$9,O93))</f>
        <v>Medium</v>
      </c>
      <c r="Q93" s="32" t="n">
        <v>0</v>
      </c>
      <c r="R93" s="8"/>
      <c r="S93" s="33"/>
      <c r="T93" s="34" t="n">
        <f aca="false">IF(O93="","",IF(AND(S93="Y",Q93&lt;&gt;0),MAX(1,MIN(5,O93+MAX(-Config!$C$27,MIN(Config!$C$27,Q93)))),O93))</f>
        <v>3</v>
      </c>
      <c r="U93" s="35" t="str">
        <f aca="false">IF(T93="","No data",INDEX(Config!$B$5:$B$9,T93))</f>
        <v>Medium</v>
      </c>
      <c r="V93" s="7" t="str">
        <f aca="false">IF(Q93=0,"None",IF(S93="Y","Applied","Pending HO approval"))</f>
        <v>None</v>
      </c>
      <c r="W93" s="36" t="n">
        <f aca="false">SUMPRODUCT((Indicators!$O$5:$O$35&gt;0)*('Indicator Data'!$P$5:$P$35&lt;&gt;""))/SUMPRODUCT(--(Indicators!$O$5:$O$35&gt;0))</f>
        <v>1</v>
      </c>
    </row>
    <row r="94" customFormat="false" ht="15" hidden="false" customHeight="false" outlineLevel="0" collapsed="false">
      <c r="A94" s="26" t="str">
        <f aca="false">Entities!$A$17</f>
        <v>SA</v>
      </c>
      <c r="B94" s="12" t="str">
        <f aca="false">INDEX(Entities!$B$5:$B$34,MATCH(A94,Entities!$A$5:$A$34,0))</f>
        <v>Arab National Bank (affiliate)</v>
      </c>
      <c r="C94" s="12" t="str">
        <f aca="false">INDEX(Entities!$D$5:$D$34,MATCH(A94,Entities!$A$5:$A$34,0))</f>
        <v>GCC</v>
      </c>
      <c r="D94" s="12" t="s">
        <v>251</v>
      </c>
      <c r="E94" s="12" t="str">
        <f aca="false">INDEX('Risk Taxonomy'!$B$5:$B$24,MATCH(D94,'Risk Taxonomy'!$A$5:$A$24,0))</f>
        <v>Fraud</v>
      </c>
      <c r="F94" s="28" t="n">
        <f aca="false">IFERROR(SUMPRODUCT((Indicators!$B$5:$B$35=F$4)*Indicators!$P$5:$P$35*'Indicator Scores'!$P$5:$P$35)/SUMPRODUCT((Indicators!$B$5:$B$35=F$4)*Indicators!$P$5:$P$35*('Indicator Scores'!$P$5:$P$35&gt;0)),0)</f>
        <v>3</v>
      </c>
      <c r="G94" s="28" t="n">
        <f aca="false">IFERROR(SUMPRODUCT((Indicators!$B$5:$B$35=G$4)*Indicators!$P$5:$P$35*'Indicator Scores'!$P$5:$P$35)/SUMPRODUCT((Indicators!$B$5:$B$35=G$4)*Indicators!$P$5:$P$35*('Indicator Scores'!$P$5:$P$35&gt;0)),0)</f>
        <v>2.5</v>
      </c>
      <c r="H94" s="28" t="n">
        <f aca="false">IFERROR(SUMPRODUCT((Indicators!$B$5:$B$35=H$4)*Indicators!$P$5:$P$35*'Indicator Scores'!$P$5:$P$35)/SUMPRODUCT((Indicators!$B$5:$B$35=H$4)*Indicators!$P$5:$P$35*('Indicator Scores'!$P$5:$P$35&gt;0)),0)</f>
        <v>2.8</v>
      </c>
      <c r="I94" s="28" t="n">
        <f aca="false">IFERROR(SUMPRODUCT((Indicators!$B$5:$B$35=I$4)*Indicators!$P$5:$P$35*'Indicator Scores'!$P$5:$P$35)/SUMPRODUCT((Indicators!$B$5:$B$35=I$4)*Indicators!$P$5:$P$35*('Indicator Scores'!$P$5:$P$35&gt;0)),0)</f>
        <v>2</v>
      </c>
      <c r="J94" s="28" t="n">
        <f aca="false">IFERROR(SUMPRODUCT((Indicators!$B$5:$B$35=J$4)*Indicators!$P$5:$P$35*'Indicator Scores'!$P$5:$P$35)/SUMPRODUCT((Indicators!$B$5:$B$35=J$4)*Indicators!$P$5:$P$35*('Indicator Scores'!$P$5:$P$35&gt;0)),0)</f>
        <v>3.4</v>
      </c>
      <c r="K94" s="28" t="n">
        <f aca="false">IFERROR(SUMPRODUCT(F94:J94,INDEX('Factor Weights'!$C$5:$G$11,MATCH(D94,'Factor Weights'!$A$5:$A$11,0),0))/SUMPRODUCT((F94:J94&gt;0)*INDEX('Factor Weights'!$C$5:$G$11,MATCH(D94,'Factor Weights'!$A$5:$A$11,0),0)),0)</f>
        <v>2.69</v>
      </c>
      <c r="L94" s="29" t="n">
        <f aca="false">MAX(F94:J94)</f>
        <v>3.4</v>
      </c>
      <c r="M94" s="28" t="n">
        <f aca="false">IF(L94&gt;=Config!$C$13,MAX(K94,Config!$C$14),K94)</f>
        <v>2.69</v>
      </c>
      <c r="N94" s="30" t="n">
        <f aca="false">IF(Config!$C$12="Weighted average",K94,IF(Config!$C$12="Weighted with floor",M94,L94))</f>
        <v>2.69</v>
      </c>
      <c r="O94" s="31" t="n">
        <f aca="false">IF(N94&lt;Config!$D$5,"",MATCH(N94,Config!$D$5:$D$9,1))</f>
        <v>3</v>
      </c>
      <c r="P94" s="7" t="str">
        <f aca="false">IF(O94="","No data",INDEX(Config!$B$5:$B$9,O94))</f>
        <v>Medium</v>
      </c>
      <c r="Q94" s="32" t="n">
        <v>0</v>
      </c>
      <c r="R94" s="8"/>
      <c r="S94" s="33"/>
      <c r="T94" s="34" t="n">
        <f aca="false">IF(O94="","",IF(AND(S94="Y",Q94&lt;&gt;0),MAX(1,MIN(5,O94+MAX(-Config!$C$27,MIN(Config!$C$27,Q94)))),O94))</f>
        <v>3</v>
      </c>
      <c r="U94" s="35" t="str">
        <f aca="false">IF(T94="","No data",INDEX(Config!$B$5:$B$9,T94))</f>
        <v>Medium</v>
      </c>
      <c r="V94" s="7" t="str">
        <f aca="false">IF(Q94=0,"None",IF(S94="Y","Applied","Pending HO approval"))</f>
        <v>None</v>
      </c>
      <c r="W94" s="36" t="n">
        <f aca="false">SUMPRODUCT((Indicators!$P$5:$P$35&gt;0)*('Indicator Data'!$P$5:$P$35&lt;&gt;""))/SUMPRODUCT(--(Indicators!$P$5:$P$35&gt;0))</f>
        <v>1</v>
      </c>
    </row>
    <row r="95" customFormat="false" ht="15" hidden="false" customHeight="false" outlineLevel="0" collapsed="false">
      <c r="A95" s="26" t="str">
        <f aca="false">Entities!$A$17</f>
        <v>SA</v>
      </c>
      <c r="B95" s="12" t="str">
        <f aca="false">INDEX(Entities!$B$5:$B$34,MATCH(A95,Entities!$A$5:$A$34,0))</f>
        <v>Arab National Bank (affiliate)</v>
      </c>
      <c r="C95" s="12" t="str">
        <f aca="false">INDEX(Entities!$D$5:$D$34,MATCH(A95,Entities!$A$5:$A$34,0))</f>
        <v>GCC</v>
      </c>
      <c r="D95" s="12" t="s">
        <v>254</v>
      </c>
      <c r="E95" s="12" t="str">
        <f aca="false">INDEX('Risk Taxonomy'!$B$5:$B$24,MATCH(D95,'Risk Taxonomy'!$A$5:$A$24,0))</f>
        <v>Tax evasion and tax transparency</v>
      </c>
      <c r="F95" s="28" t="n">
        <f aca="false">IFERROR(SUMPRODUCT((Indicators!$B$5:$B$35=F$4)*Indicators!$Q$5:$Q$35*'Indicator Scores'!$P$5:$P$35)/SUMPRODUCT((Indicators!$B$5:$B$35=F$4)*Indicators!$Q$5:$Q$35*('Indicator Scores'!$P$5:$P$35&gt;0)),0)</f>
        <v>3.44444444444444</v>
      </c>
      <c r="G95" s="28" t="n">
        <f aca="false">IFERROR(SUMPRODUCT((Indicators!$B$5:$B$35=G$4)*Indicators!$Q$5:$Q$35*'Indicator Scores'!$P$5:$P$35)/SUMPRODUCT((Indicators!$B$5:$B$35=G$4)*Indicators!$Q$5:$Q$35*('Indicator Scores'!$P$5:$P$35&gt;0)),0)</f>
        <v>3</v>
      </c>
      <c r="H95" s="28" t="n">
        <f aca="false">IFERROR(SUMPRODUCT((Indicators!$B$5:$B$35=H$4)*Indicators!$Q$5:$Q$35*'Indicator Scores'!$P$5:$P$35)/SUMPRODUCT((Indicators!$B$5:$B$35=H$4)*Indicators!$Q$5:$Q$35*('Indicator Scores'!$P$5:$P$35&gt;0)),0)</f>
        <v>2.33333333333333</v>
      </c>
      <c r="I95" s="28" t="n">
        <f aca="false">IFERROR(SUMPRODUCT((Indicators!$B$5:$B$35=I$4)*Indicators!$Q$5:$Q$35*'Indicator Scores'!$P$5:$P$35)/SUMPRODUCT((Indicators!$B$5:$B$35=I$4)*Indicators!$Q$5:$Q$35*('Indicator Scores'!$P$5:$P$35&gt;0)),0)</f>
        <v>2</v>
      </c>
      <c r="J95" s="28" t="n">
        <f aca="false">IFERROR(SUMPRODUCT((Indicators!$B$5:$B$35=J$4)*Indicators!$Q$5:$Q$35*'Indicator Scores'!$P$5:$P$35)/SUMPRODUCT((Indicators!$B$5:$B$35=J$4)*Indicators!$Q$5:$Q$35*('Indicator Scores'!$P$5:$P$35&gt;0)),0)</f>
        <v>2.8</v>
      </c>
      <c r="K95" s="28" t="n">
        <f aca="false">IFERROR(SUMPRODUCT(F95:J95,INDEX('Factor Weights'!$C$5:$G$11,MATCH(D95,'Factor Weights'!$A$5:$A$11,0),0))/SUMPRODUCT((F95:J95&gt;0)*INDEX('Factor Weights'!$C$5:$G$11,MATCH(D95,'Factor Weights'!$A$5:$A$11,0),0)),0)</f>
        <v>2.90222222222222</v>
      </c>
      <c r="L95" s="29" t="n">
        <f aca="false">MAX(F95:J95)</f>
        <v>3.44444444444444</v>
      </c>
      <c r="M95" s="28" t="n">
        <f aca="false">IF(L95&gt;=Config!$C$13,MAX(K95,Config!$C$14),K95)</f>
        <v>2.90222222222222</v>
      </c>
      <c r="N95" s="30" t="n">
        <f aca="false">IF(Config!$C$12="Weighted average",K95,IF(Config!$C$12="Weighted with floor",M95,L95))</f>
        <v>2.90222222222222</v>
      </c>
      <c r="O95" s="31" t="n">
        <f aca="false">IF(N95&lt;Config!$D$5,"",MATCH(N95,Config!$D$5:$D$9,1))</f>
        <v>3</v>
      </c>
      <c r="P95" s="7" t="str">
        <f aca="false">IF(O95="","No data",INDEX(Config!$B$5:$B$9,O95))</f>
        <v>Medium</v>
      </c>
      <c r="Q95" s="32" t="n">
        <v>0</v>
      </c>
      <c r="R95" s="8"/>
      <c r="S95" s="33"/>
      <c r="T95" s="34" t="n">
        <f aca="false">IF(O95="","",IF(AND(S95="Y",Q95&lt;&gt;0),MAX(1,MIN(5,O95+MAX(-Config!$C$27,MIN(Config!$C$27,Q95)))),O95))</f>
        <v>3</v>
      </c>
      <c r="U95" s="35" t="str">
        <f aca="false">IF(T95="","No data",INDEX(Config!$B$5:$B$9,T95))</f>
        <v>Medium</v>
      </c>
      <c r="V95" s="7" t="str">
        <f aca="false">IF(Q95=0,"None",IF(S95="Y","Applied","Pending HO approval"))</f>
        <v>None</v>
      </c>
      <c r="W95" s="36" t="n">
        <f aca="false">SUMPRODUCT((Indicators!$Q$5:$Q$35&gt;0)*('Indicator Data'!$P$5:$P$35&lt;&gt;""))/SUMPRODUCT(--(Indicators!$Q$5:$Q$35&gt;0))</f>
        <v>1</v>
      </c>
    </row>
    <row r="96" customFormat="false" ht="15" hidden="false" customHeight="false" outlineLevel="0" collapsed="false">
      <c r="A96" s="26" t="str">
        <f aca="false">Entities!$A$18</f>
        <v>OM</v>
      </c>
      <c r="B96" s="12" t="str">
        <f aca="false">INDEX(Entities!$B$5:$B$34,MATCH(A96,Entities!$A$5:$A$34,0))</f>
        <v>Oman Arab Bank (affiliate)</v>
      </c>
      <c r="C96" s="12" t="str">
        <f aca="false">INDEX(Entities!$D$5:$D$34,MATCH(A96,Entities!$A$5:$A$34,0))</f>
        <v>GCC</v>
      </c>
      <c r="D96" s="12" t="s">
        <v>233</v>
      </c>
      <c r="E96" s="12" t="str">
        <f aca="false">INDEX('Risk Taxonomy'!$B$5:$B$24,MATCH(D96,'Risk Taxonomy'!$A$5:$A$24,0))</f>
        <v>Money laundering</v>
      </c>
      <c r="F96" s="28" t="n">
        <f aca="false">IFERROR(SUMPRODUCT((Indicators!$B$5:$B$35=F$4)*Indicators!$K$5:$K$35*'Indicator Scores'!$Q$5:$Q$35)/SUMPRODUCT((Indicators!$B$5:$B$35=F$4)*Indicators!$K$5:$K$35*('Indicator Scores'!$Q$5:$Q$35&gt;0)),0)</f>
        <v>3.33333333333333</v>
      </c>
      <c r="G96" s="28" t="n">
        <f aca="false">IFERROR(SUMPRODUCT((Indicators!$B$5:$B$35=G$4)*Indicators!$K$5:$K$35*'Indicator Scores'!$Q$5:$Q$35)/SUMPRODUCT((Indicators!$B$5:$B$35=G$4)*Indicators!$K$5:$K$35*('Indicator Scores'!$Q$5:$Q$35&gt;0)),0)</f>
        <v>2.55555555555556</v>
      </c>
      <c r="H96" s="28" t="n">
        <f aca="false">IFERROR(SUMPRODUCT((Indicators!$B$5:$B$35=H$4)*Indicators!$K$5:$K$35*'Indicator Scores'!$Q$5:$Q$35)/SUMPRODUCT((Indicators!$B$5:$B$35=H$4)*Indicators!$K$5:$K$35*('Indicator Scores'!$Q$5:$Q$35&gt;0)),0)</f>
        <v>2.3</v>
      </c>
      <c r="I96" s="28" t="n">
        <f aca="false">IFERROR(SUMPRODUCT((Indicators!$B$5:$B$35=I$4)*Indicators!$K$5:$K$35*'Indicator Scores'!$Q$5:$Q$35)/SUMPRODUCT((Indicators!$B$5:$B$35=I$4)*Indicators!$K$5:$K$35*('Indicator Scores'!$Q$5:$Q$35&gt;0)),0)</f>
        <v>2.42857142857143</v>
      </c>
      <c r="J96" s="28" t="n">
        <f aca="false">IFERROR(SUMPRODUCT((Indicators!$B$5:$B$35=J$4)*Indicators!$K$5:$K$35*'Indicator Scores'!$Q$5:$Q$35)/SUMPRODUCT((Indicators!$B$5:$B$35=J$4)*Indicators!$K$5:$K$35*('Indicator Scores'!$Q$5:$Q$35&gt;0)),0)</f>
        <v>3.2</v>
      </c>
      <c r="K96" s="28" t="n">
        <f aca="false">IFERROR(SUMPRODUCT(F96:J96,INDEX('Factor Weights'!$C$5:$G$11,MATCH(D96,'Factor Weights'!$A$5:$A$11,0),0))/SUMPRODUCT((F96:J96&gt;0)*INDEX('Factor Weights'!$C$5:$G$11,MATCH(D96,'Factor Weights'!$A$5:$A$11,0),0)),0)</f>
        <v>2.7831746031746</v>
      </c>
      <c r="L96" s="29" t="n">
        <f aca="false">MAX(F96:J96)</f>
        <v>3.33333333333333</v>
      </c>
      <c r="M96" s="28" t="n">
        <f aca="false">IF(L96&gt;=Config!$C$13,MAX(K96,Config!$C$14),K96)</f>
        <v>2.7831746031746</v>
      </c>
      <c r="N96" s="30" t="n">
        <f aca="false">IF(Config!$C$12="Weighted average",K96,IF(Config!$C$12="Weighted with floor",M96,L96))</f>
        <v>2.7831746031746</v>
      </c>
      <c r="O96" s="31" t="n">
        <f aca="false">IF(N96&lt;Config!$D$5,"",MATCH(N96,Config!$D$5:$D$9,1))</f>
        <v>3</v>
      </c>
      <c r="P96" s="7" t="str">
        <f aca="false">IF(O96="","No data",INDEX(Config!$B$5:$B$9,O96))</f>
        <v>Medium</v>
      </c>
      <c r="Q96" s="32" t="n">
        <v>0</v>
      </c>
      <c r="R96" s="8"/>
      <c r="S96" s="33"/>
      <c r="T96" s="34" t="n">
        <f aca="false">IF(O96="","",IF(AND(S96="Y",Q96&lt;&gt;0),MAX(1,MIN(5,O96+MAX(-Config!$C$27,MIN(Config!$C$27,Q96)))),O96))</f>
        <v>3</v>
      </c>
      <c r="U96" s="35" t="str">
        <f aca="false">IF(T96="","No data",INDEX(Config!$B$5:$B$9,T96))</f>
        <v>Medium</v>
      </c>
      <c r="V96" s="7" t="str">
        <f aca="false">IF(Q96=0,"None",IF(S96="Y","Applied","Pending HO approval"))</f>
        <v>None</v>
      </c>
      <c r="W96" s="36" t="n">
        <f aca="false">SUMPRODUCT((Indicators!$K$5:$K$35&gt;0)*('Indicator Data'!$Q$5:$Q$35&lt;&gt;""))/SUMPRODUCT(--(Indicators!$K$5:$K$35&gt;0))</f>
        <v>1</v>
      </c>
    </row>
    <row r="97" customFormat="false" ht="15" hidden="false" customHeight="false" outlineLevel="0" collapsed="false">
      <c r="A97" s="26" t="str">
        <f aca="false">Entities!$A$18</f>
        <v>OM</v>
      </c>
      <c r="B97" s="12" t="str">
        <f aca="false">INDEX(Entities!$B$5:$B$34,MATCH(A97,Entities!$A$5:$A$34,0))</f>
        <v>Oman Arab Bank (affiliate)</v>
      </c>
      <c r="C97" s="12" t="str">
        <f aca="false">INDEX(Entities!$D$5:$D$34,MATCH(A97,Entities!$A$5:$A$34,0))</f>
        <v>GCC</v>
      </c>
      <c r="D97" s="12" t="s">
        <v>240</v>
      </c>
      <c r="E97" s="12" t="str">
        <f aca="false">INDEX('Risk Taxonomy'!$B$5:$B$24,MATCH(D97,'Risk Taxonomy'!$A$5:$A$24,0))</f>
        <v>Terrorist financing</v>
      </c>
      <c r="F97" s="28" t="n">
        <f aca="false">IFERROR(SUMPRODUCT((Indicators!$B$5:$B$35=F$4)*Indicators!$L$5:$L$35*'Indicator Scores'!$Q$5:$Q$35)/SUMPRODUCT((Indicators!$B$5:$B$35=F$4)*Indicators!$L$5:$L$35*('Indicator Scores'!$Q$5:$Q$35&gt;0)),0)</f>
        <v>3.3</v>
      </c>
      <c r="G97" s="28" t="n">
        <f aca="false">IFERROR(SUMPRODUCT((Indicators!$B$5:$B$35=G$4)*Indicators!$L$5:$L$35*'Indicator Scores'!$Q$5:$Q$35)/SUMPRODUCT((Indicators!$B$5:$B$35=G$4)*Indicators!$L$5:$L$35*('Indicator Scores'!$Q$5:$Q$35&gt;0)),0)</f>
        <v>2.11111111111111</v>
      </c>
      <c r="H97" s="28" t="n">
        <f aca="false">IFERROR(SUMPRODUCT((Indicators!$B$5:$B$35=H$4)*Indicators!$L$5:$L$35*'Indicator Scores'!$Q$5:$Q$35)/SUMPRODUCT((Indicators!$B$5:$B$35=H$4)*Indicators!$L$5:$L$35*('Indicator Scores'!$Q$5:$Q$35&gt;0)),0)</f>
        <v>2.16666666666667</v>
      </c>
      <c r="I97" s="28" t="n">
        <f aca="false">IFERROR(SUMPRODUCT((Indicators!$B$5:$B$35=I$4)*Indicators!$L$5:$L$35*'Indicator Scores'!$Q$5:$Q$35)/SUMPRODUCT((Indicators!$B$5:$B$35=I$4)*Indicators!$L$5:$L$35*('Indicator Scores'!$Q$5:$Q$35&gt;0)),0)</f>
        <v>2.33333333333333</v>
      </c>
      <c r="J97" s="28" t="n">
        <f aca="false">IFERROR(SUMPRODUCT((Indicators!$B$5:$B$35=J$4)*Indicators!$L$5:$L$35*'Indicator Scores'!$Q$5:$Q$35)/SUMPRODUCT((Indicators!$B$5:$B$35=J$4)*Indicators!$L$5:$L$35*('Indicator Scores'!$Q$5:$Q$35&gt;0)),0)</f>
        <v>3.14285714285714</v>
      </c>
      <c r="K97" s="28" t="n">
        <f aca="false">IFERROR(SUMPRODUCT(F97:J97,INDEX('Factor Weights'!$C$5:$G$11,MATCH(D97,'Factor Weights'!$A$5:$A$11,0),0))/SUMPRODUCT((F97:J97&gt;0)*INDEX('Factor Weights'!$C$5:$G$11,MATCH(D97,'Factor Weights'!$A$5:$A$11,0),0)),0)</f>
        <v>2.6452380952381</v>
      </c>
      <c r="L97" s="29" t="n">
        <f aca="false">MAX(F97:J97)</f>
        <v>3.3</v>
      </c>
      <c r="M97" s="28" t="n">
        <f aca="false">IF(L97&gt;=Config!$C$13,MAX(K97,Config!$C$14),K97)</f>
        <v>2.6452380952381</v>
      </c>
      <c r="N97" s="30" t="n">
        <f aca="false">IF(Config!$C$12="Weighted average",K97,IF(Config!$C$12="Weighted with floor",M97,L97))</f>
        <v>2.6452380952381</v>
      </c>
      <c r="O97" s="31" t="n">
        <f aca="false">IF(N97&lt;Config!$D$5,"",MATCH(N97,Config!$D$5:$D$9,1))</f>
        <v>3</v>
      </c>
      <c r="P97" s="7" t="str">
        <f aca="false">IF(O97="","No data",INDEX(Config!$B$5:$B$9,O97))</f>
        <v>Medium</v>
      </c>
      <c r="Q97" s="32" t="n">
        <v>0</v>
      </c>
      <c r="R97" s="8"/>
      <c r="S97" s="33"/>
      <c r="T97" s="34" t="n">
        <f aca="false">IF(O97="","",IF(AND(S97="Y",Q97&lt;&gt;0),MAX(1,MIN(5,O97+MAX(-Config!$C$27,MIN(Config!$C$27,Q97)))),O97))</f>
        <v>3</v>
      </c>
      <c r="U97" s="35" t="str">
        <f aca="false">IF(T97="","No data",INDEX(Config!$B$5:$B$9,T97))</f>
        <v>Medium</v>
      </c>
      <c r="V97" s="7" t="str">
        <f aca="false">IF(Q97=0,"None",IF(S97="Y","Applied","Pending HO approval"))</f>
        <v>None</v>
      </c>
      <c r="W97" s="36" t="n">
        <f aca="false">SUMPRODUCT((Indicators!$L$5:$L$35&gt;0)*('Indicator Data'!$Q$5:$Q$35&lt;&gt;""))/SUMPRODUCT(--(Indicators!$L$5:$L$35&gt;0))</f>
        <v>1</v>
      </c>
    </row>
    <row r="98" customFormat="false" ht="15" hidden="false" customHeight="false" outlineLevel="0" collapsed="false">
      <c r="A98" s="26" t="str">
        <f aca="false">Entities!$A$18</f>
        <v>OM</v>
      </c>
      <c r="B98" s="12" t="str">
        <f aca="false">INDEX(Entities!$B$5:$B$34,MATCH(A98,Entities!$A$5:$A$34,0))</f>
        <v>Oman Arab Bank (affiliate)</v>
      </c>
      <c r="C98" s="12" t="str">
        <f aca="false">INDEX(Entities!$D$5:$D$34,MATCH(A98,Entities!$A$5:$A$34,0))</f>
        <v>GCC</v>
      </c>
      <c r="D98" s="12" t="s">
        <v>243</v>
      </c>
      <c r="E98" s="12" t="str">
        <f aca="false">INDEX('Risk Taxonomy'!$B$5:$B$24,MATCH(D98,'Risk Taxonomy'!$A$5:$A$24,0))</f>
        <v>Proliferation financing</v>
      </c>
      <c r="F98" s="28" t="n">
        <f aca="false">IFERROR(SUMPRODUCT((Indicators!$B$5:$B$35=F$4)*Indicators!$M$5:$M$35*'Indicator Scores'!$Q$5:$Q$35)/SUMPRODUCT((Indicators!$B$5:$B$35=F$4)*Indicators!$M$5:$M$35*('Indicator Scores'!$Q$5:$Q$35&gt;0)),0)</f>
        <v>3.25</v>
      </c>
      <c r="G98" s="28" t="n">
        <f aca="false">IFERROR(SUMPRODUCT((Indicators!$B$5:$B$35=G$4)*Indicators!$M$5:$M$35*'Indicator Scores'!$Q$5:$Q$35)/SUMPRODUCT((Indicators!$B$5:$B$35=G$4)*Indicators!$M$5:$M$35*('Indicator Scores'!$Q$5:$Q$35&gt;0)),0)</f>
        <v>2.75</v>
      </c>
      <c r="H98" s="28" t="n">
        <f aca="false">IFERROR(SUMPRODUCT((Indicators!$B$5:$B$35=H$4)*Indicators!$M$5:$M$35*'Indicator Scores'!$Q$5:$Q$35)/SUMPRODUCT((Indicators!$B$5:$B$35=H$4)*Indicators!$M$5:$M$35*('Indicator Scores'!$Q$5:$Q$35&gt;0)),0)</f>
        <v>2.44444444444444</v>
      </c>
      <c r="I98" s="28" t="n">
        <f aca="false">IFERROR(SUMPRODUCT((Indicators!$B$5:$B$35=I$4)*Indicators!$M$5:$M$35*'Indicator Scores'!$Q$5:$Q$35)/SUMPRODUCT((Indicators!$B$5:$B$35=I$4)*Indicators!$M$5:$M$35*('Indicator Scores'!$Q$5:$Q$35&gt;0)),0)</f>
        <v>2.33333333333333</v>
      </c>
      <c r="J98" s="28" t="n">
        <f aca="false">IFERROR(SUMPRODUCT((Indicators!$B$5:$B$35=J$4)*Indicators!$M$5:$M$35*'Indicator Scores'!$Q$5:$Q$35)/SUMPRODUCT((Indicators!$B$5:$B$35=J$4)*Indicators!$M$5:$M$35*('Indicator Scores'!$Q$5:$Q$35&gt;0)),0)</f>
        <v>3</v>
      </c>
      <c r="K98" s="28" t="n">
        <f aca="false">IFERROR(SUMPRODUCT(F98:J98,INDEX('Factor Weights'!$C$5:$G$11,MATCH(D98,'Factor Weights'!$A$5:$A$11,0),0))/SUMPRODUCT((F98:J98&gt;0)*INDEX('Factor Weights'!$C$5:$G$11,MATCH(D98,'Factor Weights'!$A$5:$A$11,0),0)),0)</f>
        <v>2.7625</v>
      </c>
      <c r="L98" s="29" t="n">
        <f aca="false">MAX(F98:J98)</f>
        <v>3.25</v>
      </c>
      <c r="M98" s="28" t="n">
        <f aca="false">IF(L98&gt;=Config!$C$13,MAX(K98,Config!$C$14),K98)</f>
        <v>2.7625</v>
      </c>
      <c r="N98" s="30" t="n">
        <f aca="false">IF(Config!$C$12="Weighted average",K98,IF(Config!$C$12="Weighted with floor",M98,L98))</f>
        <v>2.7625</v>
      </c>
      <c r="O98" s="31" t="n">
        <f aca="false">IF(N98&lt;Config!$D$5,"",MATCH(N98,Config!$D$5:$D$9,1))</f>
        <v>3</v>
      </c>
      <c r="P98" s="7" t="str">
        <f aca="false">IF(O98="","No data",INDEX(Config!$B$5:$B$9,O98))</f>
        <v>Medium</v>
      </c>
      <c r="Q98" s="32" t="n">
        <v>0</v>
      </c>
      <c r="R98" s="8"/>
      <c r="S98" s="33"/>
      <c r="T98" s="34" t="n">
        <f aca="false">IF(O98="","",IF(AND(S98="Y",Q98&lt;&gt;0),MAX(1,MIN(5,O98+MAX(-Config!$C$27,MIN(Config!$C$27,Q98)))),O98))</f>
        <v>3</v>
      </c>
      <c r="U98" s="35" t="str">
        <f aca="false">IF(T98="","No data",INDEX(Config!$B$5:$B$9,T98))</f>
        <v>Medium</v>
      </c>
      <c r="V98" s="7" t="str">
        <f aca="false">IF(Q98=0,"None",IF(S98="Y","Applied","Pending HO approval"))</f>
        <v>None</v>
      </c>
      <c r="W98" s="36" t="n">
        <f aca="false">SUMPRODUCT((Indicators!$M$5:$M$35&gt;0)*('Indicator Data'!$Q$5:$Q$35&lt;&gt;""))/SUMPRODUCT(--(Indicators!$M$5:$M$35&gt;0))</f>
        <v>1</v>
      </c>
    </row>
    <row r="99" customFormat="false" ht="15" hidden="false" customHeight="false" outlineLevel="0" collapsed="false">
      <c r="A99" s="26" t="str">
        <f aca="false">Entities!$A$18</f>
        <v>OM</v>
      </c>
      <c r="B99" s="12" t="str">
        <f aca="false">INDEX(Entities!$B$5:$B$34,MATCH(A99,Entities!$A$5:$A$34,0))</f>
        <v>Oman Arab Bank (affiliate)</v>
      </c>
      <c r="C99" s="12" t="str">
        <f aca="false">INDEX(Entities!$D$5:$D$34,MATCH(A99,Entities!$A$5:$A$34,0))</f>
        <v>GCC</v>
      </c>
      <c r="D99" s="12" t="s">
        <v>245</v>
      </c>
      <c r="E99" s="12" t="str">
        <f aca="false">INDEX('Risk Taxonomy'!$B$5:$B$24,MATCH(D99,'Risk Taxonomy'!$A$5:$A$24,0))</f>
        <v>Sanctions</v>
      </c>
      <c r="F99" s="28" t="n">
        <f aca="false">IFERROR(SUMPRODUCT((Indicators!$B$5:$B$35=F$4)*Indicators!$N$5:$N$35*'Indicator Scores'!$Q$5:$Q$35)/SUMPRODUCT((Indicators!$B$5:$B$35=F$4)*Indicators!$N$5:$N$35*('Indicator Scores'!$Q$5:$Q$35&gt;0)),0)</f>
        <v>3.42857142857143</v>
      </c>
      <c r="G99" s="28" t="n">
        <f aca="false">IFERROR(SUMPRODUCT((Indicators!$B$5:$B$35=G$4)*Indicators!$N$5:$N$35*'Indicator Scores'!$Q$5:$Q$35)/SUMPRODUCT((Indicators!$B$5:$B$35=G$4)*Indicators!$N$5:$N$35*('Indicator Scores'!$Q$5:$Q$35&gt;0)),0)</f>
        <v>2.85714285714286</v>
      </c>
      <c r="H99" s="28" t="n">
        <f aca="false">IFERROR(SUMPRODUCT((Indicators!$B$5:$B$35=H$4)*Indicators!$N$5:$N$35*'Indicator Scores'!$Q$5:$Q$35)/SUMPRODUCT((Indicators!$B$5:$B$35=H$4)*Indicators!$N$5:$N$35*('Indicator Scores'!$Q$5:$Q$35&gt;0)),0)</f>
        <v>2.375</v>
      </c>
      <c r="I99" s="28" t="n">
        <f aca="false">IFERROR(SUMPRODUCT((Indicators!$B$5:$B$35=I$4)*Indicators!$N$5:$N$35*'Indicator Scores'!$Q$5:$Q$35)/SUMPRODUCT((Indicators!$B$5:$B$35=I$4)*Indicators!$N$5:$N$35*('Indicator Scores'!$Q$5:$Q$35&gt;0)),0)</f>
        <v>1.66666666666667</v>
      </c>
      <c r="J99" s="28" t="n">
        <f aca="false">IFERROR(SUMPRODUCT((Indicators!$B$5:$B$35=J$4)*Indicators!$N$5:$N$35*'Indicator Scores'!$Q$5:$Q$35)/SUMPRODUCT((Indicators!$B$5:$B$35=J$4)*Indicators!$N$5:$N$35*('Indicator Scores'!$Q$5:$Q$35&gt;0)),0)</f>
        <v>3</v>
      </c>
      <c r="K99" s="28" t="n">
        <f aca="false">IFERROR(SUMPRODUCT(F99:J99,INDEX('Factor Weights'!$C$5:$G$11,MATCH(D99,'Factor Weights'!$A$5:$A$11,0),0))/SUMPRODUCT((F99:J99&gt;0)*INDEX('Factor Weights'!$C$5:$G$11,MATCH(D99,'Factor Weights'!$A$5:$A$11,0),0)),0)</f>
        <v>2.81547619047619</v>
      </c>
      <c r="L99" s="29" t="n">
        <f aca="false">MAX(F99:J99)</f>
        <v>3.42857142857143</v>
      </c>
      <c r="M99" s="28" t="n">
        <f aca="false">IF(L99&gt;=Config!$C$13,MAX(K99,Config!$C$14),K99)</f>
        <v>2.81547619047619</v>
      </c>
      <c r="N99" s="30" t="n">
        <f aca="false">IF(Config!$C$12="Weighted average",K99,IF(Config!$C$12="Weighted with floor",M99,L99))</f>
        <v>2.81547619047619</v>
      </c>
      <c r="O99" s="31" t="n">
        <f aca="false">IF(N99&lt;Config!$D$5,"",MATCH(N99,Config!$D$5:$D$9,1))</f>
        <v>3</v>
      </c>
      <c r="P99" s="7" t="str">
        <f aca="false">IF(O99="","No data",INDEX(Config!$B$5:$B$9,O99))</f>
        <v>Medium</v>
      </c>
      <c r="Q99" s="32" t="n">
        <v>0</v>
      </c>
      <c r="R99" s="8"/>
      <c r="S99" s="33"/>
      <c r="T99" s="34" t="n">
        <f aca="false">IF(O99="","",IF(AND(S99="Y",Q99&lt;&gt;0),MAX(1,MIN(5,O99+MAX(-Config!$C$27,MIN(Config!$C$27,Q99)))),O99))</f>
        <v>3</v>
      </c>
      <c r="U99" s="35" t="str">
        <f aca="false">IF(T99="","No data",INDEX(Config!$B$5:$B$9,T99))</f>
        <v>Medium</v>
      </c>
      <c r="V99" s="7" t="str">
        <f aca="false">IF(Q99=0,"None",IF(S99="Y","Applied","Pending HO approval"))</f>
        <v>None</v>
      </c>
      <c r="W99" s="36" t="n">
        <f aca="false">SUMPRODUCT((Indicators!$N$5:$N$35&gt;0)*('Indicator Data'!$Q$5:$Q$35&lt;&gt;""))/SUMPRODUCT(--(Indicators!$N$5:$N$35&gt;0))</f>
        <v>1</v>
      </c>
    </row>
    <row r="100" customFormat="false" ht="15" hidden="false" customHeight="false" outlineLevel="0" collapsed="false">
      <c r="A100" s="26" t="str">
        <f aca="false">Entities!$A$18</f>
        <v>OM</v>
      </c>
      <c r="B100" s="12" t="str">
        <f aca="false">INDEX(Entities!$B$5:$B$34,MATCH(A100,Entities!$A$5:$A$34,0))</f>
        <v>Oman Arab Bank (affiliate)</v>
      </c>
      <c r="C100" s="12" t="str">
        <f aca="false">INDEX(Entities!$D$5:$D$34,MATCH(A100,Entities!$A$5:$A$34,0))</f>
        <v>GCC</v>
      </c>
      <c r="D100" s="12" t="s">
        <v>248</v>
      </c>
      <c r="E100" s="12" t="str">
        <f aca="false">INDEX('Risk Taxonomy'!$B$5:$B$24,MATCH(D100,'Risk Taxonomy'!$A$5:$A$24,0))</f>
        <v>Bribery and corruption</v>
      </c>
      <c r="F100" s="28" t="n">
        <f aca="false">IFERROR(SUMPRODUCT((Indicators!$B$5:$B$35=F$4)*Indicators!$O$5:$O$35*'Indicator Scores'!$Q$5:$Q$35)/SUMPRODUCT((Indicators!$B$5:$B$35=F$4)*Indicators!$O$5:$O$35*('Indicator Scores'!$Q$5:$Q$35&gt;0)),0)</f>
        <v>3.33333333333333</v>
      </c>
      <c r="G100" s="28" t="n">
        <f aca="false">IFERROR(SUMPRODUCT((Indicators!$B$5:$B$35=G$4)*Indicators!$O$5:$O$35*'Indicator Scores'!$Q$5:$Q$35)/SUMPRODUCT((Indicators!$B$5:$B$35=G$4)*Indicators!$O$5:$O$35*('Indicator Scores'!$Q$5:$Q$35&gt;0)),0)</f>
        <v>2.8</v>
      </c>
      <c r="H100" s="28" t="n">
        <f aca="false">IFERROR(SUMPRODUCT((Indicators!$B$5:$B$35=H$4)*Indicators!$O$5:$O$35*'Indicator Scores'!$Q$5:$Q$35)/SUMPRODUCT((Indicators!$B$5:$B$35=H$4)*Indicators!$O$5:$O$35*('Indicator Scores'!$Q$5:$Q$35&gt;0)),0)</f>
        <v>2</v>
      </c>
      <c r="I100" s="28" t="n">
        <f aca="false">IFERROR(SUMPRODUCT((Indicators!$B$5:$B$35=I$4)*Indicators!$O$5:$O$35*'Indicator Scores'!$Q$5:$Q$35)/SUMPRODUCT((Indicators!$B$5:$B$35=I$4)*Indicators!$O$5:$O$35*('Indicator Scores'!$Q$5:$Q$35&gt;0)),0)</f>
        <v>1.8</v>
      </c>
      <c r="J100" s="28" t="n">
        <f aca="false">IFERROR(SUMPRODUCT((Indicators!$B$5:$B$35=J$4)*Indicators!$O$5:$O$35*'Indicator Scores'!$Q$5:$Q$35)/SUMPRODUCT((Indicators!$B$5:$B$35=J$4)*Indicators!$O$5:$O$35*('Indicator Scores'!$Q$5:$Q$35&gt;0)),0)</f>
        <v>3</v>
      </c>
      <c r="K100" s="28" t="n">
        <f aca="false">IFERROR(SUMPRODUCT(F100:J100,INDEX('Factor Weights'!$C$5:$G$11,MATCH(D100,'Factor Weights'!$A$5:$A$11,0),0))/SUMPRODUCT((F100:J100&gt;0)*INDEX('Factor Weights'!$C$5:$G$11,MATCH(D100,'Factor Weights'!$A$5:$A$11,0),0)),0)</f>
        <v>2.66</v>
      </c>
      <c r="L100" s="29" t="n">
        <f aca="false">MAX(F100:J100)</f>
        <v>3.33333333333333</v>
      </c>
      <c r="M100" s="28" t="n">
        <f aca="false">IF(L100&gt;=Config!$C$13,MAX(K100,Config!$C$14),K100)</f>
        <v>2.66</v>
      </c>
      <c r="N100" s="30" t="n">
        <f aca="false">IF(Config!$C$12="Weighted average",K100,IF(Config!$C$12="Weighted with floor",M100,L100))</f>
        <v>2.66</v>
      </c>
      <c r="O100" s="31" t="n">
        <f aca="false">IF(N100&lt;Config!$D$5,"",MATCH(N100,Config!$D$5:$D$9,1))</f>
        <v>3</v>
      </c>
      <c r="P100" s="7" t="str">
        <f aca="false">IF(O100="","No data",INDEX(Config!$B$5:$B$9,O100))</f>
        <v>Medium</v>
      </c>
      <c r="Q100" s="32" t="n">
        <v>0</v>
      </c>
      <c r="R100" s="8"/>
      <c r="S100" s="33"/>
      <c r="T100" s="34" t="n">
        <f aca="false">IF(O100="","",IF(AND(S100="Y",Q100&lt;&gt;0),MAX(1,MIN(5,O100+MAX(-Config!$C$27,MIN(Config!$C$27,Q100)))),O100))</f>
        <v>3</v>
      </c>
      <c r="U100" s="35" t="str">
        <f aca="false">IF(T100="","No data",INDEX(Config!$B$5:$B$9,T100))</f>
        <v>Medium</v>
      </c>
      <c r="V100" s="7" t="str">
        <f aca="false">IF(Q100=0,"None",IF(S100="Y","Applied","Pending HO approval"))</f>
        <v>None</v>
      </c>
      <c r="W100" s="36" t="n">
        <f aca="false">SUMPRODUCT((Indicators!$O$5:$O$35&gt;0)*('Indicator Data'!$Q$5:$Q$35&lt;&gt;""))/SUMPRODUCT(--(Indicators!$O$5:$O$35&gt;0))</f>
        <v>1</v>
      </c>
    </row>
    <row r="101" customFormat="false" ht="15" hidden="false" customHeight="false" outlineLevel="0" collapsed="false">
      <c r="A101" s="26" t="str">
        <f aca="false">Entities!$A$18</f>
        <v>OM</v>
      </c>
      <c r="B101" s="12" t="str">
        <f aca="false">INDEX(Entities!$B$5:$B$34,MATCH(A101,Entities!$A$5:$A$34,0))</f>
        <v>Oman Arab Bank (affiliate)</v>
      </c>
      <c r="C101" s="12" t="str">
        <f aca="false">INDEX(Entities!$D$5:$D$34,MATCH(A101,Entities!$A$5:$A$34,0))</f>
        <v>GCC</v>
      </c>
      <c r="D101" s="12" t="s">
        <v>251</v>
      </c>
      <c r="E101" s="12" t="str">
        <f aca="false">INDEX('Risk Taxonomy'!$B$5:$B$24,MATCH(D101,'Risk Taxonomy'!$A$5:$A$24,0))</f>
        <v>Fraud</v>
      </c>
      <c r="F101" s="28" t="n">
        <f aca="false">IFERROR(SUMPRODUCT((Indicators!$B$5:$B$35=F$4)*Indicators!$P$5:$P$35*'Indicator Scores'!$Q$5:$Q$35)/SUMPRODUCT((Indicators!$B$5:$B$35=F$4)*Indicators!$P$5:$P$35*('Indicator Scores'!$Q$5:$Q$35&gt;0)),0)</f>
        <v>3.66666666666667</v>
      </c>
      <c r="G101" s="28" t="n">
        <f aca="false">IFERROR(SUMPRODUCT((Indicators!$B$5:$B$35=G$4)*Indicators!$P$5:$P$35*'Indicator Scores'!$Q$5:$Q$35)/SUMPRODUCT((Indicators!$B$5:$B$35=G$4)*Indicators!$P$5:$P$35*('Indicator Scores'!$Q$5:$Q$35&gt;0)),0)</f>
        <v>2.25</v>
      </c>
      <c r="H101" s="28" t="n">
        <f aca="false">IFERROR(SUMPRODUCT((Indicators!$B$5:$B$35=H$4)*Indicators!$P$5:$P$35*'Indicator Scores'!$Q$5:$Q$35)/SUMPRODUCT((Indicators!$B$5:$B$35=H$4)*Indicators!$P$5:$P$35*('Indicator Scores'!$Q$5:$Q$35&gt;0)),0)</f>
        <v>2.4</v>
      </c>
      <c r="I101" s="28" t="n">
        <f aca="false">IFERROR(SUMPRODUCT((Indicators!$B$5:$B$35=I$4)*Indicators!$P$5:$P$35*'Indicator Scores'!$Q$5:$Q$35)/SUMPRODUCT((Indicators!$B$5:$B$35=I$4)*Indicators!$P$5:$P$35*('Indicator Scores'!$Q$5:$Q$35&gt;0)),0)</f>
        <v>2.33333333333333</v>
      </c>
      <c r="J101" s="28" t="n">
        <f aca="false">IFERROR(SUMPRODUCT((Indicators!$B$5:$B$35=J$4)*Indicators!$P$5:$P$35*'Indicator Scores'!$Q$5:$Q$35)/SUMPRODUCT((Indicators!$B$5:$B$35=J$4)*Indicators!$P$5:$P$35*('Indicator Scores'!$Q$5:$Q$35&gt;0)),0)</f>
        <v>3</v>
      </c>
      <c r="K101" s="28" t="n">
        <f aca="false">IFERROR(SUMPRODUCT(F101:J101,INDEX('Factor Weights'!$C$5:$G$11,MATCH(D101,'Factor Weights'!$A$5:$A$11,0),0))/SUMPRODUCT((F101:J101&gt;0)*INDEX('Factor Weights'!$C$5:$G$11,MATCH(D101,'Factor Weights'!$A$5:$A$11,0),0)),0)</f>
        <v>2.73833333333333</v>
      </c>
      <c r="L101" s="29" t="n">
        <f aca="false">MAX(F101:J101)</f>
        <v>3.66666666666667</v>
      </c>
      <c r="M101" s="28" t="n">
        <f aca="false">IF(L101&gt;=Config!$C$13,MAX(K101,Config!$C$14),K101)</f>
        <v>2.73833333333333</v>
      </c>
      <c r="N101" s="30" t="n">
        <f aca="false">IF(Config!$C$12="Weighted average",K101,IF(Config!$C$12="Weighted with floor",M101,L101))</f>
        <v>2.73833333333333</v>
      </c>
      <c r="O101" s="31" t="n">
        <f aca="false">IF(N101&lt;Config!$D$5,"",MATCH(N101,Config!$D$5:$D$9,1))</f>
        <v>3</v>
      </c>
      <c r="P101" s="7" t="str">
        <f aca="false">IF(O101="","No data",INDEX(Config!$B$5:$B$9,O101))</f>
        <v>Medium</v>
      </c>
      <c r="Q101" s="32" t="n">
        <v>0</v>
      </c>
      <c r="R101" s="8"/>
      <c r="S101" s="33"/>
      <c r="T101" s="34" t="n">
        <f aca="false">IF(O101="","",IF(AND(S101="Y",Q101&lt;&gt;0),MAX(1,MIN(5,O101+MAX(-Config!$C$27,MIN(Config!$C$27,Q101)))),O101))</f>
        <v>3</v>
      </c>
      <c r="U101" s="35" t="str">
        <f aca="false">IF(T101="","No data",INDEX(Config!$B$5:$B$9,T101))</f>
        <v>Medium</v>
      </c>
      <c r="V101" s="7" t="str">
        <f aca="false">IF(Q101=0,"None",IF(S101="Y","Applied","Pending HO approval"))</f>
        <v>None</v>
      </c>
      <c r="W101" s="36" t="n">
        <f aca="false">SUMPRODUCT((Indicators!$P$5:$P$35&gt;0)*('Indicator Data'!$Q$5:$Q$35&lt;&gt;""))/SUMPRODUCT(--(Indicators!$P$5:$P$35&gt;0))</f>
        <v>1</v>
      </c>
    </row>
    <row r="102" customFormat="false" ht="15" hidden="false" customHeight="false" outlineLevel="0" collapsed="false">
      <c r="A102" s="26" t="str">
        <f aca="false">Entities!$A$18</f>
        <v>OM</v>
      </c>
      <c r="B102" s="12" t="str">
        <f aca="false">INDEX(Entities!$B$5:$B$34,MATCH(A102,Entities!$A$5:$A$34,0))</f>
        <v>Oman Arab Bank (affiliate)</v>
      </c>
      <c r="C102" s="12" t="str">
        <f aca="false">INDEX(Entities!$D$5:$D$34,MATCH(A102,Entities!$A$5:$A$34,0))</f>
        <v>GCC</v>
      </c>
      <c r="D102" s="12" t="s">
        <v>254</v>
      </c>
      <c r="E102" s="12" t="str">
        <f aca="false">INDEX('Risk Taxonomy'!$B$5:$B$24,MATCH(D102,'Risk Taxonomy'!$A$5:$A$24,0))</f>
        <v>Tax evasion and tax transparency</v>
      </c>
      <c r="F102" s="28" t="n">
        <f aca="false">IFERROR(SUMPRODUCT((Indicators!$B$5:$B$35=F$4)*Indicators!$Q$5:$Q$35*'Indicator Scores'!$Q$5:$Q$35)/SUMPRODUCT((Indicators!$B$5:$B$35=F$4)*Indicators!$Q$5:$Q$35*('Indicator Scores'!$Q$5:$Q$35&gt;0)),0)</f>
        <v>3.44444444444444</v>
      </c>
      <c r="G102" s="28" t="n">
        <f aca="false">IFERROR(SUMPRODUCT((Indicators!$B$5:$B$35=G$4)*Indicators!$Q$5:$Q$35*'Indicator Scores'!$Q$5:$Q$35)/SUMPRODUCT((Indicators!$B$5:$B$35=G$4)*Indicators!$Q$5:$Q$35*('Indicator Scores'!$Q$5:$Q$35&gt;0)),0)</f>
        <v>2.83333333333333</v>
      </c>
      <c r="H102" s="28" t="n">
        <f aca="false">IFERROR(SUMPRODUCT((Indicators!$B$5:$B$35=H$4)*Indicators!$Q$5:$Q$35*'Indicator Scores'!$Q$5:$Q$35)/SUMPRODUCT((Indicators!$B$5:$B$35=H$4)*Indicators!$Q$5:$Q$35*('Indicator Scores'!$Q$5:$Q$35&gt;0)),0)</f>
        <v>2.33333333333333</v>
      </c>
      <c r="I102" s="28" t="n">
        <f aca="false">IFERROR(SUMPRODUCT((Indicators!$B$5:$B$35=I$4)*Indicators!$Q$5:$Q$35*'Indicator Scores'!$Q$5:$Q$35)/SUMPRODUCT((Indicators!$B$5:$B$35=I$4)*Indicators!$Q$5:$Q$35*('Indicator Scores'!$Q$5:$Q$35&gt;0)),0)</f>
        <v>3</v>
      </c>
      <c r="J102" s="28" t="n">
        <f aca="false">IFERROR(SUMPRODUCT((Indicators!$B$5:$B$35=J$4)*Indicators!$Q$5:$Q$35*'Indicator Scores'!$Q$5:$Q$35)/SUMPRODUCT((Indicators!$B$5:$B$35=J$4)*Indicators!$Q$5:$Q$35*('Indicator Scores'!$Q$5:$Q$35&gt;0)),0)</f>
        <v>3</v>
      </c>
      <c r="K102" s="28" t="n">
        <f aca="false">IFERROR(SUMPRODUCT(F102:J102,INDEX('Factor Weights'!$C$5:$G$11,MATCH(D102,'Factor Weights'!$A$5:$A$11,0),0))/SUMPRODUCT((F102:J102&gt;0)*INDEX('Factor Weights'!$C$5:$G$11,MATCH(D102,'Factor Weights'!$A$5:$A$11,0),0)),0)</f>
        <v>2.98055555555556</v>
      </c>
      <c r="L102" s="29" t="n">
        <f aca="false">MAX(F102:J102)</f>
        <v>3.44444444444444</v>
      </c>
      <c r="M102" s="28" t="n">
        <f aca="false">IF(L102&gt;=Config!$C$13,MAX(K102,Config!$C$14),K102)</f>
        <v>2.98055555555556</v>
      </c>
      <c r="N102" s="30" t="n">
        <f aca="false">IF(Config!$C$12="Weighted average",K102,IF(Config!$C$12="Weighted with floor",M102,L102))</f>
        <v>2.98055555555556</v>
      </c>
      <c r="O102" s="31" t="n">
        <f aca="false">IF(N102&lt;Config!$D$5,"",MATCH(N102,Config!$D$5:$D$9,1))</f>
        <v>3</v>
      </c>
      <c r="P102" s="7" t="str">
        <f aca="false">IF(O102="","No data",INDEX(Config!$B$5:$B$9,O102))</f>
        <v>Medium</v>
      </c>
      <c r="Q102" s="32" t="n">
        <v>0</v>
      </c>
      <c r="R102" s="8"/>
      <c r="S102" s="33"/>
      <c r="T102" s="34" t="n">
        <f aca="false">IF(O102="","",IF(AND(S102="Y",Q102&lt;&gt;0),MAX(1,MIN(5,O102+MAX(-Config!$C$27,MIN(Config!$C$27,Q102)))),O102))</f>
        <v>3</v>
      </c>
      <c r="U102" s="35" t="str">
        <f aca="false">IF(T102="","No data",INDEX(Config!$B$5:$B$9,T102))</f>
        <v>Medium</v>
      </c>
      <c r="V102" s="7" t="str">
        <f aca="false">IF(Q102=0,"None",IF(S102="Y","Applied","Pending HO approval"))</f>
        <v>None</v>
      </c>
      <c r="W102" s="36" t="n">
        <f aca="false">SUMPRODUCT((Indicators!$Q$5:$Q$35&gt;0)*('Indicator Data'!$Q$5:$Q$35&lt;&gt;""))/SUMPRODUCT(--(Indicators!$Q$5:$Q$35&gt;0))</f>
        <v>1</v>
      </c>
    </row>
    <row r="103" customFormat="false" ht="15" hidden="false" customHeight="false" outlineLevel="0" collapsed="false">
      <c r="A103" s="26" t="str">
        <f aca="false">Entities!$A$19</f>
        <v>IQ</v>
      </c>
      <c r="B103" s="12" t="str">
        <f aca="false">INDEX(Entities!$B$5:$B$34,MATCH(A103,Entities!$A$5:$A$34,0))</f>
        <v>Arab Bank Iraq</v>
      </c>
      <c r="C103" s="12" t="str">
        <f aca="false">INDEX(Entities!$D$5:$D$34,MATCH(A103,Entities!$A$5:$A$34,0))</f>
        <v>Iraq and Yemen</v>
      </c>
      <c r="D103" s="12" t="s">
        <v>233</v>
      </c>
      <c r="E103" s="12" t="str">
        <f aca="false">INDEX('Risk Taxonomy'!$B$5:$B$24,MATCH(D103,'Risk Taxonomy'!$A$5:$A$24,0))</f>
        <v>Money laundering</v>
      </c>
      <c r="F103" s="28" t="n">
        <f aca="false">IFERROR(SUMPRODUCT((Indicators!$B$5:$B$35=F$4)*Indicators!$K$5:$K$35*'Indicator Scores'!$R$5:$R$35)/SUMPRODUCT((Indicators!$B$5:$B$35=F$4)*Indicators!$K$5:$K$35*('Indicator Scores'!$R$5:$R$35&gt;0)),0)</f>
        <v>3.08333333333333</v>
      </c>
      <c r="G103" s="28" t="n">
        <f aca="false">IFERROR(SUMPRODUCT((Indicators!$B$5:$B$35=G$4)*Indicators!$K$5:$K$35*'Indicator Scores'!$R$5:$R$35)/SUMPRODUCT((Indicators!$B$5:$B$35=G$4)*Indicators!$K$5:$K$35*('Indicator Scores'!$R$5:$R$35&gt;0)),0)</f>
        <v>3.77777777777778</v>
      </c>
      <c r="H103" s="28" t="n">
        <f aca="false">IFERROR(SUMPRODUCT((Indicators!$B$5:$B$35=H$4)*Indicators!$K$5:$K$35*'Indicator Scores'!$R$5:$R$35)/SUMPRODUCT((Indicators!$B$5:$B$35=H$4)*Indicators!$K$5:$K$35*('Indicator Scores'!$R$5:$R$35&gt;0)),0)</f>
        <v>4.1</v>
      </c>
      <c r="I103" s="28" t="n">
        <f aca="false">IFERROR(SUMPRODUCT((Indicators!$B$5:$B$35=I$4)*Indicators!$K$5:$K$35*'Indicator Scores'!$R$5:$R$35)/SUMPRODUCT((Indicators!$B$5:$B$35=I$4)*Indicators!$K$5:$K$35*('Indicator Scores'!$R$5:$R$35&gt;0)),0)</f>
        <v>4</v>
      </c>
      <c r="J103" s="28" t="n">
        <f aca="false">IFERROR(SUMPRODUCT((Indicators!$B$5:$B$35=J$4)*Indicators!$K$5:$K$35*'Indicator Scores'!$R$5:$R$35)/SUMPRODUCT((Indicators!$B$5:$B$35=J$4)*Indicators!$K$5:$K$35*('Indicator Scores'!$R$5:$R$35&gt;0)),0)</f>
        <v>4.4</v>
      </c>
      <c r="K103" s="28" t="n">
        <f aca="false">IFERROR(SUMPRODUCT(F103:J103,INDEX('Factor Weights'!$C$5:$G$11,MATCH(D103,'Factor Weights'!$A$5:$A$11,0),0))/SUMPRODUCT((F103:J103&gt;0)*INDEX('Factor Weights'!$C$5:$G$11,MATCH(D103,'Factor Weights'!$A$5:$A$11,0),0)),0)</f>
        <v>3.72944444444444</v>
      </c>
      <c r="L103" s="29" t="n">
        <f aca="false">MAX(F103:J103)</f>
        <v>4.4</v>
      </c>
      <c r="M103" s="28" t="n">
        <f aca="false">IF(L103&gt;=Config!$C$13,MAX(K103,Config!$C$14),K103)</f>
        <v>3.72944444444444</v>
      </c>
      <c r="N103" s="30" t="n">
        <f aca="false">IF(Config!$C$12="Weighted average",K103,IF(Config!$C$12="Weighted with floor",M103,L103))</f>
        <v>3.72944444444444</v>
      </c>
      <c r="O103" s="31" t="n">
        <f aca="false">IF(N103&lt;Config!$D$5,"",MATCH(N103,Config!$D$5:$D$9,1))</f>
        <v>4</v>
      </c>
      <c r="P103" s="7" t="str">
        <f aca="false">IF(O103="","No data",INDEX(Config!$B$5:$B$9,O103))</f>
        <v>Medium-High</v>
      </c>
      <c r="Q103" s="32" t="n">
        <v>0</v>
      </c>
      <c r="R103" s="8"/>
      <c r="S103" s="33"/>
      <c r="T103" s="34" t="n">
        <f aca="false">IF(O103="","",IF(AND(S103="Y",Q103&lt;&gt;0),MAX(1,MIN(5,O103+MAX(-Config!$C$27,MIN(Config!$C$27,Q103)))),O103))</f>
        <v>4</v>
      </c>
      <c r="U103" s="35" t="str">
        <f aca="false">IF(T103="","No data",INDEX(Config!$B$5:$B$9,T103))</f>
        <v>Medium-High</v>
      </c>
      <c r="V103" s="7" t="str">
        <f aca="false">IF(Q103=0,"None",IF(S103="Y","Applied","Pending HO approval"))</f>
        <v>None</v>
      </c>
      <c r="W103" s="36" t="n">
        <f aca="false">SUMPRODUCT((Indicators!$K$5:$K$35&gt;0)*('Indicator Data'!$R$5:$R$35&lt;&gt;""))/SUMPRODUCT(--(Indicators!$K$5:$K$35&gt;0))</f>
        <v>1</v>
      </c>
    </row>
    <row r="104" customFormat="false" ht="15" hidden="false" customHeight="false" outlineLevel="0" collapsed="false">
      <c r="A104" s="26" t="str">
        <f aca="false">Entities!$A$19</f>
        <v>IQ</v>
      </c>
      <c r="B104" s="12" t="str">
        <f aca="false">INDEX(Entities!$B$5:$B$34,MATCH(A104,Entities!$A$5:$A$34,0))</f>
        <v>Arab Bank Iraq</v>
      </c>
      <c r="C104" s="12" t="str">
        <f aca="false">INDEX(Entities!$D$5:$D$34,MATCH(A104,Entities!$A$5:$A$34,0))</f>
        <v>Iraq and Yemen</v>
      </c>
      <c r="D104" s="12" t="s">
        <v>240</v>
      </c>
      <c r="E104" s="12" t="str">
        <f aca="false">INDEX('Risk Taxonomy'!$B$5:$B$24,MATCH(D104,'Risk Taxonomy'!$A$5:$A$24,0))</f>
        <v>Terrorist financing</v>
      </c>
      <c r="F104" s="28" t="n">
        <f aca="false">IFERROR(SUMPRODUCT((Indicators!$B$5:$B$35=F$4)*Indicators!$L$5:$L$35*'Indicator Scores'!$R$5:$R$35)/SUMPRODUCT((Indicators!$B$5:$B$35=F$4)*Indicators!$L$5:$L$35*('Indicator Scores'!$R$5:$R$35&gt;0)),0)</f>
        <v>3.6</v>
      </c>
      <c r="G104" s="28" t="n">
        <f aca="false">IFERROR(SUMPRODUCT((Indicators!$B$5:$B$35=G$4)*Indicators!$L$5:$L$35*'Indicator Scores'!$R$5:$R$35)/SUMPRODUCT((Indicators!$B$5:$B$35=G$4)*Indicators!$L$5:$L$35*('Indicator Scores'!$R$5:$R$35&gt;0)),0)</f>
        <v>3.44444444444444</v>
      </c>
      <c r="H104" s="28" t="n">
        <f aca="false">IFERROR(SUMPRODUCT((Indicators!$B$5:$B$35=H$4)*Indicators!$L$5:$L$35*'Indicator Scores'!$R$5:$R$35)/SUMPRODUCT((Indicators!$B$5:$B$35=H$4)*Indicators!$L$5:$L$35*('Indicator Scores'!$R$5:$R$35&gt;0)),0)</f>
        <v>4.33333333333333</v>
      </c>
      <c r="I104" s="28" t="n">
        <f aca="false">IFERROR(SUMPRODUCT((Indicators!$B$5:$B$35=I$4)*Indicators!$L$5:$L$35*'Indicator Scores'!$R$5:$R$35)/SUMPRODUCT((Indicators!$B$5:$B$35=I$4)*Indicators!$L$5:$L$35*('Indicator Scores'!$R$5:$R$35&gt;0)),0)</f>
        <v>4</v>
      </c>
      <c r="J104" s="28" t="n">
        <f aca="false">IFERROR(SUMPRODUCT((Indicators!$B$5:$B$35=J$4)*Indicators!$L$5:$L$35*'Indicator Scores'!$R$5:$R$35)/SUMPRODUCT((Indicators!$B$5:$B$35=J$4)*Indicators!$L$5:$L$35*('Indicator Scores'!$R$5:$R$35&gt;0)),0)</f>
        <v>4.57142857142857</v>
      </c>
      <c r="K104" s="28" t="n">
        <f aca="false">IFERROR(SUMPRODUCT(F104:J104,INDEX('Factor Weights'!$C$5:$G$11,MATCH(D104,'Factor Weights'!$A$5:$A$11,0),0))/SUMPRODUCT((F104:J104&gt;0)*INDEX('Factor Weights'!$C$5:$G$11,MATCH(D104,'Factor Weights'!$A$5:$A$11,0),0)),0)</f>
        <v>3.89761904761905</v>
      </c>
      <c r="L104" s="29" t="n">
        <f aca="false">MAX(F104:J104)</f>
        <v>4.57142857142857</v>
      </c>
      <c r="M104" s="28" t="n">
        <f aca="false">IF(L104&gt;=Config!$C$13,MAX(K104,Config!$C$14),K104)</f>
        <v>3.89761904761905</v>
      </c>
      <c r="N104" s="30" t="n">
        <f aca="false">IF(Config!$C$12="Weighted average",K104,IF(Config!$C$12="Weighted with floor",M104,L104))</f>
        <v>3.89761904761905</v>
      </c>
      <c r="O104" s="31" t="n">
        <f aca="false">IF(N104&lt;Config!$D$5,"",MATCH(N104,Config!$D$5:$D$9,1))</f>
        <v>4</v>
      </c>
      <c r="P104" s="7" t="str">
        <f aca="false">IF(O104="","No data",INDEX(Config!$B$5:$B$9,O104))</f>
        <v>Medium-High</v>
      </c>
      <c r="Q104" s="32" t="n">
        <v>0</v>
      </c>
      <c r="R104" s="8"/>
      <c r="S104" s="33"/>
      <c r="T104" s="34" t="n">
        <f aca="false">IF(O104="","",IF(AND(S104="Y",Q104&lt;&gt;0),MAX(1,MIN(5,O104+MAX(-Config!$C$27,MIN(Config!$C$27,Q104)))),O104))</f>
        <v>4</v>
      </c>
      <c r="U104" s="35" t="str">
        <f aca="false">IF(T104="","No data",INDEX(Config!$B$5:$B$9,T104))</f>
        <v>Medium-High</v>
      </c>
      <c r="V104" s="7" t="str">
        <f aca="false">IF(Q104=0,"None",IF(S104="Y","Applied","Pending HO approval"))</f>
        <v>None</v>
      </c>
      <c r="W104" s="36" t="n">
        <f aca="false">SUMPRODUCT((Indicators!$L$5:$L$35&gt;0)*('Indicator Data'!$R$5:$R$35&lt;&gt;""))/SUMPRODUCT(--(Indicators!$L$5:$L$35&gt;0))</f>
        <v>1</v>
      </c>
    </row>
    <row r="105" customFormat="false" ht="15" hidden="false" customHeight="false" outlineLevel="0" collapsed="false">
      <c r="A105" s="26" t="str">
        <f aca="false">Entities!$A$19</f>
        <v>IQ</v>
      </c>
      <c r="B105" s="12" t="str">
        <f aca="false">INDEX(Entities!$B$5:$B$34,MATCH(A105,Entities!$A$5:$A$34,0))</f>
        <v>Arab Bank Iraq</v>
      </c>
      <c r="C105" s="12" t="str">
        <f aca="false">INDEX(Entities!$D$5:$D$34,MATCH(A105,Entities!$A$5:$A$34,0))</f>
        <v>Iraq and Yemen</v>
      </c>
      <c r="D105" s="12" t="s">
        <v>243</v>
      </c>
      <c r="E105" s="12" t="str">
        <f aca="false">INDEX('Risk Taxonomy'!$B$5:$B$24,MATCH(D105,'Risk Taxonomy'!$A$5:$A$24,0))</f>
        <v>Proliferation financing</v>
      </c>
      <c r="F105" s="28" t="n">
        <f aca="false">IFERROR(SUMPRODUCT((Indicators!$B$5:$B$35=F$4)*Indicators!$M$5:$M$35*'Indicator Scores'!$R$5:$R$35)/SUMPRODUCT((Indicators!$B$5:$B$35=F$4)*Indicators!$M$5:$M$35*('Indicator Scores'!$R$5:$R$35&gt;0)),0)</f>
        <v>2.5</v>
      </c>
      <c r="G105" s="28" t="n">
        <f aca="false">IFERROR(SUMPRODUCT((Indicators!$B$5:$B$35=G$4)*Indicators!$M$5:$M$35*'Indicator Scores'!$R$5:$R$35)/SUMPRODUCT((Indicators!$B$5:$B$35=G$4)*Indicators!$M$5:$M$35*('Indicator Scores'!$R$5:$R$35&gt;0)),0)</f>
        <v>3.125</v>
      </c>
      <c r="H105" s="28" t="n">
        <f aca="false">IFERROR(SUMPRODUCT((Indicators!$B$5:$B$35=H$4)*Indicators!$M$5:$M$35*'Indicator Scores'!$R$5:$R$35)/SUMPRODUCT((Indicators!$B$5:$B$35=H$4)*Indicators!$M$5:$M$35*('Indicator Scores'!$R$5:$R$35&gt;0)),0)</f>
        <v>4</v>
      </c>
      <c r="I105" s="28" t="n">
        <f aca="false">IFERROR(SUMPRODUCT((Indicators!$B$5:$B$35=I$4)*Indicators!$M$5:$M$35*'Indicator Scores'!$R$5:$R$35)/SUMPRODUCT((Indicators!$B$5:$B$35=I$4)*Indicators!$M$5:$M$35*('Indicator Scores'!$R$5:$R$35&gt;0)),0)</f>
        <v>4</v>
      </c>
      <c r="J105" s="28" t="n">
        <f aca="false">IFERROR(SUMPRODUCT((Indicators!$B$5:$B$35=J$4)*Indicators!$M$5:$M$35*'Indicator Scores'!$R$5:$R$35)/SUMPRODUCT((Indicators!$B$5:$B$35=J$4)*Indicators!$M$5:$M$35*('Indicator Scores'!$R$5:$R$35&gt;0)),0)</f>
        <v>4</v>
      </c>
      <c r="K105" s="28" t="n">
        <f aca="false">IFERROR(SUMPRODUCT(F105:J105,INDEX('Factor Weights'!$C$5:$G$11,MATCH(D105,'Factor Weights'!$A$5:$A$11,0),0))/SUMPRODUCT((F105:J105&gt;0)*INDEX('Factor Weights'!$C$5:$G$11,MATCH(D105,'Factor Weights'!$A$5:$A$11,0),0)),0)</f>
        <v>3.5125</v>
      </c>
      <c r="L105" s="29" t="n">
        <f aca="false">MAX(F105:J105)</f>
        <v>4</v>
      </c>
      <c r="M105" s="28" t="n">
        <f aca="false">IF(L105&gt;=Config!$C$13,MAX(K105,Config!$C$14),K105)</f>
        <v>3.5125</v>
      </c>
      <c r="N105" s="30" t="n">
        <f aca="false">IF(Config!$C$12="Weighted average",K105,IF(Config!$C$12="Weighted with floor",M105,L105))</f>
        <v>3.5125</v>
      </c>
      <c r="O105" s="31" t="n">
        <f aca="false">IF(N105&lt;Config!$D$5,"",MATCH(N105,Config!$D$5:$D$9,1))</f>
        <v>4</v>
      </c>
      <c r="P105" s="7" t="str">
        <f aca="false">IF(O105="","No data",INDEX(Config!$B$5:$B$9,O105))</f>
        <v>Medium-High</v>
      </c>
      <c r="Q105" s="32" t="n">
        <v>0</v>
      </c>
      <c r="R105" s="8"/>
      <c r="S105" s="33"/>
      <c r="T105" s="34" t="n">
        <f aca="false">IF(O105="","",IF(AND(S105="Y",Q105&lt;&gt;0),MAX(1,MIN(5,O105+MAX(-Config!$C$27,MIN(Config!$C$27,Q105)))),O105))</f>
        <v>4</v>
      </c>
      <c r="U105" s="35" t="str">
        <f aca="false">IF(T105="","No data",INDEX(Config!$B$5:$B$9,T105))</f>
        <v>Medium-High</v>
      </c>
      <c r="V105" s="7" t="str">
        <f aca="false">IF(Q105=0,"None",IF(S105="Y","Applied","Pending HO approval"))</f>
        <v>None</v>
      </c>
      <c r="W105" s="36" t="n">
        <f aca="false">SUMPRODUCT((Indicators!$M$5:$M$35&gt;0)*('Indicator Data'!$R$5:$R$35&lt;&gt;""))/SUMPRODUCT(--(Indicators!$M$5:$M$35&gt;0))</f>
        <v>1</v>
      </c>
    </row>
    <row r="106" customFormat="false" ht="15" hidden="false" customHeight="false" outlineLevel="0" collapsed="false">
      <c r="A106" s="26" t="str">
        <f aca="false">Entities!$A$19</f>
        <v>IQ</v>
      </c>
      <c r="B106" s="12" t="str">
        <f aca="false">INDEX(Entities!$B$5:$B$34,MATCH(A106,Entities!$A$5:$A$34,0))</f>
        <v>Arab Bank Iraq</v>
      </c>
      <c r="C106" s="12" t="str">
        <f aca="false">INDEX(Entities!$D$5:$D$34,MATCH(A106,Entities!$A$5:$A$34,0))</f>
        <v>Iraq and Yemen</v>
      </c>
      <c r="D106" s="12" t="s">
        <v>245</v>
      </c>
      <c r="E106" s="12" t="str">
        <f aca="false">INDEX('Risk Taxonomy'!$B$5:$B$24,MATCH(D106,'Risk Taxonomy'!$A$5:$A$24,0))</f>
        <v>Sanctions</v>
      </c>
      <c r="F106" s="28" t="n">
        <f aca="false">IFERROR(SUMPRODUCT((Indicators!$B$5:$B$35=F$4)*Indicators!$N$5:$N$35*'Indicator Scores'!$R$5:$R$35)/SUMPRODUCT((Indicators!$B$5:$B$35=F$4)*Indicators!$N$5:$N$35*('Indicator Scores'!$R$5:$R$35&gt;0)),0)</f>
        <v>3.28571428571429</v>
      </c>
      <c r="G106" s="28" t="n">
        <f aca="false">IFERROR(SUMPRODUCT((Indicators!$B$5:$B$35=G$4)*Indicators!$N$5:$N$35*'Indicator Scores'!$R$5:$R$35)/SUMPRODUCT((Indicators!$B$5:$B$35=G$4)*Indicators!$N$5:$N$35*('Indicator Scores'!$R$5:$R$35&gt;0)),0)</f>
        <v>3</v>
      </c>
      <c r="H106" s="28" t="n">
        <f aca="false">IFERROR(SUMPRODUCT((Indicators!$B$5:$B$35=H$4)*Indicators!$N$5:$N$35*'Indicator Scores'!$R$5:$R$35)/SUMPRODUCT((Indicators!$B$5:$B$35=H$4)*Indicators!$N$5:$N$35*('Indicator Scores'!$R$5:$R$35&gt;0)),0)</f>
        <v>4</v>
      </c>
      <c r="I106" s="28" t="n">
        <f aca="false">IFERROR(SUMPRODUCT((Indicators!$B$5:$B$35=I$4)*Indicators!$N$5:$N$35*'Indicator Scores'!$R$5:$R$35)/SUMPRODUCT((Indicators!$B$5:$B$35=I$4)*Indicators!$N$5:$N$35*('Indicator Scores'!$R$5:$R$35&gt;0)),0)</f>
        <v>4</v>
      </c>
      <c r="J106" s="28" t="n">
        <f aca="false">IFERROR(SUMPRODUCT((Indicators!$B$5:$B$35=J$4)*Indicators!$N$5:$N$35*'Indicator Scores'!$R$5:$R$35)/SUMPRODUCT((Indicators!$B$5:$B$35=J$4)*Indicators!$N$5:$N$35*('Indicator Scores'!$R$5:$R$35&gt;0)),0)</f>
        <v>4.2</v>
      </c>
      <c r="K106" s="28" t="n">
        <f aca="false">IFERROR(SUMPRODUCT(F106:J106,INDEX('Factor Weights'!$C$5:$G$11,MATCH(D106,'Factor Weights'!$A$5:$A$11,0),0))/SUMPRODUCT((F106:J106&gt;0)*INDEX('Factor Weights'!$C$5:$G$11,MATCH(D106,'Factor Weights'!$A$5:$A$11,0),0)),0)</f>
        <v>3.53285714285714</v>
      </c>
      <c r="L106" s="29" t="n">
        <f aca="false">MAX(F106:J106)</f>
        <v>4.2</v>
      </c>
      <c r="M106" s="28" t="n">
        <f aca="false">IF(L106&gt;=Config!$C$13,MAX(K106,Config!$C$14),K106)</f>
        <v>3.53285714285714</v>
      </c>
      <c r="N106" s="30" t="n">
        <f aca="false">IF(Config!$C$12="Weighted average",K106,IF(Config!$C$12="Weighted with floor",M106,L106))</f>
        <v>3.53285714285714</v>
      </c>
      <c r="O106" s="31" t="n">
        <f aca="false">IF(N106&lt;Config!$D$5,"",MATCH(N106,Config!$D$5:$D$9,1))</f>
        <v>4</v>
      </c>
      <c r="P106" s="7" t="str">
        <f aca="false">IF(O106="","No data",INDEX(Config!$B$5:$B$9,O106))</f>
        <v>Medium-High</v>
      </c>
      <c r="Q106" s="32" t="n">
        <v>0</v>
      </c>
      <c r="R106" s="8"/>
      <c r="S106" s="33"/>
      <c r="T106" s="34" t="n">
        <f aca="false">IF(O106="","",IF(AND(S106="Y",Q106&lt;&gt;0),MAX(1,MIN(5,O106+MAX(-Config!$C$27,MIN(Config!$C$27,Q106)))),O106))</f>
        <v>4</v>
      </c>
      <c r="U106" s="35" t="str">
        <f aca="false">IF(T106="","No data",INDEX(Config!$B$5:$B$9,T106))</f>
        <v>Medium-High</v>
      </c>
      <c r="V106" s="7" t="str">
        <f aca="false">IF(Q106=0,"None",IF(S106="Y","Applied","Pending HO approval"))</f>
        <v>None</v>
      </c>
      <c r="W106" s="36" t="n">
        <f aca="false">SUMPRODUCT((Indicators!$N$5:$N$35&gt;0)*('Indicator Data'!$R$5:$R$35&lt;&gt;""))/SUMPRODUCT(--(Indicators!$N$5:$N$35&gt;0))</f>
        <v>1</v>
      </c>
    </row>
    <row r="107" customFormat="false" ht="15" hidden="false" customHeight="false" outlineLevel="0" collapsed="false">
      <c r="A107" s="26" t="str">
        <f aca="false">Entities!$A$19</f>
        <v>IQ</v>
      </c>
      <c r="B107" s="12" t="str">
        <f aca="false">INDEX(Entities!$B$5:$B$34,MATCH(A107,Entities!$A$5:$A$34,0))</f>
        <v>Arab Bank Iraq</v>
      </c>
      <c r="C107" s="12" t="str">
        <f aca="false">INDEX(Entities!$D$5:$D$34,MATCH(A107,Entities!$A$5:$A$34,0))</f>
        <v>Iraq and Yemen</v>
      </c>
      <c r="D107" s="12" t="s">
        <v>248</v>
      </c>
      <c r="E107" s="12" t="str">
        <f aca="false">INDEX('Risk Taxonomy'!$B$5:$B$24,MATCH(D107,'Risk Taxonomy'!$A$5:$A$24,0))</f>
        <v>Bribery and corruption</v>
      </c>
      <c r="F107" s="28" t="n">
        <f aca="false">IFERROR(SUMPRODUCT((Indicators!$B$5:$B$35=F$4)*Indicators!$O$5:$O$35*'Indicator Scores'!$R$5:$R$35)/SUMPRODUCT((Indicators!$B$5:$B$35=F$4)*Indicators!$O$5:$O$35*('Indicator Scores'!$R$5:$R$35&gt;0)),0)</f>
        <v>4</v>
      </c>
      <c r="G107" s="28" t="n">
        <f aca="false">IFERROR(SUMPRODUCT((Indicators!$B$5:$B$35=G$4)*Indicators!$O$5:$O$35*'Indicator Scores'!$R$5:$R$35)/SUMPRODUCT((Indicators!$B$5:$B$35=G$4)*Indicators!$O$5:$O$35*('Indicator Scores'!$R$5:$R$35&gt;0)),0)</f>
        <v>4.6</v>
      </c>
      <c r="H107" s="28" t="n">
        <f aca="false">IFERROR(SUMPRODUCT((Indicators!$B$5:$B$35=H$4)*Indicators!$O$5:$O$35*'Indicator Scores'!$R$5:$R$35)/SUMPRODUCT((Indicators!$B$5:$B$35=H$4)*Indicators!$O$5:$O$35*('Indicator Scores'!$R$5:$R$35&gt;0)),0)</f>
        <v>4</v>
      </c>
      <c r="I107" s="28" t="n">
        <f aca="false">IFERROR(SUMPRODUCT((Indicators!$B$5:$B$35=I$4)*Indicators!$O$5:$O$35*'Indicator Scores'!$R$5:$R$35)/SUMPRODUCT((Indicators!$B$5:$B$35=I$4)*Indicators!$O$5:$O$35*('Indicator Scores'!$R$5:$R$35&gt;0)),0)</f>
        <v>4</v>
      </c>
      <c r="J107" s="28" t="n">
        <f aca="false">IFERROR(SUMPRODUCT((Indicators!$B$5:$B$35=J$4)*Indicators!$O$5:$O$35*'Indicator Scores'!$R$5:$R$35)/SUMPRODUCT((Indicators!$B$5:$B$35=J$4)*Indicators!$O$5:$O$35*('Indicator Scores'!$R$5:$R$35&gt;0)),0)</f>
        <v>3</v>
      </c>
      <c r="K107" s="28" t="n">
        <f aca="false">IFERROR(SUMPRODUCT(F107:J107,INDEX('Factor Weights'!$C$5:$G$11,MATCH(D107,'Factor Weights'!$A$5:$A$11,0),0))/SUMPRODUCT((F107:J107&gt;0)*INDEX('Factor Weights'!$C$5:$G$11,MATCH(D107,'Factor Weights'!$A$5:$A$11,0),0)),0)</f>
        <v>4.05</v>
      </c>
      <c r="L107" s="29" t="n">
        <f aca="false">MAX(F107:J107)</f>
        <v>4.6</v>
      </c>
      <c r="M107" s="28" t="n">
        <f aca="false">IF(L107&gt;=Config!$C$13,MAX(K107,Config!$C$14),K107)</f>
        <v>4.05</v>
      </c>
      <c r="N107" s="30" t="n">
        <f aca="false">IF(Config!$C$12="Weighted average",K107,IF(Config!$C$12="Weighted with floor",M107,L107))</f>
        <v>4.05</v>
      </c>
      <c r="O107" s="31" t="n">
        <f aca="false">IF(N107&lt;Config!$D$5,"",MATCH(N107,Config!$D$5:$D$9,1))</f>
        <v>4</v>
      </c>
      <c r="P107" s="7" t="str">
        <f aca="false">IF(O107="","No data",INDEX(Config!$B$5:$B$9,O107))</f>
        <v>Medium-High</v>
      </c>
      <c r="Q107" s="32" t="n">
        <v>0</v>
      </c>
      <c r="R107" s="8"/>
      <c r="S107" s="33"/>
      <c r="T107" s="34" t="n">
        <f aca="false">IF(O107="","",IF(AND(S107="Y",Q107&lt;&gt;0),MAX(1,MIN(5,O107+MAX(-Config!$C$27,MIN(Config!$C$27,Q107)))),O107))</f>
        <v>4</v>
      </c>
      <c r="U107" s="35" t="str">
        <f aca="false">IF(T107="","No data",INDEX(Config!$B$5:$B$9,T107))</f>
        <v>Medium-High</v>
      </c>
      <c r="V107" s="7" t="str">
        <f aca="false">IF(Q107=0,"None",IF(S107="Y","Applied","Pending HO approval"))</f>
        <v>None</v>
      </c>
      <c r="W107" s="36" t="n">
        <f aca="false">SUMPRODUCT((Indicators!$O$5:$O$35&gt;0)*('Indicator Data'!$R$5:$R$35&lt;&gt;""))/SUMPRODUCT(--(Indicators!$O$5:$O$35&gt;0))</f>
        <v>1</v>
      </c>
    </row>
    <row r="108" customFormat="false" ht="15" hidden="false" customHeight="false" outlineLevel="0" collapsed="false">
      <c r="A108" s="26" t="str">
        <f aca="false">Entities!$A$19</f>
        <v>IQ</v>
      </c>
      <c r="B108" s="12" t="str">
        <f aca="false">INDEX(Entities!$B$5:$B$34,MATCH(A108,Entities!$A$5:$A$34,0))</f>
        <v>Arab Bank Iraq</v>
      </c>
      <c r="C108" s="12" t="str">
        <f aca="false">INDEX(Entities!$D$5:$D$34,MATCH(A108,Entities!$A$5:$A$34,0))</f>
        <v>Iraq and Yemen</v>
      </c>
      <c r="D108" s="12" t="s">
        <v>251</v>
      </c>
      <c r="E108" s="12" t="str">
        <f aca="false">INDEX('Risk Taxonomy'!$B$5:$B$24,MATCH(D108,'Risk Taxonomy'!$A$5:$A$24,0))</f>
        <v>Fraud</v>
      </c>
      <c r="F108" s="28" t="n">
        <f aca="false">IFERROR(SUMPRODUCT((Indicators!$B$5:$B$35=F$4)*Indicators!$P$5:$P$35*'Indicator Scores'!$R$5:$R$35)/SUMPRODUCT((Indicators!$B$5:$B$35=F$4)*Indicators!$P$5:$P$35*('Indicator Scores'!$R$5:$R$35&gt;0)),0)</f>
        <v>3</v>
      </c>
      <c r="G108" s="28" t="n">
        <f aca="false">IFERROR(SUMPRODUCT((Indicators!$B$5:$B$35=G$4)*Indicators!$P$5:$P$35*'Indicator Scores'!$R$5:$R$35)/SUMPRODUCT((Indicators!$B$5:$B$35=G$4)*Indicators!$P$5:$P$35*('Indicator Scores'!$R$5:$R$35&gt;0)),0)</f>
        <v>4</v>
      </c>
      <c r="H108" s="28" t="n">
        <f aca="false">IFERROR(SUMPRODUCT((Indicators!$B$5:$B$35=H$4)*Indicators!$P$5:$P$35*'Indicator Scores'!$R$5:$R$35)/SUMPRODUCT((Indicators!$B$5:$B$35=H$4)*Indicators!$P$5:$P$35*('Indicator Scores'!$R$5:$R$35&gt;0)),0)</f>
        <v>4.4</v>
      </c>
      <c r="I108" s="28" t="n">
        <f aca="false">IFERROR(SUMPRODUCT((Indicators!$B$5:$B$35=I$4)*Indicators!$P$5:$P$35*'Indicator Scores'!$R$5:$R$35)/SUMPRODUCT((Indicators!$B$5:$B$35=I$4)*Indicators!$P$5:$P$35*('Indicator Scores'!$R$5:$R$35&gt;0)),0)</f>
        <v>4</v>
      </c>
      <c r="J108" s="28" t="n">
        <f aca="false">IFERROR(SUMPRODUCT((Indicators!$B$5:$B$35=J$4)*Indicators!$P$5:$P$35*'Indicator Scores'!$R$5:$R$35)/SUMPRODUCT((Indicators!$B$5:$B$35=J$4)*Indicators!$P$5:$P$35*('Indicator Scores'!$R$5:$R$35&gt;0)),0)</f>
        <v>4.4</v>
      </c>
      <c r="K108" s="28" t="n">
        <f aca="false">IFERROR(SUMPRODUCT(F108:J108,INDEX('Factor Weights'!$C$5:$G$11,MATCH(D108,'Factor Weights'!$A$5:$A$11,0),0))/SUMPRODUCT((F108:J108&gt;0)*INDEX('Factor Weights'!$C$5:$G$11,MATCH(D108,'Factor Weights'!$A$5:$A$11,0),0)),0)</f>
        <v>3.96</v>
      </c>
      <c r="L108" s="29" t="n">
        <f aca="false">MAX(F108:J108)</f>
        <v>4.4</v>
      </c>
      <c r="M108" s="28" t="n">
        <f aca="false">IF(L108&gt;=Config!$C$13,MAX(K108,Config!$C$14),K108)</f>
        <v>3.96</v>
      </c>
      <c r="N108" s="30" t="n">
        <f aca="false">IF(Config!$C$12="Weighted average",K108,IF(Config!$C$12="Weighted with floor",M108,L108))</f>
        <v>3.96</v>
      </c>
      <c r="O108" s="31" t="n">
        <f aca="false">IF(N108&lt;Config!$D$5,"",MATCH(N108,Config!$D$5:$D$9,1))</f>
        <v>4</v>
      </c>
      <c r="P108" s="7" t="str">
        <f aca="false">IF(O108="","No data",INDEX(Config!$B$5:$B$9,O108))</f>
        <v>Medium-High</v>
      </c>
      <c r="Q108" s="32" t="n">
        <v>0</v>
      </c>
      <c r="R108" s="8"/>
      <c r="S108" s="33"/>
      <c r="T108" s="34" t="n">
        <f aca="false">IF(O108="","",IF(AND(S108="Y",Q108&lt;&gt;0),MAX(1,MIN(5,O108+MAX(-Config!$C$27,MIN(Config!$C$27,Q108)))),O108))</f>
        <v>4</v>
      </c>
      <c r="U108" s="35" t="str">
        <f aca="false">IF(T108="","No data",INDEX(Config!$B$5:$B$9,T108))</f>
        <v>Medium-High</v>
      </c>
      <c r="V108" s="7" t="str">
        <f aca="false">IF(Q108=0,"None",IF(S108="Y","Applied","Pending HO approval"))</f>
        <v>None</v>
      </c>
      <c r="W108" s="36" t="n">
        <f aca="false">SUMPRODUCT((Indicators!$P$5:$P$35&gt;0)*('Indicator Data'!$R$5:$R$35&lt;&gt;""))/SUMPRODUCT(--(Indicators!$P$5:$P$35&gt;0))</f>
        <v>1</v>
      </c>
    </row>
    <row r="109" customFormat="false" ht="15" hidden="false" customHeight="false" outlineLevel="0" collapsed="false">
      <c r="A109" s="26" t="str">
        <f aca="false">Entities!$A$19</f>
        <v>IQ</v>
      </c>
      <c r="B109" s="12" t="str">
        <f aca="false">INDEX(Entities!$B$5:$B$34,MATCH(A109,Entities!$A$5:$A$34,0))</f>
        <v>Arab Bank Iraq</v>
      </c>
      <c r="C109" s="12" t="str">
        <f aca="false">INDEX(Entities!$D$5:$D$34,MATCH(A109,Entities!$A$5:$A$34,0))</f>
        <v>Iraq and Yemen</v>
      </c>
      <c r="D109" s="12" t="s">
        <v>254</v>
      </c>
      <c r="E109" s="12" t="str">
        <f aca="false">INDEX('Risk Taxonomy'!$B$5:$B$24,MATCH(D109,'Risk Taxonomy'!$A$5:$A$24,0))</f>
        <v>Tax evasion and tax transparency</v>
      </c>
      <c r="F109" s="28" t="n">
        <f aca="false">IFERROR(SUMPRODUCT((Indicators!$B$5:$B$35=F$4)*Indicators!$Q$5:$Q$35*'Indicator Scores'!$R$5:$R$35)/SUMPRODUCT((Indicators!$B$5:$B$35=F$4)*Indicators!$Q$5:$Q$35*('Indicator Scores'!$R$5:$R$35&gt;0)),0)</f>
        <v>3</v>
      </c>
      <c r="G109" s="28" t="n">
        <f aca="false">IFERROR(SUMPRODUCT((Indicators!$B$5:$B$35=G$4)*Indicators!$Q$5:$Q$35*'Indicator Scores'!$R$5:$R$35)/SUMPRODUCT((Indicators!$B$5:$B$35=G$4)*Indicators!$Q$5:$Q$35*('Indicator Scores'!$R$5:$R$35&gt;0)),0)</f>
        <v>4.16666666666667</v>
      </c>
      <c r="H109" s="28" t="n">
        <f aca="false">IFERROR(SUMPRODUCT((Indicators!$B$5:$B$35=H$4)*Indicators!$Q$5:$Q$35*'Indicator Scores'!$R$5:$R$35)/SUMPRODUCT((Indicators!$B$5:$B$35=H$4)*Indicators!$Q$5:$Q$35*('Indicator Scores'!$R$5:$R$35&gt;0)),0)</f>
        <v>4</v>
      </c>
      <c r="I109" s="28" t="n">
        <f aca="false">IFERROR(SUMPRODUCT((Indicators!$B$5:$B$35=I$4)*Indicators!$Q$5:$Q$35*'Indicator Scores'!$R$5:$R$35)/SUMPRODUCT((Indicators!$B$5:$B$35=I$4)*Indicators!$Q$5:$Q$35*('Indicator Scores'!$R$5:$R$35&gt;0)),0)</f>
        <v>4</v>
      </c>
      <c r="J109" s="28" t="n">
        <f aca="false">IFERROR(SUMPRODUCT((Indicators!$B$5:$B$35=J$4)*Indicators!$Q$5:$Q$35*'Indicator Scores'!$R$5:$R$35)/SUMPRODUCT((Indicators!$B$5:$B$35=J$4)*Indicators!$Q$5:$Q$35*('Indicator Scores'!$R$5:$R$35&gt;0)),0)</f>
        <v>4.4</v>
      </c>
      <c r="K109" s="28" t="n">
        <f aca="false">IFERROR(SUMPRODUCT(F109:J109,INDEX('Factor Weights'!$C$5:$G$11,MATCH(D109,'Factor Weights'!$A$5:$A$11,0),0))/SUMPRODUCT((F109:J109&gt;0)*INDEX('Factor Weights'!$C$5:$G$11,MATCH(D109,'Factor Weights'!$A$5:$A$11,0),0)),0)</f>
        <v>3.73166666666667</v>
      </c>
      <c r="L109" s="29" t="n">
        <f aca="false">MAX(F109:J109)</f>
        <v>4.4</v>
      </c>
      <c r="M109" s="28" t="n">
        <f aca="false">IF(L109&gt;=Config!$C$13,MAX(K109,Config!$C$14),K109)</f>
        <v>3.73166666666667</v>
      </c>
      <c r="N109" s="30" t="n">
        <f aca="false">IF(Config!$C$12="Weighted average",K109,IF(Config!$C$12="Weighted with floor",M109,L109))</f>
        <v>3.73166666666667</v>
      </c>
      <c r="O109" s="31" t="n">
        <f aca="false">IF(N109&lt;Config!$D$5,"",MATCH(N109,Config!$D$5:$D$9,1))</f>
        <v>4</v>
      </c>
      <c r="P109" s="7" t="str">
        <f aca="false">IF(O109="","No data",INDEX(Config!$B$5:$B$9,O109))</f>
        <v>Medium-High</v>
      </c>
      <c r="Q109" s="32" t="n">
        <v>0</v>
      </c>
      <c r="R109" s="8"/>
      <c r="S109" s="33"/>
      <c r="T109" s="34" t="n">
        <f aca="false">IF(O109="","",IF(AND(S109="Y",Q109&lt;&gt;0),MAX(1,MIN(5,O109+MAX(-Config!$C$27,MIN(Config!$C$27,Q109)))),O109))</f>
        <v>4</v>
      </c>
      <c r="U109" s="35" t="str">
        <f aca="false">IF(T109="","No data",INDEX(Config!$B$5:$B$9,T109))</f>
        <v>Medium-High</v>
      </c>
      <c r="V109" s="7" t="str">
        <f aca="false">IF(Q109=0,"None",IF(S109="Y","Applied","Pending HO approval"))</f>
        <v>None</v>
      </c>
      <c r="W109" s="36" t="n">
        <f aca="false">SUMPRODUCT((Indicators!$Q$5:$Q$35&gt;0)*('Indicator Data'!$R$5:$R$35&lt;&gt;""))/SUMPRODUCT(--(Indicators!$Q$5:$Q$35&gt;0))</f>
        <v>1</v>
      </c>
    </row>
    <row r="110" customFormat="false" ht="15" hidden="false" customHeight="false" outlineLevel="0" collapsed="false">
      <c r="A110" s="26" t="str">
        <f aca="false">Entities!$A$20</f>
        <v>YE</v>
      </c>
      <c r="B110" s="12" t="str">
        <f aca="false">INDEX(Entities!$B$5:$B$34,MATCH(A110,Entities!$A$5:$A$34,0))</f>
        <v>Arab Bank – Yemen</v>
      </c>
      <c r="C110" s="12" t="str">
        <f aca="false">INDEX(Entities!$D$5:$D$34,MATCH(A110,Entities!$A$5:$A$34,0))</f>
        <v>Iraq and Yemen</v>
      </c>
      <c r="D110" s="12" t="s">
        <v>233</v>
      </c>
      <c r="E110" s="12" t="str">
        <f aca="false">INDEX('Risk Taxonomy'!$B$5:$B$24,MATCH(D110,'Risk Taxonomy'!$A$5:$A$24,0))</f>
        <v>Money laundering</v>
      </c>
      <c r="F110" s="28" t="n">
        <f aca="false">IFERROR(SUMPRODUCT((Indicators!$B$5:$B$35=F$4)*Indicators!$K$5:$K$35*'Indicator Scores'!$S$5:$S$35)/SUMPRODUCT((Indicators!$B$5:$B$35=F$4)*Indicators!$K$5:$K$35*('Indicator Scores'!$S$5:$S$35&gt;0)),0)</f>
        <v>4.08333333333333</v>
      </c>
      <c r="G110" s="28" t="n">
        <f aca="false">IFERROR(SUMPRODUCT((Indicators!$B$5:$B$35=G$4)*Indicators!$K$5:$K$35*'Indicator Scores'!$S$5:$S$35)/SUMPRODUCT((Indicators!$B$5:$B$35=G$4)*Indicators!$K$5:$K$35*('Indicator Scores'!$S$5:$S$35&gt;0)),0)</f>
        <v>4</v>
      </c>
      <c r="H110" s="28" t="n">
        <f aca="false">IFERROR(SUMPRODUCT((Indicators!$B$5:$B$35=H$4)*Indicators!$K$5:$K$35*'Indicator Scores'!$S$5:$S$35)/SUMPRODUCT((Indicators!$B$5:$B$35=H$4)*Indicators!$K$5:$K$35*('Indicator Scores'!$S$5:$S$35&gt;0)),0)</f>
        <v>4.3</v>
      </c>
      <c r="I110" s="28" t="n">
        <f aca="false">IFERROR(SUMPRODUCT((Indicators!$B$5:$B$35=I$4)*Indicators!$K$5:$K$35*'Indicator Scores'!$S$5:$S$35)/SUMPRODUCT((Indicators!$B$5:$B$35=I$4)*Indicators!$K$5:$K$35*('Indicator Scores'!$S$5:$S$35&gt;0)),0)</f>
        <v>4</v>
      </c>
      <c r="J110" s="28" t="n">
        <f aca="false">IFERROR(SUMPRODUCT((Indicators!$B$5:$B$35=J$4)*Indicators!$K$5:$K$35*'Indicator Scores'!$S$5:$S$35)/SUMPRODUCT((Indicators!$B$5:$B$35=J$4)*Indicators!$K$5:$K$35*('Indicator Scores'!$S$5:$S$35&gt;0)),0)</f>
        <v>4</v>
      </c>
      <c r="K110" s="28" t="n">
        <f aca="false">IFERROR(SUMPRODUCT(F110:J110,INDEX('Factor Weights'!$C$5:$G$11,MATCH(D110,'Factor Weights'!$A$5:$A$11,0),0))/SUMPRODUCT((F110:J110&gt;0)*INDEX('Factor Weights'!$C$5:$G$11,MATCH(D110,'Factor Weights'!$A$5:$A$11,0),0)),0)</f>
        <v>4.085</v>
      </c>
      <c r="L110" s="29" t="n">
        <f aca="false">MAX(F110:J110)</f>
        <v>4.3</v>
      </c>
      <c r="M110" s="28" t="n">
        <f aca="false">IF(L110&gt;=Config!$C$13,MAX(K110,Config!$C$14),K110)</f>
        <v>4.085</v>
      </c>
      <c r="N110" s="30" t="n">
        <f aca="false">IF(Config!$C$12="Weighted average",K110,IF(Config!$C$12="Weighted with floor",M110,L110))</f>
        <v>4.085</v>
      </c>
      <c r="O110" s="31" t="n">
        <f aca="false">IF(N110&lt;Config!$D$5,"",MATCH(N110,Config!$D$5:$D$9,1))</f>
        <v>4</v>
      </c>
      <c r="P110" s="7" t="str">
        <f aca="false">IF(O110="","No data",INDEX(Config!$B$5:$B$9,O110))</f>
        <v>Medium-High</v>
      </c>
      <c r="Q110" s="32" t="n">
        <v>0</v>
      </c>
      <c r="R110" s="8"/>
      <c r="S110" s="33"/>
      <c r="T110" s="34" t="n">
        <f aca="false">IF(O110="","",IF(AND(S110="Y",Q110&lt;&gt;0),MAX(1,MIN(5,O110+MAX(-Config!$C$27,MIN(Config!$C$27,Q110)))),O110))</f>
        <v>4</v>
      </c>
      <c r="U110" s="35" t="str">
        <f aca="false">IF(T110="","No data",INDEX(Config!$B$5:$B$9,T110))</f>
        <v>Medium-High</v>
      </c>
      <c r="V110" s="7" t="str">
        <f aca="false">IF(Q110=0,"None",IF(S110="Y","Applied","Pending HO approval"))</f>
        <v>None</v>
      </c>
      <c r="W110" s="36" t="n">
        <f aca="false">SUMPRODUCT((Indicators!$K$5:$K$35&gt;0)*('Indicator Data'!$S$5:$S$35&lt;&gt;""))/SUMPRODUCT(--(Indicators!$K$5:$K$35&gt;0))</f>
        <v>1</v>
      </c>
    </row>
    <row r="111" customFormat="false" ht="15" hidden="false" customHeight="false" outlineLevel="0" collapsed="false">
      <c r="A111" s="26" t="str">
        <f aca="false">Entities!$A$20</f>
        <v>YE</v>
      </c>
      <c r="B111" s="12" t="str">
        <f aca="false">INDEX(Entities!$B$5:$B$34,MATCH(A111,Entities!$A$5:$A$34,0))</f>
        <v>Arab Bank – Yemen</v>
      </c>
      <c r="C111" s="12" t="str">
        <f aca="false">INDEX(Entities!$D$5:$D$34,MATCH(A111,Entities!$A$5:$A$34,0))</f>
        <v>Iraq and Yemen</v>
      </c>
      <c r="D111" s="12" t="s">
        <v>240</v>
      </c>
      <c r="E111" s="12" t="str">
        <f aca="false">INDEX('Risk Taxonomy'!$B$5:$B$24,MATCH(D111,'Risk Taxonomy'!$A$5:$A$24,0))</f>
        <v>Terrorist financing</v>
      </c>
      <c r="F111" s="28" t="n">
        <f aca="false">IFERROR(SUMPRODUCT((Indicators!$B$5:$B$35=F$4)*Indicators!$L$5:$L$35*'Indicator Scores'!$S$5:$S$35)/SUMPRODUCT((Indicators!$B$5:$B$35=F$4)*Indicators!$L$5:$L$35*('Indicator Scores'!$S$5:$S$35&gt;0)),0)</f>
        <v>3.8</v>
      </c>
      <c r="G111" s="28" t="n">
        <f aca="false">IFERROR(SUMPRODUCT((Indicators!$B$5:$B$35=G$4)*Indicators!$L$5:$L$35*'Indicator Scores'!$S$5:$S$35)/SUMPRODUCT((Indicators!$B$5:$B$35=G$4)*Indicators!$L$5:$L$35*('Indicator Scores'!$S$5:$S$35&gt;0)),0)</f>
        <v>4</v>
      </c>
      <c r="H111" s="28" t="n">
        <f aca="false">IFERROR(SUMPRODUCT((Indicators!$B$5:$B$35=H$4)*Indicators!$L$5:$L$35*'Indicator Scores'!$S$5:$S$35)/SUMPRODUCT((Indicators!$B$5:$B$35=H$4)*Indicators!$L$5:$L$35*('Indicator Scores'!$S$5:$S$35&gt;0)),0)</f>
        <v>4.66666666666667</v>
      </c>
      <c r="I111" s="28" t="n">
        <f aca="false">IFERROR(SUMPRODUCT((Indicators!$B$5:$B$35=I$4)*Indicators!$L$5:$L$35*'Indicator Scores'!$S$5:$S$35)/SUMPRODUCT((Indicators!$B$5:$B$35=I$4)*Indicators!$L$5:$L$35*('Indicator Scores'!$S$5:$S$35&gt;0)),0)</f>
        <v>4</v>
      </c>
      <c r="J111" s="28" t="n">
        <f aca="false">IFERROR(SUMPRODUCT((Indicators!$B$5:$B$35=J$4)*Indicators!$L$5:$L$35*'Indicator Scores'!$S$5:$S$35)/SUMPRODUCT((Indicators!$B$5:$B$35=J$4)*Indicators!$L$5:$L$35*('Indicator Scores'!$S$5:$S$35&gt;0)),0)</f>
        <v>3.85714285714286</v>
      </c>
      <c r="K111" s="28" t="n">
        <f aca="false">IFERROR(SUMPRODUCT(F111:J111,INDEX('Factor Weights'!$C$5:$G$11,MATCH(D111,'Factor Weights'!$A$5:$A$11,0),0))/SUMPRODUCT((F111:J111&gt;0)*INDEX('Factor Weights'!$C$5:$G$11,MATCH(D111,'Factor Weights'!$A$5:$A$11,0),0)),0)</f>
        <v>4.02142857142857</v>
      </c>
      <c r="L111" s="29" t="n">
        <f aca="false">MAX(F111:J111)</f>
        <v>4.66666666666667</v>
      </c>
      <c r="M111" s="28" t="n">
        <f aca="false">IF(L111&gt;=Config!$C$13,MAX(K111,Config!$C$14),K111)</f>
        <v>4.02142857142857</v>
      </c>
      <c r="N111" s="30" t="n">
        <f aca="false">IF(Config!$C$12="Weighted average",K111,IF(Config!$C$12="Weighted with floor",M111,L111))</f>
        <v>4.02142857142857</v>
      </c>
      <c r="O111" s="31" t="n">
        <f aca="false">IF(N111&lt;Config!$D$5,"",MATCH(N111,Config!$D$5:$D$9,1))</f>
        <v>4</v>
      </c>
      <c r="P111" s="7" t="str">
        <f aca="false">IF(O111="","No data",INDEX(Config!$B$5:$B$9,O111))</f>
        <v>Medium-High</v>
      </c>
      <c r="Q111" s="32" t="n">
        <v>0</v>
      </c>
      <c r="R111" s="8"/>
      <c r="S111" s="33"/>
      <c r="T111" s="34" t="n">
        <f aca="false">IF(O111="","",IF(AND(S111="Y",Q111&lt;&gt;0),MAX(1,MIN(5,O111+MAX(-Config!$C$27,MIN(Config!$C$27,Q111)))),O111))</f>
        <v>4</v>
      </c>
      <c r="U111" s="35" t="str">
        <f aca="false">IF(T111="","No data",INDEX(Config!$B$5:$B$9,T111))</f>
        <v>Medium-High</v>
      </c>
      <c r="V111" s="7" t="str">
        <f aca="false">IF(Q111=0,"None",IF(S111="Y","Applied","Pending HO approval"))</f>
        <v>None</v>
      </c>
      <c r="W111" s="36" t="n">
        <f aca="false">SUMPRODUCT((Indicators!$L$5:$L$35&gt;0)*('Indicator Data'!$S$5:$S$35&lt;&gt;""))/SUMPRODUCT(--(Indicators!$L$5:$L$35&gt;0))</f>
        <v>1</v>
      </c>
    </row>
    <row r="112" customFormat="false" ht="15" hidden="false" customHeight="false" outlineLevel="0" collapsed="false">
      <c r="A112" s="26" t="str">
        <f aca="false">Entities!$A$20</f>
        <v>YE</v>
      </c>
      <c r="B112" s="12" t="str">
        <f aca="false">INDEX(Entities!$B$5:$B$34,MATCH(A112,Entities!$A$5:$A$34,0))</f>
        <v>Arab Bank – Yemen</v>
      </c>
      <c r="C112" s="12" t="str">
        <f aca="false">INDEX(Entities!$D$5:$D$34,MATCH(A112,Entities!$A$5:$A$34,0))</f>
        <v>Iraq and Yemen</v>
      </c>
      <c r="D112" s="12" t="s">
        <v>243</v>
      </c>
      <c r="E112" s="12" t="str">
        <f aca="false">INDEX('Risk Taxonomy'!$B$5:$B$24,MATCH(D112,'Risk Taxonomy'!$A$5:$A$24,0))</f>
        <v>Proliferation financing</v>
      </c>
      <c r="F112" s="28" t="n">
        <f aca="false">IFERROR(SUMPRODUCT((Indicators!$B$5:$B$35=F$4)*Indicators!$M$5:$M$35*'Indicator Scores'!$S$5:$S$35)/SUMPRODUCT((Indicators!$B$5:$B$35=F$4)*Indicators!$M$5:$M$35*('Indicator Scores'!$S$5:$S$35&gt;0)),0)</f>
        <v>3.5</v>
      </c>
      <c r="G112" s="28" t="n">
        <f aca="false">IFERROR(SUMPRODUCT((Indicators!$B$5:$B$35=G$4)*Indicators!$M$5:$M$35*'Indicator Scores'!$S$5:$S$35)/SUMPRODUCT((Indicators!$B$5:$B$35=G$4)*Indicators!$M$5:$M$35*('Indicator Scores'!$S$5:$S$35&gt;0)),0)</f>
        <v>4.125</v>
      </c>
      <c r="H112" s="28" t="n">
        <f aca="false">IFERROR(SUMPRODUCT((Indicators!$B$5:$B$35=H$4)*Indicators!$M$5:$M$35*'Indicator Scores'!$S$5:$S$35)/SUMPRODUCT((Indicators!$B$5:$B$35=H$4)*Indicators!$M$5:$M$35*('Indicator Scores'!$S$5:$S$35&gt;0)),0)</f>
        <v>4.22222222222222</v>
      </c>
      <c r="I112" s="28" t="n">
        <f aca="false">IFERROR(SUMPRODUCT((Indicators!$B$5:$B$35=I$4)*Indicators!$M$5:$M$35*'Indicator Scores'!$S$5:$S$35)/SUMPRODUCT((Indicators!$B$5:$B$35=I$4)*Indicators!$M$5:$M$35*('Indicator Scores'!$S$5:$S$35&gt;0)),0)</f>
        <v>4.33333333333333</v>
      </c>
      <c r="J112" s="28" t="n">
        <f aca="false">IFERROR(SUMPRODUCT((Indicators!$B$5:$B$35=J$4)*Indicators!$M$5:$M$35*'Indicator Scores'!$S$5:$S$35)/SUMPRODUCT((Indicators!$B$5:$B$35=J$4)*Indicators!$M$5:$M$35*('Indicator Scores'!$S$5:$S$35&gt;0)),0)</f>
        <v>3.5</v>
      </c>
      <c r="K112" s="28" t="n">
        <f aca="false">IFERROR(SUMPRODUCT(F112:J112,INDEX('Factor Weights'!$C$5:$G$11,MATCH(D112,'Factor Weights'!$A$5:$A$11,0),0))/SUMPRODUCT((F112:J112&gt;0)*INDEX('Factor Weights'!$C$5:$G$11,MATCH(D112,'Factor Weights'!$A$5:$A$11,0),0)),0)</f>
        <v>3.94583333333333</v>
      </c>
      <c r="L112" s="29" t="n">
        <f aca="false">MAX(F112:J112)</f>
        <v>4.33333333333333</v>
      </c>
      <c r="M112" s="28" t="n">
        <f aca="false">IF(L112&gt;=Config!$C$13,MAX(K112,Config!$C$14),K112)</f>
        <v>3.94583333333333</v>
      </c>
      <c r="N112" s="30" t="n">
        <f aca="false">IF(Config!$C$12="Weighted average",K112,IF(Config!$C$12="Weighted with floor",M112,L112))</f>
        <v>3.94583333333333</v>
      </c>
      <c r="O112" s="31" t="n">
        <f aca="false">IF(N112&lt;Config!$D$5,"",MATCH(N112,Config!$D$5:$D$9,1))</f>
        <v>4</v>
      </c>
      <c r="P112" s="7" t="str">
        <f aca="false">IF(O112="","No data",INDEX(Config!$B$5:$B$9,O112))</f>
        <v>Medium-High</v>
      </c>
      <c r="Q112" s="32" t="n">
        <v>0</v>
      </c>
      <c r="R112" s="8"/>
      <c r="S112" s="33"/>
      <c r="T112" s="34" t="n">
        <f aca="false">IF(O112="","",IF(AND(S112="Y",Q112&lt;&gt;0),MAX(1,MIN(5,O112+MAX(-Config!$C$27,MIN(Config!$C$27,Q112)))),O112))</f>
        <v>4</v>
      </c>
      <c r="U112" s="35" t="str">
        <f aca="false">IF(T112="","No data",INDEX(Config!$B$5:$B$9,T112))</f>
        <v>Medium-High</v>
      </c>
      <c r="V112" s="7" t="str">
        <f aca="false">IF(Q112=0,"None",IF(S112="Y","Applied","Pending HO approval"))</f>
        <v>None</v>
      </c>
      <c r="W112" s="36" t="n">
        <f aca="false">SUMPRODUCT((Indicators!$M$5:$M$35&gt;0)*('Indicator Data'!$S$5:$S$35&lt;&gt;""))/SUMPRODUCT(--(Indicators!$M$5:$M$35&gt;0))</f>
        <v>1</v>
      </c>
    </row>
    <row r="113" customFormat="false" ht="15" hidden="false" customHeight="false" outlineLevel="0" collapsed="false">
      <c r="A113" s="26" t="str">
        <f aca="false">Entities!$A$20</f>
        <v>YE</v>
      </c>
      <c r="B113" s="12" t="str">
        <f aca="false">INDEX(Entities!$B$5:$B$34,MATCH(A113,Entities!$A$5:$A$34,0))</f>
        <v>Arab Bank – Yemen</v>
      </c>
      <c r="C113" s="12" t="str">
        <f aca="false">INDEX(Entities!$D$5:$D$34,MATCH(A113,Entities!$A$5:$A$34,0))</f>
        <v>Iraq and Yemen</v>
      </c>
      <c r="D113" s="12" t="s">
        <v>245</v>
      </c>
      <c r="E113" s="12" t="str">
        <f aca="false">INDEX('Risk Taxonomy'!$B$5:$B$24,MATCH(D113,'Risk Taxonomy'!$A$5:$A$24,0))</f>
        <v>Sanctions</v>
      </c>
      <c r="F113" s="28" t="n">
        <f aca="false">IFERROR(SUMPRODUCT((Indicators!$B$5:$B$35=F$4)*Indicators!$N$5:$N$35*'Indicator Scores'!$S$5:$S$35)/SUMPRODUCT((Indicators!$B$5:$B$35=F$4)*Indicators!$N$5:$N$35*('Indicator Scores'!$S$5:$S$35&gt;0)),0)</f>
        <v>3.85714285714286</v>
      </c>
      <c r="G113" s="28" t="n">
        <f aca="false">IFERROR(SUMPRODUCT((Indicators!$B$5:$B$35=G$4)*Indicators!$N$5:$N$35*'Indicator Scores'!$S$5:$S$35)/SUMPRODUCT((Indicators!$B$5:$B$35=G$4)*Indicators!$N$5:$N$35*('Indicator Scores'!$S$5:$S$35&gt;0)),0)</f>
        <v>4.28571428571429</v>
      </c>
      <c r="H113" s="28" t="n">
        <f aca="false">IFERROR(SUMPRODUCT((Indicators!$B$5:$B$35=H$4)*Indicators!$N$5:$N$35*'Indicator Scores'!$S$5:$S$35)/SUMPRODUCT((Indicators!$B$5:$B$35=H$4)*Indicators!$N$5:$N$35*('Indicator Scores'!$S$5:$S$35&gt;0)),0)</f>
        <v>4.25</v>
      </c>
      <c r="I113" s="28" t="n">
        <f aca="false">IFERROR(SUMPRODUCT((Indicators!$B$5:$B$35=I$4)*Indicators!$N$5:$N$35*'Indicator Scores'!$S$5:$S$35)/SUMPRODUCT((Indicators!$B$5:$B$35=I$4)*Indicators!$N$5:$N$35*('Indicator Scores'!$S$5:$S$35&gt;0)),0)</f>
        <v>3.66666666666667</v>
      </c>
      <c r="J113" s="28" t="n">
        <f aca="false">IFERROR(SUMPRODUCT((Indicators!$B$5:$B$35=J$4)*Indicators!$N$5:$N$35*'Indicator Scores'!$S$5:$S$35)/SUMPRODUCT((Indicators!$B$5:$B$35=J$4)*Indicators!$N$5:$N$35*('Indicator Scores'!$S$5:$S$35&gt;0)),0)</f>
        <v>3.4</v>
      </c>
      <c r="K113" s="28" t="n">
        <f aca="false">IFERROR(SUMPRODUCT(F113:J113,INDEX('Factor Weights'!$C$5:$G$11,MATCH(D113,'Factor Weights'!$A$5:$A$11,0),0))/SUMPRODUCT((F113:J113&gt;0)*INDEX('Factor Weights'!$C$5:$G$11,MATCH(D113,'Factor Weights'!$A$5:$A$11,0),0)),0)</f>
        <v>4.00619047619048</v>
      </c>
      <c r="L113" s="29" t="n">
        <f aca="false">MAX(F113:J113)</f>
        <v>4.28571428571429</v>
      </c>
      <c r="M113" s="28" t="n">
        <f aca="false">IF(L113&gt;=Config!$C$13,MAX(K113,Config!$C$14),K113)</f>
        <v>4.00619047619048</v>
      </c>
      <c r="N113" s="30" t="n">
        <f aca="false">IF(Config!$C$12="Weighted average",K113,IF(Config!$C$12="Weighted with floor",M113,L113))</f>
        <v>4.00619047619048</v>
      </c>
      <c r="O113" s="31" t="n">
        <f aca="false">IF(N113&lt;Config!$D$5,"",MATCH(N113,Config!$D$5:$D$9,1))</f>
        <v>4</v>
      </c>
      <c r="P113" s="7" t="str">
        <f aca="false">IF(O113="","No data",INDEX(Config!$B$5:$B$9,O113))</f>
        <v>Medium-High</v>
      </c>
      <c r="Q113" s="32" t="n">
        <v>0</v>
      </c>
      <c r="R113" s="8"/>
      <c r="S113" s="33"/>
      <c r="T113" s="34" t="n">
        <f aca="false">IF(O113="","",IF(AND(S113="Y",Q113&lt;&gt;0),MAX(1,MIN(5,O113+MAX(-Config!$C$27,MIN(Config!$C$27,Q113)))),O113))</f>
        <v>4</v>
      </c>
      <c r="U113" s="35" t="str">
        <f aca="false">IF(T113="","No data",INDEX(Config!$B$5:$B$9,T113))</f>
        <v>Medium-High</v>
      </c>
      <c r="V113" s="7" t="str">
        <f aca="false">IF(Q113=0,"None",IF(S113="Y","Applied","Pending HO approval"))</f>
        <v>None</v>
      </c>
      <c r="W113" s="36" t="n">
        <f aca="false">SUMPRODUCT((Indicators!$N$5:$N$35&gt;0)*('Indicator Data'!$S$5:$S$35&lt;&gt;""))/SUMPRODUCT(--(Indicators!$N$5:$N$35&gt;0))</f>
        <v>1</v>
      </c>
    </row>
    <row r="114" customFormat="false" ht="15" hidden="false" customHeight="false" outlineLevel="0" collapsed="false">
      <c r="A114" s="26" t="str">
        <f aca="false">Entities!$A$20</f>
        <v>YE</v>
      </c>
      <c r="B114" s="12" t="str">
        <f aca="false">INDEX(Entities!$B$5:$B$34,MATCH(A114,Entities!$A$5:$A$34,0))</f>
        <v>Arab Bank – Yemen</v>
      </c>
      <c r="C114" s="12" t="str">
        <f aca="false">INDEX(Entities!$D$5:$D$34,MATCH(A114,Entities!$A$5:$A$34,0))</f>
        <v>Iraq and Yemen</v>
      </c>
      <c r="D114" s="12" t="s">
        <v>248</v>
      </c>
      <c r="E114" s="12" t="str">
        <f aca="false">INDEX('Risk Taxonomy'!$B$5:$B$24,MATCH(D114,'Risk Taxonomy'!$A$5:$A$24,0))</f>
        <v>Bribery and corruption</v>
      </c>
      <c r="F114" s="28" t="n">
        <f aca="false">IFERROR(SUMPRODUCT((Indicators!$B$5:$B$35=F$4)*Indicators!$O$5:$O$35*'Indicator Scores'!$S$5:$S$35)/SUMPRODUCT((Indicators!$B$5:$B$35=F$4)*Indicators!$O$5:$O$35*('Indicator Scores'!$S$5:$S$35&gt;0)),0)</f>
        <v>4.11111111111111</v>
      </c>
      <c r="G114" s="28" t="n">
        <f aca="false">IFERROR(SUMPRODUCT((Indicators!$B$5:$B$35=G$4)*Indicators!$O$5:$O$35*'Indicator Scores'!$S$5:$S$35)/SUMPRODUCT((Indicators!$B$5:$B$35=G$4)*Indicators!$O$5:$O$35*('Indicator Scores'!$S$5:$S$35&gt;0)),0)</f>
        <v>4</v>
      </c>
      <c r="H114" s="28" t="n">
        <f aca="false">IFERROR(SUMPRODUCT((Indicators!$B$5:$B$35=H$4)*Indicators!$O$5:$O$35*'Indicator Scores'!$S$5:$S$35)/SUMPRODUCT((Indicators!$B$5:$B$35=H$4)*Indicators!$O$5:$O$35*('Indicator Scores'!$S$5:$S$35&gt;0)),0)</f>
        <v>4</v>
      </c>
      <c r="I114" s="28" t="n">
        <f aca="false">IFERROR(SUMPRODUCT((Indicators!$B$5:$B$35=I$4)*Indicators!$O$5:$O$35*'Indicator Scores'!$S$5:$S$35)/SUMPRODUCT((Indicators!$B$5:$B$35=I$4)*Indicators!$O$5:$O$35*('Indicator Scores'!$S$5:$S$35&gt;0)),0)</f>
        <v>4.4</v>
      </c>
      <c r="J114" s="28" t="n">
        <f aca="false">IFERROR(SUMPRODUCT((Indicators!$B$5:$B$35=J$4)*Indicators!$O$5:$O$35*'Indicator Scores'!$S$5:$S$35)/SUMPRODUCT((Indicators!$B$5:$B$35=J$4)*Indicators!$O$5:$O$35*('Indicator Scores'!$S$5:$S$35&gt;0)),0)</f>
        <v>4</v>
      </c>
      <c r="K114" s="28" t="n">
        <f aca="false">IFERROR(SUMPRODUCT(F114:J114,INDEX('Factor Weights'!$C$5:$G$11,MATCH(D114,'Factor Weights'!$A$5:$A$11,0),0))/SUMPRODUCT((F114:J114&gt;0)*INDEX('Factor Weights'!$C$5:$G$11,MATCH(D114,'Factor Weights'!$A$5:$A$11,0),0)),0)</f>
        <v>4.11333333333333</v>
      </c>
      <c r="L114" s="29" t="n">
        <f aca="false">MAX(F114:J114)</f>
        <v>4.4</v>
      </c>
      <c r="M114" s="28" t="n">
        <f aca="false">IF(L114&gt;=Config!$C$13,MAX(K114,Config!$C$14),K114)</f>
        <v>4.11333333333333</v>
      </c>
      <c r="N114" s="30" t="n">
        <f aca="false">IF(Config!$C$12="Weighted average",K114,IF(Config!$C$12="Weighted with floor",M114,L114))</f>
        <v>4.11333333333333</v>
      </c>
      <c r="O114" s="31" t="n">
        <f aca="false">IF(N114&lt;Config!$D$5,"",MATCH(N114,Config!$D$5:$D$9,1))</f>
        <v>4</v>
      </c>
      <c r="P114" s="7" t="str">
        <f aca="false">IF(O114="","No data",INDEX(Config!$B$5:$B$9,O114))</f>
        <v>Medium-High</v>
      </c>
      <c r="Q114" s="32" t="n">
        <v>0</v>
      </c>
      <c r="R114" s="8"/>
      <c r="S114" s="33"/>
      <c r="T114" s="34" t="n">
        <f aca="false">IF(O114="","",IF(AND(S114="Y",Q114&lt;&gt;0),MAX(1,MIN(5,O114+MAX(-Config!$C$27,MIN(Config!$C$27,Q114)))),O114))</f>
        <v>4</v>
      </c>
      <c r="U114" s="35" t="str">
        <f aca="false">IF(T114="","No data",INDEX(Config!$B$5:$B$9,T114))</f>
        <v>Medium-High</v>
      </c>
      <c r="V114" s="7" t="str">
        <f aca="false">IF(Q114=0,"None",IF(S114="Y","Applied","Pending HO approval"))</f>
        <v>None</v>
      </c>
      <c r="W114" s="36" t="n">
        <f aca="false">SUMPRODUCT((Indicators!$O$5:$O$35&gt;0)*('Indicator Data'!$S$5:$S$35&lt;&gt;""))/SUMPRODUCT(--(Indicators!$O$5:$O$35&gt;0))</f>
        <v>1</v>
      </c>
    </row>
    <row r="115" customFormat="false" ht="15" hidden="false" customHeight="false" outlineLevel="0" collapsed="false">
      <c r="A115" s="26" t="str">
        <f aca="false">Entities!$A$20</f>
        <v>YE</v>
      </c>
      <c r="B115" s="12" t="str">
        <f aca="false">INDEX(Entities!$B$5:$B$34,MATCH(A115,Entities!$A$5:$A$34,0))</f>
        <v>Arab Bank – Yemen</v>
      </c>
      <c r="C115" s="12" t="str">
        <f aca="false">INDEX(Entities!$D$5:$D$34,MATCH(A115,Entities!$A$5:$A$34,0))</f>
        <v>Iraq and Yemen</v>
      </c>
      <c r="D115" s="12" t="s">
        <v>251</v>
      </c>
      <c r="E115" s="12" t="str">
        <f aca="false">INDEX('Risk Taxonomy'!$B$5:$B$24,MATCH(D115,'Risk Taxonomy'!$A$5:$A$24,0))</f>
        <v>Fraud</v>
      </c>
      <c r="F115" s="28" t="n">
        <f aca="false">IFERROR(SUMPRODUCT((Indicators!$B$5:$B$35=F$4)*Indicators!$P$5:$P$35*'Indicator Scores'!$S$5:$S$35)/SUMPRODUCT((Indicators!$B$5:$B$35=F$4)*Indicators!$P$5:$P$35*('Indicator Scores'!$S$5:$S$35&gt;0)),0)</f>
        <v>4.33333333333333</v>
      </c>
      <c r="G115" s="28" t="n">
        <f aca="false">IFERROR(SUMPRODUCT((Indicators!$B$5:$B$35=G$4)*Indicators!$P$5:$P$35*'Indicator Scores'!$S$5:$S$35)/SUMPRODUCT((Indicators!$B$5:$B$35=G$4)*Indicators!$P$5:$P$35*('Indicator Scores'!$S$5:$S$35&gt;0)),0)</f>
        <v>4</v>
      </c>
      <c r="H115" s="28" t="n">
        <f aca="false">IFERROR(SUMPRODUCT((Indicators!$B$5:$B$35=H$4)*Indicators!$P$5:$P$35*'Indicator Scores'!$S$5:$S$35)/SUMPRODUCT((Indicators!$B$5:$B$35=H$4)*Indicators!$P$5:$P$35*('Indicator Scores'!$S$5:$S$35&gt;0)),0)</f>
        <v>4.4</v>
      </c>
      <c r="I115" s="28" t="n">
        <f aca="false">IFERROR(SUMPRODUCT((Indicators!$B$5:$B$35=I$4)*Indicators!$P$5:$P$35*'Indicator Scores'!$S$5:$S$35)/SUMPRODUCT((Indicators!$B$5:$B$35=I$4)*Indicators!$P$5:$P$35*('Indicator Scores'!$S$5:$S$35&gt;0)),0)</f>
        <v>3.77777777777778</v>
      </c>
      <c r="J115" s="28" t="n">
        <f aca="false">IFERROR(SUMPRODUCT((Indicators!$B$5:$B$35=J$4)*Indicators!$P$5:$P$35*'Indicator Scores'!$S$5:$S$35)/SUMPRODUCT((Indicators!$B$5:$B$35=J$4)*Indicators!$P$5:$P$35*('Indicator Scores'!$S$5:$S$35&gt;0)),0)</f>
        <v>3.8</v>
      </c>
      <c r="K115" s="28" t="n">
        <f aca="false">IFERROR(SUMPRODUCT(F115:J115,INDEX('Factor Weights'!$C$5:$G$11,MATCH(D115,'Factor Weights'!$A$5:$A$11,0),0))/SUMPRODUCT((F115:J115&gt;0)*INDEX('Factor Weights'!$C$5:$G$11,MATCH(D115,'Factor Weights'!$A$5:$A$11,0),0)),0)</f>
        <v>4.04</v>
      </c>
      <c r="L115" s="29" t="n">
        <f aca="false">MAX(F115:J115)</f>
        <v>4.4</v>
      </c>
      <c r="M115" s="28" t="n">
        <f aca="false">IF(L115&gt;=Config!$C$13,MAX(K115,Config!$C$14),K115)</f>
        <v>4.04</v>
      </c>
      <c r="N115" s="30" t="n">
        <f aca="false">IF(Config!$C$12="Weighted average",K115,IF(Config!$C$12="Weighted with floor",M115,L115))</f>
        <v>4.04</v>
      </c>
      <c r="O115" s="31" t="n">
        <f aca="false">IF(N115&lt;Config!$D$5,"",MATCH(N115,Config!$D$5:$D$9,1))</f>
        <v>4</v>
      </c>
      <c r="P115" s="7" t="str">
        <f aca="false">IF(O115="","No data",INDEX(Config!$B$5:$B$9,O115))</f>
        <v>Medium-High</v>
      </c>
      <c r="Q115" s="32" t="n">
        <v>0</v>
      </c>
      <c r="R115" s="8"/>
      <c r="S115" s="33"/>
      <c r="T115" s="34" t="n">
        <f aca="false">IF(O115="","",IF(AND(S115="Y",Q115&lt;&gt;0),MAX(1,MIN(5,O115+MAX(-Config!$C$27,MIN(Config!$C$27,Q115)))),O115))</f>
        <v>4</v>
      </c>
      <c r="U115" s="35" t="str">
        <f aca="false">IF(T115="","No data",INDEX(Config!$B$5:$B$9,T115))</f>
        <v>Medium-High</v>
      </c>
      <c r="V115" s="7" t="str">
        <f aca="false">IF(Q115=0,"None",IF(S115="Y","Applied","Pending HO approval"))</f>
        <v>None</v>
      </c>
      <c r="W115" s="36" t="n">
        <f aca="false">SUMPRODUCT((Indicators!$P$5:$P$35&gt;0)*('Indicator Data'!$S$5:$S$35&lt;&gt;""))/SUMPRODUCT(--(Indicators!$P$5:$P$35&gt;0))</f>
        <v>1</v>
      </c>
    </row>
    <row r="116" customFormat="false" ht="15" hidden="false" customHeight="false" outlineLevel="0" collapsed="false">
      <c r="A116" s="26" t="str">
        <f aca="false">Entities!$A$20</f>
        <v>YE</v>
      </c>
      <c r="B116" s="12" t="str">
        <f aca="false">INDEX(Entities!$B$5:$B$34,MATCH(A116,Entities!$A$5:$A$34,0))</f>
        <v>Arab Bank – Yemen</v>
      </c>
      <c r="C116" s="12" t="str">
        <f aca="false">INDEX(Entities!$D$5:$D$34,MATCH(A116,Entities!$A$5:$A$34,0))</f>
        <v>Iraq and Yemen</v>
      </c>
      <c r="D116" s="12" t="s">
        <v>254</v>
      </c>
      <c r="E116" s="12" t="str">
        <f aca="false">INDEX('Risk Taxonomy'!$B$5:$B$24,MATCH(D116,'Risk Taxonomy'!$A$5:$A$24,0))</f>
        <v>Tax evasion and tax transparency</v>
      </c>
      <c r="F116" s="28" t="n">
        <f aca="false">IFERROR(SUMPRODUCT((Indicators!$B$5:$B$35=F$4)*Indicators!$Q$5:$Q$35*'Indicator Scores'!$S$5:$S$35)/SUMPRODUCT((Indicators!$B$5:$B$35=F$4)*Indicators!$Q$5:$Q$35*('Indicator Scores'!$S$5:$S$35&gt;0)),0)</f>
        <v>3.88888888888889</v>
      </c>
      <c r="G116" s="28" t="n">
        <f aca="false">IFERROR(SUMPRODUCT((Indicators!$B$5:$B$35=G$4)*Indicators!$Q$5:$Q$35*'Indicator Scores'!$S$5:$S$35)/SUMPRODUCT((Indicators!$B$5:$B$35=G$4)*Indicators!$Q$5:$Q$35*('Indicator Scores'!$S$5:$S$35&gt;0)),0)</f>
        <v>4</v>
      </c>
      <c r="H116" s="28" t="n">
        <f aca="false">IFERROR(SUMPRODUCT((Indicators!$B$5:$B$35=H$4)*Indicators!$Q$5:$Q$35*'Indicator Scores'!$S$5:$S$35)/SUMPRODUCT((Indicators!$B$5:$B$35=H$4)*Indicators!$Q$5:$Q$35*('Indicator Scores'!$S$5:$S$35&gt;0)),0)</f>
        <v>4.16666666666667</v>
      </c>
      <c r="I116" s="28" t="n">
        <f aca="false">IFERROR(SUMPRODUCT((Indicators!$B$5:$B$35=I$4)*Indicators!$Q$5:$Q$35*'Indicator Scores'!$S$5:$S$35)/SUMPRODUCT((Indicators!$B$5:$B$35=I$4)*Indicators!$Q$5:$Q$35*('Indicator Scores'!$S$5:$S$35&gt;0)),0)</f>
        <v>4.5</v>
      </c>
      <c r="J116" s="28" t="n">
        <f aca="false">IFERROR(SUMPRODUCT((Indicators!$B$5:$B$35=J$4)*Indicators!$Q$5:$Q$35*'Indicator Scores'!$S$5:$S$35)/SUMPRODUCT((Indicators!$B$5:$B$35=J$4)*Indicators!$Q$5:$Q$35*('Indicator Scores'!$S$5:$S$35&gt;0)),0)</f>
        <v>3.8</v>
      </c>
      <c r="K116" s="28" t="n">
        <f aca="false">IFERROR(SUMPRODUCT(F116:J116,INDEX('Factor Weights'!$C$5:$G$11,MATCH(D116,'Factor Weights'!$A$5:$A$11,0),0))/SUMPRODUCT((F116:J116&gt;0)*INDEX('Factor Weights'!$C$5:$G$11,MATCH(D116,'Factor Weights'!$A$5:$A$11,0),0)),0)</f>
        <v>4.02444444444445</v>
      </c>
      <c r="L116" s="29" t="n">
        <f aca="false">MAX(F116:J116)</f>
        <v>4.5</v>
      </c>
      <c r="M116" s="28" t="n">
        <f aca="false">IF(L116&gt;=Config!$C$13,MAX(K116,Config!$C$14),K116)</f>
        <v>4.02444444444445</v>
      </c>
      <c r="N116" s="30" t="n">
        <f aca="false">IF(Config!$C$12="Weighted average",K116,IF(Config!$C$12="Weighted with floor",M116,L116))</f>
        <v>4.02444444444445</v>
      </c>
      <c r="O116" s="31" t="n">
        <f aca="false">IF(N116&lt;Config!$D$5,"",MATCH(N116,Config!$D$5:$D$9,1))</f>
        <v>4</v>
      </c>
      <c r="P116" s="7" t="str">
        <f aca="false">IF(O116="","No data",INDEX(Config!$B$5:$B$9,O116))</f>
        <v>Medium-High</v>
      </c>
      <c r="Q116" s="32" t="n">
        <v>0</v>
      </c>
      <c r="R116" s="8"/>
      <c r="S116" s="33"/>
      <c r="T116" s="34" t="n">
        <f aca="false">IF(O116="","",IF(AND(S116="Y",Q116&lt;&gt;0),MAX(1,MIN(5,O116+MAX(-Config!$C$27,MIN(Config!$C$27,Q116)))),O116))</f>
        <v>4</v>
      </c>
      <c r="U116" s="35" t="str">
        <f aca="false">IF(T116="","No data",INDEX(Config!$B$5:$B$9,T116))</f>
        <v>Medium-High</v>
      </c>
      <c r="V116" s="7" t="str">
        <f aca="false">IF(Q116=0,"None",IF(S116="Y","Applied","Pending HO approval"))</f>
        <v>None</v>
      </c>
      <c r="W116" s="36" t="n">
        <f aca="false">SUMPRODUCT((Indicators!$Q$5:$Q$35&gt;0)*('Indicator Data'!$S$5:$S$35&lt;&gt;""))/SUMPRODUCT(--(Indicators!$Q$5:$Q$35&gt;0))</f>
        <v>1</v>
      </c>
    </row>
    <row r="117" customFormat="false" ht="15" hidden="false" customHeight="false" outlineLevel="0" collapsed="false">
      <c r="A117" s="26" t="str">
        <f aca="false">Entities!$A$21</f>
        <v>EG</v>
      </c>
      <c r="B117" s="12" t="str">
        <f aca="false">INDEX(Entities!$B$5:$B$34,MATCH(A117,Entities!$A$5:$A$34,0))</f>
        <v>Arab Bank – Egypt</v>
      </c>
      <c r="C117" s="12" t="str">
        <f aca="false">INDEX(Entities!$D$5:$D$34,MATCH(A117,Entities!$A$5:$A$34,0))</f>
        <v>North Africa</v>
      </c>
      <c r="D117" s="12" t="s">
        <v>233</v>
      </c>
      <c r="E117" s="12" t="str">
        <f aca="false">INDEX('Risk Taxonomy'!$B$5:$B$24,MATCH(D117,'Risk Taxonomy'!$A$5:$A$24,0))</f>
        <v>Money laundering</v>
      </c>
      <c r="F117" s="28" t="n">
        <f aca="false">IFERROR(SUMPRODUCT((Indicators!$B$5:$B$35=F$4)*Indicators!$K$5:$K$35*'Indicator Scores'!$T$5:$T$35)/SUMPRODUCT((Indicators!$B$5:$B$35=F$4)*Indicators!$K$5:$K$35*('Indicator Scores'!$T$5:$T$35&gt;0)),0)</f>
        <v>2.66666666666667</v>
      </c>
      <c r="G117" s="28" t="n">
        <f aca="false">IFERROR(SUMPRODUCT((Indicators!$B$5:$B$35=G$4)*Indicators!$K$5:$K$35*'Indicator Scores'!$T$5:$T$35)/SUMPRODUCT((Indicators!$B$5:$B$35=G$4)*Indicators!$K$5:$K$35*('Indicator Scores'!$T$5:$T$35&gt;0)),0)</f>
        <v>2.11111111111111</v>
      </c>
      <c r="H117" s="28" t="n">
        <f aca="false">IFERROR(SUMPRODUCT((Indicators!$B$5:$B$35=H$4)*Indicators!$K$5:$K$35*'Indicator Scores'!$T$5:$T$35)/SUMPRODUCT((Indicators!$B$5:$B$35=H$4)*Indicators!$K$5:$K$35*('Indicator Scores'!$T$5:$T$35&gt;0)),0)</f>
        <v>2.1</v>
      </c>
      <c r="I117" s="28" t="n">
        <f aca="false">IFERROR(SUMPRODUCT((Indicators!$B$5:$B$35=I$4)*Indicators!$K$5:$K$35*'Indicator Scores'!$T$5:$T$35)/SUMPRODUCT((Indicators!$B$5:$B$35=I$4)*Indicators!$K$5:$K$35*('Indicator Scores'!$T$5:$T$35&gt;0)),0)</f>
        <v>2.28571428571429</v>
      </c>
      <c r="J117" s="28" t="n">
        <f aca="false">IFERROR(SUMPRODUCT((Indicators!$B$5:$B$35=J$4)*Indicators!$K$5:$K$35*'Indicator Scores'!$T$5:$T$35)/SUMPRODUCT((Indicators!$B$5:$B$35=J$4)*Indicators!$K$5:$K$35*('Indicator Scores'!$T$5:$T$35&gt;0)),0)</f>
        <v>2.6</v>
      </c>
      <c r="K117" s="28" t="n">
        <f aca="false">IFERROR(SUMPRODUCT(F117:J117,INDEX('Factor Weights'!$C$5:$G$11,MATCH(D117,'Factor Weights'!$A$5:$A$11,0),0))/SUMPRODUCT((F117:J117&gt;0)*INDEX('Factor Weights'!$C$5:$G$11,MATCH(D117,'Factor Weights'!$A$5:$A$11,0),0)),0)</f>
        <v>2.35063492063492</v>
      </c>
      <c r="L117" s="29" t="n">
        <f aca="false">MAX(F117:J117)</f>
        <v>2.66666666666667</v>
      </c>
      <c r="M117" s="28" t="n">
        <f aca="false">IF(L117&gt;=Config!$C$13,MAX(K117,Config!$C$14),K117)</f>
        <v>2.35063492063492</v>
      </c>
      <c r="N117" s="30" t="n">
        <f aca="false">IF(Config!$C$12="Weighted average",K117,IF(Config!$C$12="Weighted with floor",M117,L117))</f>
        <v>2.35063492063492</v>
      </c>
      <c r="O117" s="31" t="n">
        <f aca="false">IF(N117&lt;Config!$D$5,"",MATCH(N117,Config!$D$5:$D$9,1))</f>
        <v>2</v>
      </c>
      <c r="P117" s="7" t="str">
        <f aca="false">IF(O117="","No data",INDEX(Config!$B$5:$B$9,O117))</f>
        <v>Medium-Low</v>
      </c>
      <c r="Q117" s="32" t="n">
        <v>0</v>
      </c>
      <c r="R117" s="8"/>
      <c r="S117" s="33"/>
      <c r="T117" s="34" t="n">
        <f aca="false">IF(O117="","",IF(AND(S117="Y",Q117&lt;&gt;0),MAX(1,MIN(5,O117+MAX(-Config!$C$27,MIN(Config!$C$27,Q117)))),O117))</f>
        <v>2</v>
      </c>
      <c r="U117" s="35" t="str">
        <f aca="false">IF(T117="","No data",INDEX(Config!$B$5:$B$9,T117))</f>
        <v>Medium-Low</v>
      </c>
      <c r="V117" s="7" t="str">
        <f aca="false">IF(Q117=0,"None",IF(S117="Y","Applied","Pending HO approval"))</f>
        <v>None</v>
      </c>
      <c r="W117" s="36" t="n">
        <f aca="false">SUMPRODUCT((Indicators!$K$5:$K$35&gt;0)*('Indicator Data'!$T$5:$T$35&lt;&gt;""))/SUMPRODUCT(--(Indicators!$K$5:$K$35&gt;0))</f>
        <v>1</v>
      </c>
    </row>
    <row r="118" customFormat="false" ht="15" hidden="false" customHeight="false" outlineLevel="0" collapsed="false">
      <c r="A118" s="26" t="str">
        <f aca="false">Entities!$A$21</f>
        <v>EG</v>
      </c>
      <c r="B118" s="12" t="str">
        <f aca="false">INDEX(Entities!$B$5:$B$34,MATCH(A118,Entities!$A$5:$A$34,0))</f>
        <v>Arab Bank – Egypt</v>
      </c>
      <c r="C118" s="12" t="str">
        <f aca="false">INDEX(Entities!$D$5:$D$34,MATCH(A118,Entities!$A$5:$A$34,0))</f>
        <v>North Africa</v>
      </c>
      <c r="D118" s="12" t="s">
        <v>240</v>
      </c>
      <c r="E118" s="12" t="str">
        <f aca="false">INDEX('Risk Taxonomy'!$B$5:$B$24,MATCH(D118,'Risk Taxonomy'!$A$5:$A$24,0))</f>
        <v>Terrorist financing</v>
      </c>
      <c r="F118" s="28" t="n">
        <f aca="false">IFERROR(SUMPRODUCT((Indicators!$B$5:$B$35=F$4)*Indicators!$L$5:$L$35*'Indicator Scores'!$T$5:$T$35)/SUMPRODUCT((Indicators!$B$5:$B$35=F$4)*Indicators!$L$5:$L$35*('Indicator Scores'!$T$5:$T$35&gt;0)),0)</f>
        <v>2.7</v>
      </c>
      <c r="G118" s="28" t="n">
        <f aca="false">IFERROR(SUMPRODUCT((Indicators!$B$5:$B$35=G$4)*Indicators!$L$5:$L$35*'Indicator Scores'!$T$5:$T$35)/SUMPRODUCT((Indicators!$B$5:$B$35=G$4)*Indicators!$L$5:$L$35*('Indicator Scores'!$T$5:$T$35&gt;0)),0)</f>
        <v>2.22222222222222</v>
      </c>
      <c r="H118" s="28" t="n">
        <f aca="false">IFERROR(SUMPRODUCT((Indicators!$B$5:$B$35=H$4)*Indicators!$L$5:$L$35*'Indicator Scores'!$T$5:$T$35)/SUMPRODUCT((Indicators!$B$5:$B$35=H$4)*Indicators!$L$5:$L$35*('Indicator Scores'!$T$5:$T$35&gt;0)),0)</f>
        <v>2.16666666666667</v>
      </c>
      <c r="I118" s="28" t="n">
        <f aca="false">IFERROR(SUMPRODUCT((Indicators!$B$5:$B$35=I$4)*Indicators!$L$5:$L$35*'Indicator Scores'!$T$5:$T$35)/SUMPRODUCT((Indicators!$B$5:$B$35=I$4)*Indicators!$L$5:$L$35*('Indicator Scores'!$T$5:$T$35&gt;0)),0)</f>
        <v>2.33333333333333</v>
      </c>
      <c r="J118" s="28" t="n">
        <f aca="false">IFERROR(SUMPRODUCT((Indicators!$B$5:$B$35=J$4)*Indicators!$L$5:$L$35*'Indicator Scores'!$T$5:$T$35)/SUMPRODUCT((Indicators!$B$5:$B$35=J$4)*Indicators!$L$5:$L$35*('Indicator Scores'!$T$5:$T$35&gt;0)),0)</f>
        <v>2.42857142857143</v>
      </c>
      <c r="K118" s="28" t="n">
        <f aca="false">IFERROR(SUMPRODUCT(F118:J118,INDEX('Factor Weights'!$C$5:$G$11,MATCH(D118,'Factor Weights'!$A$5:$A$11,0),0))/SUMPRODUCT((F118:J118&gt;0)*INDEX('Factor Weights'!$C$5:$G$11,MATCH(D118,'Factor Weights'!$A$5:$A$11,0),0)),0)</f>
        <v>2.38571428571429</v>
      </c>
      <c r="L118" s="29" t="n">
        <f aca="false">MAX(F118:J118)</f>
        <v>2.7</v>
      </c>
      <c r="M118" s="28" t="n">
        <f aca="false">IF(L118&gt;=Config!$C$13,MAX(K118,Config!$C$14),K118)</f>
        <v>2.38571428571429</v>
      </c>
      <c r="N118" s="30" t="n">
        <f aca="false">IF(Config!$C$12="Weighted average",K118,IF(Config!$C$12="Weighted with floor",M118,L118))</f>
        <v>2.38571428571429</v>
      </c>
      <c r="O118" s="31" t="n">
        <f aca="false">IF(N118&lt;Config!$D$5,"",MATCH(N118,Config!$D$5:$D$9,1))</f>
        <v>2</v>
      </c>
      <c r="P118" s="7" t="str">
        <f aca="false">IF(O118="","No data",INDEX(Config!$B$5:$B$9,O118))</f>
        <v>Medium-Low</v>
      </c>
      <c r="Q118" s="32" t="n">
        <v>0</v>
      </c>
      <c r="R118" s="8"/>
      <c r="S118" s="33"/>
      <c r="T118" s="34" t="n">
        <f aca="false">IF(O118="","",IF(AND(S118="Y",Q118&lt;&gt;0),MAX(1,MIN(5,O118+MAX(-Config!$C$27,MIN(Config!$C$27,Q118)))),O118))</f>
        <v>2</v>
      </c>
      <c r="U118" s="35" t="str">
        <f aca="false">IF(T118="","No data",INDEX(Config!$B$5:$B$9,T118))</f>
        <v>Medium-Low</v>
      </c>
      <c r="V118" s="7" t="str">
        <f aca="false">IF(Q118=0,"None",IF(S118="Y","Applied","Pending HO approval"))</f>
        <v>None</v>
      </c>
      <c r="W118" s="36" t="n">
        <f aca="false">SUMPRODUCT((Indicators!$L$5:$L$35&gt;0)*('Indicator Data'!$T$5:$T$35&lt;&gt;""))/SUMPRODUCT(--(Indicators!$L$5:$L$35&gt;0))</f>
        <v>1</v>
      </c>
    </row>
    <row r="119" customFormat="false" ht="15" hidden="false" customHeight="false" outlineLevel="0" collapsed="false">
      <c r="A119" s="26" t="str">
        <f aca="false">Entities!$A$21</f>
        <v>EG</v>
      </c>
      <c r="B119" s="12" t="str">
        <f aca="false">INDEX(Entities!$B$5:$B$34,MATCH(A119,Entities!$A$5:$A$34,0))</f>
        <v>Arab Bank – Egypt</v>
      </c>
      <c r="C119" s="12" t="str">
        <f aca="false">INDEX(Entities!$D$5:$D$34,MATCH(A119,Entities!$A$5:$A$34,0))</f>
        <v>North Africa</v>
      </c>
      <c r="D119" s="12" t="s">
        <v>243</v>
      </c>
      <c r="E119" s="12" t="str">
        <f aca="false">INDEX('Risk Taxonomy'!$B$5:$B$24,MATCH(D119,'Risk Taxonomy'!$A$5:$A$24,0))</f>
        <v>Proliferation financing</v>
      </c>
      <c r="F119" s="28" t="n">
        <f aca="false">IFERROR(SUMPRODUCT((Indicators!$B$5:$B$35=F$4)*Indicators!$M$5:$M$35*'Indicator Scores'!$T$5:$T$35)/SUMPRODUCT((Indicators!$B$5:$B$35=F$4)*Indicators!$M$5:$M$35*('Indicator Scores'!$T$5:$T$35&gt;0)),0)</f>
        <v>2.75</v>
      </c>
      <c r="G119" s="28" t="n">
        <f aca="false">IFERROR(SUMPRODUCT((Indicators!$B$5:$B$35=G$4)*Indicators!$M$5:$M$35*'Indicator Scores'!$T$5:$T$35)/SUMPRODUCT((Indicators!$B$5:$B$35=G$4)*Indicators!$M$5:$M$35*('Indicator Scores'!$T$5:$T$35&gt;0)),0)</f>
        <v>2.5</v>
      </c>
      <c r="H119" s="28" t="n">
        <f aca="false">IFERROR(SUMPRODUCT((Indicators!$B$5:$B$35=H$4)*Indicators!$M$5:$M$35*'Indicator Scores'!$T$5:$T$35)/SUMPRODUCT((Indicators!$B$5:$B$35=H$4)*Indicators!$M$5:$M$35*('Indicator Scores'!$T$5:$T$35&gt;0)),0)</f>
        <v>1.88888888888889</v>
      </c>
      <c r="I119" s="28" t="n">
        <f aca="false">IFERROR(SUMPRODUCT((Indicators!$B$5:$B$35=I$4)*Indicators!$M$5:$M$35*'Indicator Scores'!$T$5:$T$35)/SUMPRODUCT((Indicators!$B$5:$B$35=I$4)*Indicators!$M$5:$M$35*('Indicator Scores'!$T$5:$T$35&gt;0)),0)</f>
        <v>2.33333333333333</v>
      </c>
      <c r="J119" s="28" t="n">
        <f aca="false">IFERROR(SUMPRODUCT((Indicators!$B$5:$B$35=J$4)*Indicators!$M$5:$M$35*'Indicator Scores'!$T$5:$T$35)/SUMPRODUCT((Indicators!$B$5:$B$35=J$4)*Indicators!$M$5:$M$35*('Indicator Scores'!$T$5:$T$35&gt;0)),0)</f>
        <v>3</v>
      </c>
      <c r="K119" s="28" t="n">
        <f aca="false">IFERROR(SUMPRODUCT(F119:J119,INDEX('Factor Weights'!$C$5:$G$11,MATCH(D119,'Factor Weights'!$A$5:$A$11,0),0))/SUMPRODUCT((F119:J119&gt;0)*INDEX('Factor Weights'!$C$5:$G$11,MATCH(D119,'Factor Weights'!$A$5:$A$11,0),0)),0)</f>
        <v>2.44583333333333</v>
      </c>
      <c r="L119" s="29" t="n">
        <f aca="false">MAX(F119:J119)</f>
        <v>3</v>
      </c>
      <c r="M119" s="28" t="n">
        <f aca="false">IF(L119&gt;=Config!$C$13,MAX(K119,Config!$C$14),K119)</f>
        <v>2.44583333333333</v>
      </c>
      <c r="N119" s="30" t="n">
        <f aca="false">IF(Config!$C$12="Weighted average",K119,IF(Config!$C$12="Weighted with floor",M119,L119))</f>
        <v>2.44583333333333</v>
      </c>
      <c r="O119" s="31" t="n">
        <f aca="false">IF(N119&lt;Config!$D$5,"",MATCH(N119,Config!$D$5:$D$9,1))</f>
        <v>2</v>
      </c>
      <c r="P119" s="7" t="str">
        <f aca="false">IF(O119="","No data",INDEX(Config!$B$5:$B$9,O119))</f>
        <v>Medium-Low</v>
      </c>
      <c r="Q119" s="32" t="n">
        <v>0</v>
      </c>
      <c r="R119" s="8"/>
      <c r="S119" s="33"/>
      <c r="T119" s="34" t="n">
        <f aca="false">IF(O119="","",IF(AND(S119="Y",Q119&lt;&gt;0),MAX(1,MIN(5,O119+MAX(-Config!$C$27,MIN(Config!$C$27,Q119)))),O119))</f>
        <v>2</v>
      </c>
      <c r="U119" s="35" t="str">
        <f aca="false">IF(T119="","No data",INDEX(Config!$B$5:$B$9,T119))</f>
        <v>Medium-Low</v>
      </c>
      <c r="V119" s="7" t="str">
        <f aca="false">IF(Q119=0,"None",IF(S119="Y","Applied","Pending HO approval"))</f>
        <v>None</v>
      </c>
      <c r="W119" s="36" t="n">
        <f aca="false">SUMPRODUCT((Indicators!$M$5:$M$35&gt;0)*('Indicator Data'!$T$5:$T$35&lt;&gt;""))/SUMPRODUCT(--(Indicators!$M$5:$M$35&gt;0))</f>
        <v>1</v>
      </c>
    </row>
    <row r="120" customFormat="false" ht="15" hidden="false" customHeight="false" outlineLevel="0" collapsed="false">
      <c r="A120" s="26" t="str">
        <f aca="false">Entities!$A$21</f>
        <v>EG</v>
      </c>
      <c r="B120" s="12" t="str">
        <f aca="false">INDEX(Entities!$B$5:$B$34,MATCH(A120,Entities!$A$5:$A$34,0))</f>
        <v>Arab Bank – Egypt</v>
      </c>
      <c r="C120" s="12" t="str">
        <f aca="false">INDEX(Entities!$D$5:$D$34,MATCH(A120,Entities!$A$5:$A$34,0))</f>
        <v>North Africa</v>
      </c>
      <c r="D120" s="12" t="s">
        <v>245</v>
      </c>
      <c r="E120" s="12" t="str">
        <f aca="false">INDEX('Risk Taxonomy'!$B$5:$B$24,MATCH(D120,'Risk Taxonomy'!$A$5:$A$24,0))</f>
        <v>Sanctions</v>
      </c>
      <c r="F120" s="28" t="n">
        <f aca="false">IFERROR(SUMPRODUCT((Indicators!$B$5:$B$35=F$4)*Indicators!$N$5:$N$35*'Indicator Scores'!$T$5:$T$35)/SUMPRODUCT((Indicators!$B$5:$B$35=F$4)*Indicators!$N$5:$N$35*('Indicator Scores'!$T$5:$T$35&gt;0)),0)</f>
        <v>2.28571428571429</v>
      </c>
      <c r="G120" s="28" t="n">
        <f aca="false">IFERROR(SUMPRODUCT((Indicators!$B$5:$B$35=G$4)*Indicators!$N$5:$N$35*'Indicator Scores'!$T$5:$T$35)/SUMPRODUCT((Indicators!$B$5:$B$35=G$4)*Indicators!$N$5:$N$35*('Indicator Scores'!$T$5:$T$35&gt;0)),0)</f>
        <v>2.71428571428571</v>
      </c>
      <c r="H120" s="28" t="n">
        <f aca="false">IFERROR(SUMPRODUCT((Indicators!$B$5:$B$35=H$4)*Indicators!$N$5:$N$35*'Indicator Scores'!$T$5:$T$35)/SUMPRODUCT((Indicators!$B$5:$B$35=H$4)*Indicators!$N$5:$N$35*('Indicator Scores'!$T$5:$T$35&gt;0)),0)</f>
        <v>1.875</v>
      </c>
      <c r="I120" s="28" t="n">
        <f aca="false">IFERROR(SUMPRODUCT((Indicators!$B$5:$B$35=I$4)*Indicators!$N$5:$N$35*'Indicator Scores'!$T$5:$T$35)/SUMPRODUCT((Indicators!$B$5:$B$35=I$4)*Indicators!$N$5:$N$35*('Indicator Scores'!$T$5:$T$35&gt;0)),0)</f>
        <v>2.66666666666667</v>
      </c>
      <c r="J120" s="28" t="n">
        <f aca="false">IFERROR(SUMPRODUCT((Indicators!$B$5:$B$35=J$4)*Indicators!$N$5:$N$35*'Indicator Scores'!$T$5:$T$35)/SUMPRODUCT((Indicators!$B$5:$B$35=J$4)*Indicators!$N$5:$N$35*('Indicator Scores'!$T$5:$T$35&gt;0)),0)</f>
        <v>2.8</v>
      </c>
      <c r="K120" s="28" t="n">
        <f aca="false">IFERROR(SUMPRODUCT(F120:J120,INDEX('Factor Weights'!$C$5:$G$11,MATCH(D120,'Factor Weights'!$A$5:$A$11,0),0))/SUMPRODUCT((F120:J120&gt;0)*INDEX('Factor Weights'!$C$5:$G$11,MATCH(D120,'Factor Weights'!$A$5:$A$11,0),0)),0)</f>
        <v>2.49690476190476</v>
      </c>
      <c r="L120" s="29" t="n">
        <f aca="false">MAX(F120:J120)</f>
        <v>2.8</v>
      </c>
      <c r="M120" s="28" t="n">
        <f aca="false">IF(L120&gt;=Config!$C$13,MAX(K120,Config!$C$14),K120)</f>
        <v>2.49690476190476</v>
      </c>
      <c r="N120" s="30" t="n">
        <f aca="false">IF(Config!$C$12="Weighted average",K120,IF(Config!$C$12="Weighted with floor",M120,L120))</f>
        <v>2.49690476190476</v>
      </c>
      <c r="O120" s="31" t="n">
        <f aca="false">IF(N120&lt;Config!$D$5,"",MATCH(N120,Config!$D$5:$D$9,1))</f>
        <v>2</v>
      </c>
      <c r="P120" s="7" t="str">
        <f aca="false">IF(O120="","No data",INDEX(Config!$B$5:$B$9,O120))</f>
        <v>Medium-Low</v>
      </c>
      <c r="Q120" s="32" t="n">
        <v>0</v>
      </c>
      <c r="R120" s="8"/>
      <c r="S120" s="33"/>
      <c r="T120" s="34" t="n">
        <f aca="false">IF(O120="","",IF(AND(S120="Y",Q120&lt;&gt;0),MAX(1,MIN(5,O120+MAX(-Config!$C$27,MIN(Config!$C$27,Q120)))),O120))</f>
        <v>2</v>
      </c>
      <c r="U120" s="35" t="str">
        <f aca="false">IF(T120="","No data",INDEX(Config!$B$5:$B$9,T120))</f>
        <v>Medium-Low</v>
      </c>
      <c r="V120" s="7" t="str">
        <f aca="false">IF(Q120=0,"None",IF(S120="Y","Applied","Pending HO approval"))</f>
        <v>None</v>
      </c>
      <c r="W120" s="36" t="n">
        <f aca="false">SUMPRODUCT((Indicators!$N$5:$N$35&gt;0)*('Indicator Data'!$T$5:$T$35&lt;&gt;""))/SUMPRODUCT(--(Indicators!$N$5:$N$35&gt;0))</f>
        <v>1</v>
      </c>
    </row>
    <row r="121" customFormat="false" ht="15" hidden="false" customHeight="false" outlineLevel="0" collapsed="false">
      <c r="A121" s="26" t="str">
        <f aca="false">Entities!$A$21</f>
        <v>EG</v>
      </c>
      <c r="B121" s="12" t="str">
        <f aca="false">INDEX(Entities!$B$5:$B$34,MATCH(A121,Entities!$A$5:$A$34,0))</f>
        <v>Arab Bank – Egypt</v>
      </c>
      <c r="C121" s="12" t="str">
        <f aca="false">INDEX(Entities!$D$5:$D$34,MATCH(A121,Entities!$A$5:$A$34,0))</f>
        <v>North Africa</v>
      </c>
      <c r="D121" s="12" t="s">
        <v>248</v>
      </c>
      <c r="E121" s="12" t="str">
        <f aca="false">INDEX('Risk Taxonomy'!$B$5:$B$24,MATCH(D121,'Risk Taxonomy'!$A$5:$A$24,0))</f>
        <v>Bribery and corruption</v>
      </c>
      <c r="F121" s="28" t="n">
        <f aca="false">IFERROR(SUMPRODUCT((Indicators!$B$5:$B$35=F$4)*Indicators!$O$5:$O$35*'Indicator Scores'!$T$5:$T$35)/SUMPRODUCT((Indicators!$B$5:$B$35=F$4)*Indicators!$O$5:$O$35*('Indicator Scores'!$T$5:$T$35&gt;0)),0)</f>
        <v>2</v>
      </c>
      <c r="G121" s="28" t="n">
        <f aca="false">IFERROR(SUMPRODUCT((Indicators!$B$5:$B$35=G$4)*Indicators!$O$5:$O$35*'Indicator Scores'!$T$5:$T$35)/SUMPRODUCT((Indicators!$B$5:$B$35=G$4)*Indicators!$O$5:$O$35*('Indicator Scores'!$T$5:$T$35&gt;0)),0)</f>
        <v>2.4</v>
      </c>
      <c r="H121" s="28" t="n">
        <f aca="false">IFERROR(SUMPRODUCT((Indicators!$B$5:$B$35=H$4)*Indicators!$O$5:$O$35*'Indicator Scores'!$T$5:$T$35)/SUMPRODUCT((Indicators!$B$5:$B$35=H$4)*Indicators!$O$5:$O$35*('Indicator Scores'!$T$5:$T$35&gt;0)),0)</f>
        <v>2</v>
      </c>
      <c r="I121" s="28" t="n">
        <f aca="false">IFERROR(SUMPRODUCT((Indicators!$B$5:$B$35=I$4)*Indicators!$O$5:$O$35*'Indicator Scores'!$T$5:$T$35)/SUMPRODUCT((Indicators!$B$5:$B$35=I$4)*Indicators!$O$5:$O$35*('Indicator Scores'!$T$5:$T$35&gt;0)),0)</f>
        <v>2.6</v>
      </c>
      <c r="J121" s="28" t="n">
        <f aca="false">IFERROR(SUMPRODUCT((Indicators!$B$5:$B$35=J$4)*Indicators!$O$5:$O$35*'Indicator Scores'!$T$5:$T$35)/SUMPRODUCT((Indicators!$B$5:$B$35=J$4)*Indicators!$O$5:$O$35*('Indicator Scores'!$T$5:$T$35&gt;0)),0)</f>
        <v>4</v>
      </c>
      <c r="K121" s="28" t="n">
        <f aca="false">IFERROR(SUMPRODUCT(F121:J121,INDEX('Factor Weights'!$C$5:$G$11,MATCH(D121,'Factor Weights'!$A$5:$A$11,0),0))/SUMPRODUCT((F121:J121&gt;0)*INDEX('Factor Weights'!$C$5:$G$11,MATCH(D121,'Factor Weights'!$A$5:$A$11,0),0)),0)</f>
        <v>2.42</v>
      </c>
      <c r="L121" s="29" t="n">
        <f aca="false">MAX(F121:J121)</f>
        <v>4</v>
      </c>
      <c r="M121" s="28" t="n">
        <f aca="false">IF(L121&gt;=Config!$C$13,MAX(K121,Config!$C$14),K121)</f>
        <v>2.42</v>
      </c>
      <c r="N121" s="30" t="n">
        <f aca="false">IF(Config!$C$12="Weighted average",K121,IF(Config!$C$12="Weighted with floor",M121,L121))</f>
        <v>2.42</v>
      </c>
      <c r="O121" s="31" t="n">
        <f aca="false">IF(N121&lt;Config!$D$5,"",MATCH(N121,Config!$D$5:$D$9,1))</f>
        <v>2</v>
      </c>
      <c r="P121" s="7" t="str">
        <f aca="false">IF(O121="","No data",INDEX(Config!$B$5:$B$9,O121))</f>
        <v>Medium-Low</v>
      </c>
      <c r="Q121" s="32" t="n">
        <v>0</v>
      </c>
      <c r="R121" s="8"/>
      <c r="S121" s="33"/>
      <c r="T121" s="34" t="n">
        <f aca="false">IF(O121="","",IF(AND(S121="Y",Q121&lt;&gt;0),MAX(1,MIN(5,O121+MAX(-Config!$C$27,MIN(Config!$C$27,Q121)))),O121))</f>
        <v>2</v>
      </c>
      <c r="U121" s="35" t="str">
        <f aca="false">IF(T121="","No data",INDEX(Config!$B$5:$B$9,T121))</f>
        <v>Medium-Low</v>
      </c>
      <c r="V121" s="7" t="str">
        <f aca="false">IF(Q121=0,"None",IF(S121="Y","Applied","Pending HO approval"))</f>
        <v>None</v>
      </c>
      <c r="W121" s="36" t="n">
        <f aca="false">SUMPRODUCT((Indicators!$O$5:$O$35&gt;0)*('Indicator Data'!$T$5:$T$35&lt;&gt;""))/SUMPRODUCT(--(Indicators!$O$5:$O$35&gt;0))</f>
        <v>1</v>
      </c>
    </row>
    <row r="122" customFormat="false" ht="15" hidden="false" customHeight="false" outlineLevel="0" collapsed="false">
      <c r="A122" s="26" t="str">
        <f aca="false">Entities!$A$21</f>
        <v>EG</v>
      </c>
      <c r="B122" s="12" t="str">
        <f aca="false">INDEX(Entities!$B$5:$B$34,MATCH(A122,Entities!$A$5:$A$34,0))</f>
        <v>Arab Bank – Egypt</v>
      </c>
      <c r="C122" s="12" t="str">
        <f aca="false">INDEX(Entities!$D$5:$D$34,MATCH(A122,Entities!$A$5:$A$34,0))</f>
        <v>North Africa</v>
      </c>
      <c r="D122" s="12" t="s">
        <v>251</v>
      </c>
      <c r="E122" s="12" t="str">
        <f aca="false">INDEX('Risk Taxonomy'!$B$5:$B$24,MATCH(D122,'Risk Taxonomy'!$A$5:$A$24,0))</f>
        <v>Fraud</v>
      </c>
      <c r="F122" s="28" t="n">
        <f aca="false">IFERROR(SUMPRODUCT((Indicators!$B$5:$B$35=F$4)*Indicators!$P$5:$P$35*'Indicator Scores'!$T$5:$T$35)/SUMPRODUCT((Indicators!$B$5:$B$35=F$4)*Indicators!$P$5:$P$35*('Indicator Scores'!$T$5:$T$35&gt;0)),0)</f>
        <v>3</v>
      </c>
      <c r="G122" s="28" t="n">
        <f aca="false">IFERROR(SUMPRODUCT((Indicators!$B$5:$B$35=G$4)*Indicators!$P$5:$P$35*'Indicator Scores'!$T$5:$T$35)/SUMPRODUCT((Indicators!$B$5:$B$35=G$4)*Indicators!$P$5:$P$35*('Indicator Scores'!$T$5:$T$35&gt;0)),0)</f>
        <v>2.25</v>
      </c>
      <c r="H122" s="28" t="n">
        <f aca="false">IFERROR(SUMPRODUCT((Indicators!$B$5:$B$35=H$4)*Indicators!$P$5:$P$35*'Indicator Scores'!$T$5:$T$35)/SUMPRODUCT((Indicators!$B$5:$B$35=H$4)*Indicators!$P$5:$P$35*('Indicator Scores'!$T$5:$T$35&gt;0)),0)</f>
        <v>2.8</v>
      </c>
      <c r="I122" s="28" t="n">
        <f aca="false">IFERROR(SUMPRODUCT((Indicators!$B$5:$B$35=I$4)*Indicators!$P$5:$P$35*'Indicator Scores'!$T$5:$T$35)/SUMPRODUCT((Indicators!$B$5:$B$35=I$4)*Indicators!$P$5:$P$35*('Indicator Scores'!$T$5:$T$35&gt;0)),0)</f>
        <v>2.33333333333333</v>
      </c>
      <c r="J122" s="28" t="n">
        <f aca="false">IFERROR(SUMPRODUCT((Indicators!$B$5:$B$35=J$4)*Indicators!$P$5:$P$35*'Indicator Scores'!$T$5:$T$35)/SUMPRODUCT((Indicators!$B$5:$B$35=J$4)*Indicators!$P$5:$P$35*('Indicator Scores'!$T$5:$T$35&gt;0)),0)</f>
        <v>3.2</v>
      </c>
      <c r="K122" s="28" t="n">
        <f aca="false">IFERROR(SUMPRODUCT(F122:J122,INDEX('Factor Weights'!$C$5:$G$11,MATCH(D122,'Factor Weights'!$A$5:$A$11,0),0))/SUMPRODUCT((F122:J122&gt;0)*INDEX('Factor Weights'!$C$5:$G$11,MATCH(D122,'Factor Weights'!$A$5:$A$11,0),0)),0)</f>
        <v>2.725</v>
      </c>
      <c r="L122" s="29" t="n">
        <f aca="false">MAX(F122:J122)</f>
        <v>3.2</v>
      </c>
      <c r="M122" s="28" t="n">
        <f aca="false">IF(L122&gt;=Config!$C$13,MAX(K122,Config!$C$14),K122)</f>
        <v>2.725</v>
      </c>
      <c r="N122" s="30" t="n">
        <f aca="false">IF(Config!$C$12="Weighted average",K122,IF(Config!$C$12="Weighted with floor",M122,L122))</f>
        <v>2.725</v>
      </c>
      <c r="O122" s="31" t="n">
        <f aca="false">IF(N122&lt;Config!$D$5,"",MATCH(N122,Config!$D$5:$D$9,1))</f>
        <v>3</v>
      </c>
      <c r="P122" s="7" t="str">
        <f aca="false">IF(O122="","No data",INDEX(Config!$B$5:$B$9,O122))</f>
        <v>Medium</v>
      </c>
      <c r="Q122" s="32" t="n">
        <v>0</v>
      </c>
      <c r="R122" s="8"/>
      <c r="S122" s="33"/>
      <c r="T122" s="34" t="n">
        <f aca="false">IF(O122="","",IF(AND(S122="Y",Q122&lt;&gt;0),MAX(1,MIN(5,O122+MAX(-Config!$C$27,MIN(Config!$C$27,Q122)))),O122))</f>
        <v>3</v>
      </c>
      <c r="U122" s="35" t="str">
        <f aca="false">IF(T122="","No data",INDEX(Config!$B$5:$B$9,T122))</f>
        <v>Medium</v>
      </c>
      <c r="V122" s="7" t="str">
        <f aca="false">IF(Q122=0,"None",IF(S122="Y","Applied","Pending HO approval"))</f>
        <v>None</v>
      </c>
      <c r="W122" s="36" t="n">
        <f aca="false">SUMPRODUCT((Indicators!$P$5:$P$35&gt;0)*('Indicator Data'!$T$5:$T$35&lt;&gt;""))/SUMPRODUCT(--(Indicators!$P$5:$P$35&gt;0))</f>
        <v>1</v>
      </c>
    </row>
    <row r="123" customFormat="false" ht="15" hidden="false" customHeight="false" outlineLevel="0" collapsed="false">
      <c r="A123" s="26" t="str">
        <f aca="false">Entities!$A$21</f>
        <v>EG</v>
      </c>
      <c r="B123" s="12" t="str">
        <f aca="false">INDEX(Entities!$B$5:$B$34,MATCH(A123,Entities!$A$5:$A$34,0))</f>
        <v>Arab Bank – Egypt</v>
      </c>
      <c r="C123" s="12" t="str">
        <f aca="false">INDEX(Entities!$D$5:$D$34,MATCH(A123,Entities!$A$5:$A$34,0))</f>
        <v>North Africa</v>
      </c>
      <c r="D123" s="12" t="s">
        <v>254</v>
      </c>
      <c r="E123" s="12" t="str">
        <f aca="false">INDEX('Risk Taxonomy'!$B$5:$B$24,MATCH(D123,'Risk Taxonomy'!$A$5:$A$24,0))</f>
        <v>Tax evasion and tax transparency</v>
      </c>
      <c r="F123" s="28" t="n">
        <f aca="false">IFERROR(SUMPRODUCT((Indicators!$B$5:$B$35=F$4)*Indicators!$Q$5:$Q$35*'Indicator Scores'!$T$5:$T$35)/SUMPRODUCT((Indicators!$B$5:$B$35=F$4)*Indicators!$Q$5:$Q$35*('Indicator Scores'!$T$5:$T$35&gt;0)),0)</f>
        <v>2.55555555555556</v>
      </c>
      <c r="G123" s="28" t="n">
        <f aca="false">IFERROR(SUMPRODUCT((Indicators!$B$5:$B$35=G$4)*Indicators!$Q$5:$Q$35*'Indicator Scores'!$T$5:$T$35)/SUMPRODUCT((Indicators!$B$5:$B$35=G$4)*Indicators!$Q$5:$Q$35*('Indicator Scores'!$T$5:$T$35&gt;0)),0)</f>
        <v>2</v>
      </c>
      <c r="H123" s="28" t="n">
        <f aca="false">IFERROR(SUMPRODUCT((Indicators!$B$5:$B$35=H$4)*Indicators!$Q$5:$Q$35*'Indicator Scores'!$T$5:$T$35)/SUMPRODUCT((Indicators!$B$5:$B$35=H$4)*Indicators!$Q$5:$Q$35*('Indicator Scores'!$T$5:$T$35&gt;0)),0)</f>
        <v>2.16666666666667</v>
      </c>
      <c r="I123" s="28" t="n">
        <f aca="false">IFERROR(SUMPRODUCT((Indicators!$B$5:$B$35=I$4)*Indicators!$Q$5:$Q$35*'Indicator Scores'!$T$5:$T$35)/SUMPRODUCT((Indicators!$B$5:$B$35=I$4)*Indicators!$Q$5:$Q$35*('Indicator Scores'!$T$5:$T$35&gt;0)),0)</f>
        <v>2</v>
      </c>
      <c r="J123" s="28" t="n">
        <f aca="false">IFERROR(SUMPRODUCT((Indicators!$B$5:$B$35=J$4)*Indicators!$Q$5:$Q$35*'Indicator Scores'!$T$5:$T$35)/SUMPRODUCT((Indicators!$B$5:$B$35=J$4)*Indicators!$Q$5:$Q$35*('Indicator Scores'!$T$5:$T$35&gt;0)),0)</f>
        <v>1.4</v>
      </c>
      <c r="K123" s="28" t="n">
        <f aca="false">IFERROR(SUMPRODUCT(F123:J123,INDEX('Factor Weights'!$C$5:$G$11,MATCH(D123,'Factor Weights'!$A$5:$A$11,0),0))/SUMPRODUCT((F123:J123&gt;0)*INDEX('Factor Weights'!$C$5:$G$11,MATCH(D123,'Factor Weights'!$A$5:$A$11,0),0)),0)</f>
        <v>2.16777777777778</v>
      </c>
      <c r="L123" s="29" t="n">
        <f aca="false">MAX(F123:J123)</f>
        <v>2.55555555555556</v>
      </c>
      <c r="M123" s="28" t="n">
        <f aca="false">IF(L123&gt;=Config!$C$13,MAX(K123,Config!$C$14),K123)</f>
        <v>2.16777777777778</v>
      </c>
      <c r="N123" s="30" t="n">
        <f aca="false">IF(Config!$C$12="Weighted average",K123,IF(Config!$C$12="Weighted with floor",M123,L123))</f>
        <v>2.16777777777778</v>
      </c>
      <c r="O123" s="31" t="n">
        <f aca="false">IF(N123&lt;Config!$D$5,"",MATCH(N123,Config!$D$5:$D$9,1))</f>
        <v>2</v>
      </c>
      <c r="P123" s="7" t="str">
        <f aca="false">IF(O123="","No data",INDEX(Config!$B$5:$B$9,O123))</f>
        <v>Medium-Low</v>
      </c>
      <c r="Q123" s="32" t="n">
        <v>0</v>
      </c>
      <c r="R123" s="8"/>
      <c r="S123" s="33"/>
      <c r="T123" s="34" t="n">
        <f aca="false">IF(O123="","",IF(AND(S123="Y",Q123&lt;&gt;0),MAX(1,MIN(5,O123+MAX(-Config!$C$27,MIN(Config!$C$27,Q123)))),O123))</f>
        <v>2</v>
      </c>
      <c r="U123" s="35" t="str">
        <f aca="false">IF(T123="","No data",INDEX(Config!$B$5:$B$9,T123))</f>
        <v>Medium-Low</v>
      </c>
      <c r="V123" s="7" t="str">
        <f aca="false">IF(Q123=0,"None",IF(S123="Y","Applied","Pending HO approval"))</f>
        <v>None</v>
      </c>
      <c r="W123" s="36" t="n">
        <f aca="false">SUMPRODUCT((Indicators!$Q$5:$Q$35&gt;0)*('Indicator Data'!$T$5:$T$35&lt;&gt;""))/SUMPRODUCT(--(Indicators!$Q$5:$Q$35&gt;0))</f>
        <v>1</v>
      </c>
    </row>
    <row r="124" customFormat="false" ht="15" hidden="false" customHeight="false" outlineLevel="0" collapsed="false">
      <c r="A124" s="26" t="str">
        <f aca="false">Entities!$A$22</f>
        <v>DZ</v>
      </c>
      <c r="B124" s="12" t="str">
        <f aca="false">INDEX(Entities!$B$5:$B$34,MATCH(A124,Entities!$A$5:$A$34,0))</f>
        <v>Arab Bank – Algeria</v>
      </c>
      <c r="C124" s="12" t="str">
        <f aca="false">INDEX(Entities!$D$5:$D$34,MATCH(A124,Entities!$A$5:$A$34,0))</f>
        <v>North Africa</v>
      </c>
      <c r="D124" s="12" t="s">
        <v>233</v>
      </c>
      <c r="E124" s="12" t="str">
        <f aca="false">INDEX('Risk Taxonomy'!$B$5:$B$24,MATCH(D124,'Risk Taxonomy'!$A$5:$A$24,0))</f>
        <v>Money laundering</v>
      </c>
      <c r="F124" s="28" t="n">
        <f aca="false">IFERROR(SUMPRODUCT((Indicators!$B$5:$B$35=F$4)*Indicators!$K$5:$K$35*'Indicator Scores'!$U$5:$U$35)/SUMPRODUCT((Indicators!$B$5:$B$35=F$4)*Indicators!$K$5:$K$35*('Indicator Scores'!$U$5:$U$35&gt;0)),0)</f>
        <v>2.91666666666667</v>
      </c>
      <c r="G124" s="28" t="n">
        <f aca="false">IFERROR(SUMPRODUCT((Indicators!$B$5:$B$35=G$4)*Indicators!$K$5:$K$35*'Indicator Scores'!$U$5:$U$35)/SUMPRODUCT((Indicators!$B$5:$B$35=G$4)*Indicators!$K$5:$K$35*('Indicator Scores'!$U$5:$U$35&gt;0)),0)</f>
        <v>3</v>
      </c>
      <c r="H124" s="28" t="n">
        <f aca="false">IFERROR(SUMPRODUCT((Indicators!$B$5:$B$35=H$4)*Indicators!$K$5:$K$35*'Indicator Scores'!$U$5:$U$35)/SUMPRODUCT((Indicators!$B$5:$B$35=H$4)*Indicators!$K$5:$K$35*('Indicator Scores'!$U$5:$U$35&gt;0)),0)</f>
        <v>3.2</v>
      </c>
      <c r="I124" s="28" t="n">
        <f aca="false">IFERROR(SUMPRODUCT((Indicators!$B$5:$B$35=I$4)*Indicators!$K$5:$K$35*'Indicator Scores'!$U$5:$U$35)/SUMPRODUCT((Indicators!$B$5:$B$35=I$4)*Indicators!$K$5:$K$35*('Indicator Scores'!$U$5:$U$35&gt;0)),0)</f>
        <v>3.42857142857143</v>
      </c>
      <c r="J124" s="28" t="n">
        <f aca="false">IFERROR(SUMPRODUCT((Indicators!$B$5:$B$35=J$4)*Indicators!$K$5:$K$35*'Indicator Scores'!$U$5:$U$35)/SUMPRODUCT((Indicators!$B$5:$B$35=J$4)*Indicators!$K$5:$K$35*('Indicator Scores'!$U$5:$U$35&gt;0)),0)</f>
        <v>3.5</v>
      </c>
      <c r="K124" s="28" t="n">
        <f aca="false">IFERROR(SUMPRODUCT(F124:J124,INDEX('Factor Weights'!$C$5:$G$11,MATCH(D124,'Factor Weights'!$A$5:$A$11,0),0))/SUMPRODUCT((F124:J124&gt;0)*INDEX('Factor Weights'!$C$5:$G$11,MATCH(D124,'Factor Weights'!$A$5:$A$11,0),0)),0)</f>
        <v>3.12928571428571</v>
      </c>
      <c r="L124" s="29" t="n">
        <f aca="false">MAX(F124:J124)</f>
        <v>3.5</v>
      </c>
      <c r="M124" s="28" t="n">
        <f aca="false">IF(L124&gt;=Config!$C$13,MAX(K124,Config!$C$14),K124)</f>
        <v>3.12928571428571</v>
      </c>
      <c r="N124" s="30" t="n">
        <f aca="false">IF(Config!$C$12="Weighted average",K124,IF(Config!$C$12="Weighted with floor",M124,L124))</f>
        <v>3.12928571428571</v>
      </c>
      <c r="O124" s="31" t="n">
        <f aca="false">IF(N124&lt;Config!$D$5,"",MATCH(N124,Config!$D$5:$D$9,1))</f>
        <v>3</v>
      </c>
      <c r="P124" s="7" t="str">
        <f aca="false">IF(O124="","No data",INDEX(Config!$B$5:$B$9,O124))</f>
        <v>Medium</v>
      </c>
      <c r="Q124" s="32" t="n">
        <v>0</v>
      </c>
      <c r="R124" s="8"/>
      <c r="S124" s="33"/>
      <c r="T124" s="34" t="n">
        <f aca="false">IF(O124="","",IF(AND(S124="Y",Q124&lt;&gt;0),MAX(1,MIN(5,O124+MAX(-Config!$C$27,MIN(Config!$C$27,Q124)))),O124))</f>
        <v>3</v>
      </c>
      <c r="U124" s="35" t="str">
        <f aca="false">IF(T124="","No data",INDEX(Config!$B$5:$B$9,T124))</f>
        <v>Medium</v>
      </c>
      <c r="V124" s="7" t="str">
        <f aca="false">IF(Q124=0,"None",IF(S124="Y","Applied","Pending HO approval"))</f>
        <v>None</v>
      </c>
      <c r="W124" s="36" t="n">
        <f aca="false">SUMPRODUCT((Indicators!$K$5:$K$35&gt;0)*('Indicator Data'!$U$5:$U$35&lt;&gt;""))/SUMPRODUCT(--(Indicators!$K$5:$K$35&gt;0))</f>
        <v>1</v>
      </c>
    </row>
    <row r="125" customFormat="false" ht="15" hidden="false" customHeight="false" outlineLevel="0" collapsed="false">
      <c r="A125" s="26" t="str">
        <f aca="false">Entities!$A$22</f>
        <v>DZ</v>
      </c>
      <c r="B125" s="12" t="str">
        <f aca="false">INDEX(Entities!$B$5:$B$34,MATCH(A125,Entities!$A$5:$A$34,0))</f>
        <v>Arab Bank – Algeria</v>
      </c>
      <c r="C125" s="12" t="str">
        <f aca="false">INDEX(Entities!$D$5:$D$34,MATCH(A125,Entities!$A$5:$A$34,0))</f>
        <v>North Africa</v>
      </c>
      <c r="D125" s="12" t="s">
        <v>240</v>
      </c>
      <c r="E125" s="12" t="str">
        <f aca="false">INDEX('Risk Taxonomy'!$B$5:$B$24,MATCH(D125,'Risk Taxonomy'!$A$5:$A$24,0))</f>
        <v>Terrorist financing</v>
      </c>
      <c r="F125" s="28" t="n">
        <f aca="false">IFERROR(SUMPRODUCT((Indicators!$B$5:$B$35=F$4)*Indicators!$L$5:$L$35*'Indicator Scores'!$U$5:$U$35)/SUMPRODUCT((Indicators!$B$5:$B$35=F$4)*Indicators!$L$5:$L$35*('Indicator Scores'!$U$5:$U$35&gt;0)),0)</f>
        <v>3.3</v>
      </c>
      <c r="G125" s="28" t="n">
        <f aca="false">IFERROR(SUMPRODUCT((Indicators!$B$5:$B$35=G$4)*Indicators!$L$5:$L$35*'Indicator Scores'!$U$5:$U$35)/SUMPRODUCT((Indicators!$B$5:$B$35=G$4)*Indicators!$L$5:$L$35*('Indicator Scores'!$U$5:$U$35&gt;0)),0)</f>
        <v>3</v>
      </c>
      <c r="H125" s="28" t="n">
        <f aca="false">IFERROR(SUMPRODUCT((Indicators!$B$5:$B$35=H$4)*Indicators!$L$5:$L$35*'Indicator Scores'!$U$5:$U$35)/SUMPRODUCT((Indicators!$B$5:$B$35=H$4)*Indicators!$L$5:$L$35*('Indicator Scores'!$U$5:$U$35&gt;0)),0)</f>
        <v>3</v>
      </c>
      <c r="I125" s="28" t="n">
        <f aca="false">IFERROR(SUMPRODUCT((Indicators!$B$5:$B$35=I$4)*Indicators!$L$5:$L$35*'Indicator Scores'!$U$5:$U$35)/SUMPRODUCT((Indicators!$B$5:$B$35=I$4)*Indicators!$L$5:$L$35*('Indicator Scores'!$U$5:$U$35&gt;0)),0)</f>
        <v>3.5</v>
      </c>
      <c r="J125" s="28" t="n">
        <f aca="false">IFERROR(SUMPRODUCT((Indicators!$B$5:$B$35=J$4)*Indicators!$L$5:$L$35*'Indicator Scores'!$U$5:$U$35)/SUMPRODUCT((Indicators!$B$5:$B$35=J$4)*Indicators!$L$5:$L$35*('Indicator Scores'!$U$5:$U$35&gt;0)),0)</f>
        <v>3.42857142857143</v>
      </c>
      <c r="K125" s="28" t="n">
        <f aca="false">IFERROR(SUMPRODUCT(F125:J125,INDEX('Factor Weights'!$C$5:$G$11,MATCH(D125,'Factor Weights'!$A$5:$A$11,0),0))/SUMPRODUCT((F125:J125&gt;0)*INDEX('Factor Weights'!$C$5:$G$11,MATCH(D125,'Factor Weights'!$A$5:$A$11,0),0)),0)</f>
        <v>3.21071428571429</v>
      </c>
      <c r="L125" s="29" t="n">
        <f aca="false">MAX(F125:J125)</f>
        <v>3.5</v>
      </c>
      <c r="M125" s="28" t="n">
        <f aca="false">IF(L125&gt;=Config!$C$13,MAX(K125,Config!$C$14),K125)</f>
        <v>3.21071428571429</v>
      </c>
      <c r="N125" s="30" t="n">
        <f aca="false">IF(Config!$C$12="Weighted average",K125,IF(Config!$C$12="Weighted with floor",M125,L125))</f>
        <v>3.21071428571429</v>
      </c>
      <c r="O125" s="31" t="n">
        <f aca="false">IF(N125&lt;Config!$D$5,"",MATCH(N125,Config!$D$5:$D$9,1))</f>
        <v>3</v>
      </c>
      <c r="P125" s="7" t="str">
        <f aca="false">IF(O125="","No data",INDEX(Config!$B$5:$B$9,O125))</f>
        <v>Medium</v>
      </c>
      <c r="Q125" s="32" t="n">
        <v>0</v>
      </c>
      <c r="R125" s="8"/>
      <c r="S125" s="33"/>
      <c r="T125" s="34" t="n">
        <f aca="false">IF(O125="","",IF(AND(S125="Y",Q125&lt;&gt;0),MAX(1,MIN(5,O125+MAX(-Config!$C$27,MIN(Config!$C$27,Q125)))),O125))</f>
        <v>3</v>
      </c>
      <c r="U125" s="35" t="str">
        <f aca="false">IF(T125="","No data",INDEX(Config!$B$5:$B$9,T125))</f>
        <v>Medium</v>
      </c>
      <c r="V125" s="7" t="str">
        <f aca="false">IF(Q125=0,"None",IF(S125="Y","Applied","Pending HO approval"))</f>
        <v>None</v>
      </c>
      <c r="W125" s="36" t="n">
        <f aca="false">SUMPRODUCT((Indicators!$L$5:$L$35&gt;0)*('Indicator Data'!$U$5:$U$35&lt;&gt;""))/SUMPRODUCT(--(Indicators!$L$5:$L$35&gt;0))</f>
        <v>1</v>
      </c>
    </row>
    <row r="126" customFormat="false" ht="15" hidden="false" customHeight="false" outlineLevel="0" collapsed="false">
      <c r="A126" s="26" t="str">
        <f aca="false">Entities!$A$22</f>
        <v>DZ</v>
      </c>
      <c r="B126" s="12" t="str">
        <f aca="false">INDEX(Entities!$B$5:$B$34,MATCH(A126,Entities!$A$5:$A$34,0))</f>
        <v>Arab Bank – Algeria</v>
      </c>
      <c r="C126" s="12" t="str">
        <f aca="false">INDEX(Entities!$D$5:$D$34,MATCH(A126,Entities!$A$5:$A$34,0))</f>
        <v>North Africa</v>
      </c>
      <c r="D126" s="12" t="s">
        <v>243</v>
      </c>
      <c r="E126" s="12" t="str">
        <f aca="false">INDEX('Risk Taxonomy'!$B$5:$B$24,MATCH(D126,'Risk Taxonomy'!$A$5:$A$24,0))</f>
        <v>Proliferation financing</v>
      </c>
      <c r="F126" s="28" t="n">
        <f aca="false">IFERROR(SUMPRODUCT((Indicators!$B$5:$B$35=F$4)*Indicators!$M$5:$M$35*'Indicator Scores'!$U$5:$U$35)/SUMPRODUCT((Indicators!$B$5:$B$35=F$4)*Indicators!$M$5:$M$35*('Indicator Scores'!$U$5:$U$35&gt;0)),0)</f>
        <v>2.75</v>
      </c>
      <c r="G126" s="28" t="n">
        <f aca="false">IFERROR(SUMPRODUCT((Indicators!$B$5:$B$35=G$4)*Indicators!$M$5:$M$35*'Indicator Scores'!$U$5:$U$35)/SUMPRODUCT((Indicators!$B$5:$B$35=G$4)*Indicators!$M$5:$M$35*('Indicator Scores'!$U$5:$U$35&gt;0)),0)</f>
        <v>3</v>
      </c>
      <c r="H126" s="28" t="n">
        <f aca="false">IFERROR(SUMPRODUCT((Indicators!$B$5:$B$35=H$4)*Indicators!$M$5:$M$35*'Indicator Scores'!$U$5:$U$35)/SUMPRODUCT((Indicators!$B$5:$B$35=H$4)*Indicators!$M$5:$M$35*('Indicator Scores'!$U$5:$U$35&gt;0)),0)</f>
        <v>3</v>
      </c>
      <c r="I126" s="28" t="n">
        <f aca="false">IFERROR(SUMPRODUCT((Indicators!$B$5:$B$35=I$4)*Indicators!$M$5:$M$35*'Indicator Scores'!$U$5:$U$35)/SUMPRODUCT((Indicators!$B$5:$B$35=I$4)*Indicators!$M$5:$M$35*('Indicator Scores'!$U$5:$U$35&gt;0)),0)</f>
        <v>3.33333333333333</v>
      </c>
      <c r="J126" s="28" t="n">
        <f aca="false">IFERROR(SUMPRODUCT((Indicators!$B$5:$B$35=J$4)*Indicators!$M$5:$M$35*'Indicator Scores'!$U$5:$U$35)/SUMPRODUCT((Indicators!$B$5:$B$35=J$4)*Indicators!$M$5:$M$35*('Indicator Scores'!$U$5:$U$35&gt;0)),0)</f>
        <v>3.5</v>
      </c>
      <c r="K126" s="28" t="n">
        <f aca="false">IFERROR(SUMPRODUCT(F126:J126,INDEX('Factor Weights'!$C$5:$G$11,MATCH(D126,'Factor Weights'!$A$5:$A$11,0),0))/SUMPRODUCT((F126:J126&gt;0)*INDEX('Factor Weights'!$C$5:$G$11,MATCH(D126,'Factor Weights'!$A$5:$A$11,0),0)),0)</f>
        <v>3.07916666666667</v>
      </c>
      <c r="L126" s="29" t="n">
        <f aca="false">MAX(F126:J126)</f>
        <v>3.5</v>
      </c>
      <c r="M126" s="28" t="n">
        <f aca="false">IF(L126&gt;=Config!$C$13,MAX(K126,Config!$C$14),K126)</f>
        <v>3.07916666666667</v>
      </c>
      <c r="N126" s="30" t="n">
        <f aca="false">IF(Config!$C$12="Weighted average",K126,IF(Config!$C$12="Weighted with floor",M126,L126))</f>
        <v>3.07916666666667</v>
      </c>
      <c r="O126" s="31" t="n">
        <f aca="false">IF(N126&lt;Config!$D$5,"",MATCH(N126,Config!$D$5:$D$9,1))</f>
        <v>3</v>
      </c>
      <c r="P126" s="7" t="str">
        <f aca="false">IF(O126="","No data",INDEX(Config!$B$5:$B$9,O126))</f>
        <v>Medium</v>
      </c>
      <c r="Q126" s="32" t="n">
        <v>0</v>
      </c>
      <c r="R126" s="8"/>
      <c r="S126" s="33"/>
      <c r="T126" s="34" t="n">
        <f aca="false">IF(O126="","",IF(AND(S126="Y",Q126&lt;&gt;0),MAX(1,MIN(5,O126+MAX(-Config!$C$27,MIN(Config!$C$27,Q126)))),O126))</f>
        <v>3</v>
      </c>
      <c r="U126" s="35" t="str">
        <f aca="false">IF(T126="","No data",INDEX(Config!$B$5:$B$9,T126))</f>
        <v>Medium</v>
      </c>
      <c r="V126" s="7" t="str">
        <f aca="false">IF(Q126=0,"None",IF(S126="Y","Applied","Pending HO approval"))</f>
        <v>None</v>
      </c>
      <c r="W126" s="36" t="n">
        <f aca="false">SUMPRODUCT((Indicators!$M$5:$M$35&gt;0)*('Indicator Data'!$U$5:$U$35&lt;&gt;""))/SUMPRODUCT(--(Indicators!$M$5:$M$35&gt;0))</f>
        <v>1</v>
      </c>
    </row>
    <row r="127" customFormat="false" ht="15" hidden="false" customHeight="false" outlineLevel="0" collapsed="false">
      <c r="A127" s="26" t="str">
        <f aca="false">Entities!$A$22</f>
        <v>DZ</v>
      </c>
      <c r="B127" s="12" t="str">
        <f aca="false">INDEX(Entities!$B$5:$B$34,MATCH(A127,Entities!$A$5:$A$34,0))</f>
        <v>Arab Bank – Algeria</v>
      </c>
      <c r="C127" s="12" t="str">
        <f aca="false">INDEX(Entities!$D$5:$D$34,MATCH(A127,Entities!$A$5:$A$34,0))</f>
        <v>North Africa</v>
      </c>
      <c r="D127" s="12" t="s">
        <v>245</v>
      </c>
      <c r="E127" s="12" t="str">
        <f aca="false">INDEX('Risk Taxonomy'!$B$5:$B$24,MATCH(D127,'Risk Taxonomy'!$A$5:$A$24,0))</f>
        <v>Sanctions</v>
      </c>
      <c r="F127" s="28" t="n">
        <f aca="false">IFERROR(SUMPRODUCT((Indicators!$B$5:$B$35=F$4)*Indicators!$N$5:$N$35*'Indicator Scores'!$U$5:$U$35)/SUMPRODUCT((Indicators!$B$5:$B$35=F$4)*Indicators!$N$5:$N$35*('Indicator Scores'!$U$5:$U$35&gt;0)),0)</f>
        <v>3.14285714285714</v>
      </c>
      <c r="G127" s="28" t="n">
        <f aca="false">IFERROR(SUMPRODUCT((Indicators!$B$5:$B$35=G$4)*Indicators!$N$5:$N$35*'Indicator Scores'!$U$5:$U$35)/SUMPRODUCT((Indicators!$B$5:$B$35=G$4)*Indicators!$N$5:$N$35*('Indicator Scores'!$U$5:$U$35&gt;0)),0)</f>
        <v>3</v>
      </c>
      <c r="H127" s="28" t="n">
        <f aca="false">IFERROR(SUMPRODUCT((Indicators!$B$5:$B$35=H$4)*Indicators!$N$5:$N$35*'Indicator Scores'!$U$5:$U$35)/SUMPRODUCT((Indicators!$B$5:$B$35=H$4)*Indicators!$N$5:$N$35*('Indicator Scores'!$U$5:$U$35&gt;0)),0)</f>
        <v>3.125</v>
      </c>
      <c r="I127" s="28" t="n">
        <f aca="false">IFERROR(SUMPRODUCT((Indicators!$B$5:$B$35=I$4)*Indicators!$N$5:$N$35*'Indicator Scores'!$U$5:$U$35)/SUMPRODUCT((Indicators!$B$5:$B$35=I$4)*Indicators!$N$5:$N$35*('Indicator Scores'!$U$5:$U$35&gt;0)),0)</f>
        <v>3.66666666666667</v>
      </c>
      <c r="J127" s="28" t="n">
        <f aca="false">IFERROR(SUMPRODUCT((Indicators!$B$5:$B$35=J$4)*Indicators!$N$5:$N$35*'Indicator Scores'!$U$5:$U$35)/SUMPRODUCT((Indicators!$B$5:$B$35=J$4)*Indicators!$N$5:$N$35*('Indicator Scores'!$U$5:$U$35&gt;0)),0)</f>
        <v>3.4</v>
      </c>
      <c r="K127" s="28" t="n">
        <f aca="false">IFERROR(SUMPRODUCT(F127:J127,INDEX('Factor Weights'!$C$5:$G$11,MATCH(D127,'Factor Weights'!$A$5:$A$11,0),0))/SUMPRODUCT((F127:J127&gt;0)*INDEX('Factor Weights'!$C$5:$G$11,MATCH(D127,'Factor Weights'!$A$5:$A$11,0),0)),0)</f>
        <v>3.15976190476191</v>
      </c>
      <c r="L127" s="29" t="n">
        <f aca="false">MAX(F127:J127)</f>
        <v>3.66666666666667</v>
      </c>
      <c r="M127" s="28" t="n">
        <f aca="false">IF(L127&gt;=Config!$C$13,MAX(K127,Config!$C$14),K127)</f>
        <v>3.15976190476191</v>
      </c>
      <c r="N127" s="30" t="n">
        <f aca="false">IF(Config!$C$12="Weighted average",K127,IF(Config!$C$12="Weighted with floor",M127,L127))</f>
        <v>3.15976190476191</v>
      </c>
      <c r="O127" s="31" t="n">
        <f aca="false">IF(N127&lt;Config!$D$5,"",MATCH(N127,Config!$D$5:$D$9,1))</f>
        <v>3</v>
      </c>
      <c r="P127" s="7" t="str">
        <f aca="false">IF(O127="","No data",INDEX(Config!$B$5:$B$9,O127))</f>
        <v>Medium</v>
      </c>
      <c r="Q127" s="32" t="n">
        <v>0</v>
      </c>
      <c r="R127" s="8"/>
      <c r="S127" s="33"/>
      <c r="T127" s="34" t="n">
        <f aca="false">IF(O127="","",IF(AND(S127="Y",Q127&lt;&gt;0),MAX(1,MIN(5,O127+MAX(-Config!$C$27,MIN(Config!$C$27,Q127)))),O127))</f>
        <v>3</v>
      </c>
      <c r="U127" s="35" t="str">
        <f aca="false">IF(T127="","No data",INDEX(Config!$B$5:$B$9,T127))</f>
        <v>Medium</v>
      </c>
      <c r="V127" s="7" t="str">
        <f aca="false">IF(Q127=0,"None",IF(S127="Y","Applied","Pending HO approval"))</f>
        <v>None</v>
      </c>
      <c r="W127" s="36" t="n">
        <f aca="false">SUMPRODUCT((Indicators!$N$5:$N$35&gt;0)*('Indicator Data'!$U$5:$U$35&lt;&gt;""))/SUMPRODUCT(--(Indicators!$N$5:$N$35&gt;0))</f>
        <v>1</v>
      </c>
    </row>
    <row r="128" customFormat="false" ht="15" hidden="false" customHeight="false" outlineLevel="0" collapsed="false">
      <c r="A128" s="26" t="str">
        <f aca="false">Entities!$A$22</f>
        <v>DZ</v>
      </c>
      <c r="B128" s="12" t="str">
        <f aca="false">INDEX(Entities!$B$5:$B$34,MATCH(A128,Entities!$A$5:$A$34,0))</f>
        <v>Arab Bank – Algeria</v>
      </c>
      <c r="C128" s="12" t="str">
        <f aca="false">INDEX(Entities!$D$5:$D$34,MATCH(A128,Entities!$A$5:$A$34,0))</f>
        <v>North Africa</v>
      </c>
      <c r="D128" s="12" t="s">
        <v>248</v>
      </c>
      <c r="E128" s="12" t="str">
        <f aca="false">INDEX('Risk Taxonomy'!$B$5:$B$24,MATCH(D128,'Risk Taxonomy'!$A$5:$A$24,0))</f>
        <v>Bribery and corruption</v>
      </c>
      <c r="F128" s="28" t="n">
        <f aca="false">IFERROR(SUMPRODUCT((Indicators!$B$5:$B$35=F$4)*Indicators!$O$5:$O$35*'Indicator Scores'!$U$5:$U$35)/SUMPRODUCT((Indicators!$B$5:$B$35=F$4)*Indicators!$O$5:$O$35*('Indicator Scores'!$U$5:$U$35&gt;0)),0)</f>
        <v>3.33333333333333</v>
      </c>
      <c r="G128" s="28" t="n">
        <f aca="false">IFERROR(SUMPRODUCT((Indicators!$B$5:$B$35=G$4)*Indicators!$O$5:$O$35*'Indicator Scores'!$U$5:$U$35)/SUMPRODUCT((Indicators!$B$5:$B$35=G$4)*Indicators!$O$5:$O$35*('Indicator Scores'!$U$5:$U$35&gt;0)),0)</f>
        <v>3</v>
      </c>
      <c r="H128" s="28" t="n">
        <f aca="false">IFERROR(SUMPRODUCT((Indicators!$B$5:$B$35=H$4)*Indicators!$O$5:$O$35*'Indicator Scores'!$U$5:$U$35)/SUMPRODUCT((Indicators!$B$5:$B$35=H$4)*Indicators!$O$5:$O$35*('Indicator Scores'!$U$5:$U$35&gt;0)),0)</f>
        <v>3.5</v>
      </c>
      <c r="I128" s="28" t="n">
        <f aca="false">IFERROR(SUMPRODUCT((Indicators!$B$5:$B$35=I$4)*Indicators!$O$5:$O$35*'Indicator Scores'!$U$5:$U$35)/SUMPRODUCT((Indicators!$B$5:$B$35=I$4)*Indicators!$O$5:$O$35*('Indicator Scores'!$U$5:$U$35&gt;0)),0)</f>
        <v>2.4</v>
      </c>
      <c r="J128" s="28" t="n">
        <f aca="false">IFERROR(SUMPRODUCT((Indicators!$B$5:$B$35=J$4)*Indicators!$O$5:$O$35*'Indicator Scores'!$U$5:$U$35)/SUMPRODUCT((Indicators!$B$5:$B$35=J$4)*Indicators!$O$5:$O$35*('Indicator Scores'!$U$5:$U$35&gt;0)),0)</f>
        <v>4</v>
      </c>
      <c r="K128" s="28" t="n">
        <f aca="false">IFERROR(SUMPRODUCT(F128:J128,INDEX('Factor Weights'!$C$5:$G$11,MATCH(D128,'Factor Weights'!$A$5:$A$11,0),0))/SUMPRODUCT((F128:J128&gt;0)*INDEX('Factor Weights'!$C$5:$G$11,MATCH(D128,'Factor Weights'!$A$5:$A$11,0),0)),0)</f>
        <v>3.155</v>
      </c>
      <c r="L128" s="29" t="n">
        <f aca="false">MAX(F128:J128)</f>
        <v>4</v>
      </c>
      <c r="M128" s="28" t="n">
        <f aca="false">IF(L128&gt;=Config!$C$13,MAX(K128,Config!$C$14),K128)</f>
        <v>3.155</v>
      </c>
      <c r="N128" s="30" t="n">
        <f aca="false">IF(Config!$C$12="Weighted average",K128,IF(Config!$C$12="Weighted with floor",M128,L128))</f>
        <v>3.155</v>
      </c>
      <c r="O128" s="31" t="n">
        <f aca="false">IF(N128&lt;Config!$D$5,"",MATCH(N128,Config!$D$5:$D$9,1))</f>
        <v>3</v>
      </c>
      <c r="P128" s="7" t="str">
        <f aca="false">IF(O128="","No data",INDEX(Config!$B$5:$B$9,O128))</f>
        <v>Medium</v>
      </c>
      <c r="Q128" s="32" t="n">
        <v>0</v>
      </c>
      <c r="R128" s="8"/>
      <c r="S128" s="33"/>
      <c r="T128" s="34" t="n">
        <f aca="false">IF(O128="","",IF(AND(S128="Y",Q128&lt;&gt;0),MAX(1,MIN(5,O128+MAX(-Config!$C$27,MIN(Config!$C$27,Q128)))),O128))</f>
        <v>3</v>
      </c>
      <c r="U128" s="35" t="str">
        <f aca="false">IF(T128="","No data",INDEX(Config!$B$5:$B$9,T128))</f>
        <v>Medium</v>
      </c>
      <c r="V128" s="7" t="str">
        <f aca="false">IF(Q128=0,"None",IF(S128="Y","Applied","Pending HO approval"))</f>
        <v>None</v>
      </c>
      <c r="W128" s="36" t="n">
        <f aca="false">SUMPRODUCT((Indicators!$O$5:$O$35&gt;0)*('Indicator Data'!$U$5:$U$35&lt;&gt;""))/SUMPRODUCT(--(Indicators!$O$5:$O$35&gt;0))</f>
        <v>1</v>
      </c>
    </row>
    <row r="129" customFormat="false" ht="15" hidden="false" customHeight="false" outlineLevel="0" collapsed="false">
      <c r="A129" s="26" t="str">
        <f aca="false">Entities!$A$22</f>
        <v>DZ</v>
      </c>
      <c r="B129" s="12" t="str">
        <f aca="false">INDEX(Entities!$B$5:$B$34,MATCH(A129,Entities!$A$5:$A$34,0))</f>
        <v>Arab Bank – Algeria</v>
      </c>
      <c r="C129" s="12" t="str">
        <f aca="false">INDEX(Entities!$D$5:$D$34,MATCH(A129,Entities!$A$5:$A$34,0))</f>
        <v>North Africa</v>
      </c>
      <c r="D129" s="12" t="s">
        <v>251</v>
      </c>
      <c r="E129" s="12" t="str">
        <f aca="false">INDEX('Risk Taxonomy'!$B$5:$B$24,MATCH(D129,'Risk Taxonomy'!$A$5:$A$24,0))</f>
        <v>Fraud</v>
      </c>
      <c r="F129" s="28" t="n">
        <f aca="false">IFERROR(SUMPRODUCT((Indicators!$B$5:$B$35=F$4)*Indicators!$P$5:$P$35*'Indicator Scores'!$U$5:$U$35)/SUMPRODUCT((Indicators!$B$5:$B$35=F$4)*Indicators!$P$5:$P$35*('Indicator Scores'!$U$5:$U$35&gt;0)),0)</f>
        <v>3</v>
      </c>
      <c r="G129" s="28" t="n">
        <f aca="false">IFERROR(SUMPRODUCT((Indicators!$B$5:$B$35=G$4)*Indicators!$P$5:$P$35*'Indicator Scores'!$U$5:$U$35)/SUMPRODUCT((Indicators!$B$5:$B$35=G$4)*Indicators!$P$5:$P$35*('Indicator Scores'!$U$5:$U$35&gt;0)),0)</f>
        <v>3</v>
      </c>
      <c r="H129" s="28" t="n">
        <f aca="false">IFERROR(SUMPRODUCT((Indicators!$B$5:$B$35=H$4)*Indicators!$P$5:$P$35*'Indicator Scores'!$U$5:$U$35)/SUMPRODUCT((Indicators!$B$5:$B$35=H$4)*Indicators!$P$5:$P$35*('Indicator Scores'!$U$5:$U$35&gt;0)),0)</f>
        <v>3</v>
      </c>
      <c r="I129" s="28" t="n">
        <f aca="false">IFERROR(SUMPRODUCT((Indicators!$B$5:$B$35=I$4)*Indicators!$P$5:$P$35*'Indicator Scores'!$U$5:$U$35)/SUMPRODUCT((Indicators!$B$5:$B$35=I$4)*Indicators!$P$5:$P$35*('Indicator Scores'!$U$5:$U$35&gt;0)),0)</f>
        <v>3.55555555555556</v>
      </c>
      <c r="J129" s="28" t="n">
        <f aca="false">IFERROR(SUMPRODUCT((Indicators!$B$5:$B$35=J$4)*Indicators!$P$5:$P$35*'Indicator Scores'!$U$5:$U$35)/SUMPRODUCT((Indicators!$B$5:$B$35=J$4)*Indicators!$P$5:$P$35*('Indicator Scores'!$U$5:$U$35&gt;0)),0)</f>
        <v>3.6</v>
      </c>
      <c r="K129" s="28" t="n">
        <f aca="false">IFERROR(SUMPRODUCT(F129:J129,INDEX('Factor Weights'!$C$5:$G$11,MATCH(D129,'Factor Weights'!$A$5:$A$11,0),0))/SUMPRODUCT((F129:J129&gt;0)*INDEX('Factor Weights'!$C$5:$G$11,MATCH(D129,'Factor Weights'!$A$5:$A$11,0),0)),0)</f>
        <v>3.28666666666667</v>
      </c>
      <c r="L129" s="29" t="n">
        <f aca="false">MAX(F129:J129)</f>
        <v>3.6</v>
      </c>
      <c r="M129" s="28" t="n">
        <f aca="false">IF(L129&gt;=Config!$C$13,MAX(K129,Config!$C$14),K129)</f>
        <v>3.28666666666667</v>
      </c>
      <c r="N129" s="30" t="n">
        <f aca="false">IF(Config!$C$12="Weighted average",K129,IF(Config!$C$12="Weighted with floor",M129,L129))</f>
        <v>3.28666666666667</v>
      </c>
      <c r="O129" s="31" t="n">
        <f aca="false">IF(N129&lt;Config!$D$5,"",MATCH(N129,Config!$D$5:$D$9,1))</f>
        <v>3</v>
      </c>
      <c r="P129" s="7" t="str">
        <f aca="false">IF(O129="","No data",INDEX(Config!$B$5:$B$9,O129))</f>
        <v>Medium</v>
      </c>
      <c r="Q129" s="32" t="n">
        <v>0</v>
      </c>
      <c r="R129" s="8"/>
      <c r="S129" s="33"/>
      <c r="T129" s="34" t="n">
        <f aca="false">IF(O129="","",IF(AND(S129="Y",Q129&lt;&gt;0),MAX(1,MIN(5,O129+MAX(-Config!$C$27,MIN(Config!$C$27,Q129)))),O129))</f>
        <v>3</v>
      </c>
      <c r="U129" s="35" t="str">
        <f aca="false">IF(T129="","No data",INDEX(Config!$B$5:$B$9,T129))</f>
        <v>Medium</v>
      </c>
      <c r="V129" s="7" t="str">
        <f aca="false">IF(Q129=0,"None",IF(S129="Y","Applied","Pending HO approval"))</f>
        <v>None</v>
      </c>
      <c r="W129" s="36" t="n">
        <f aca="false">SUMPRODUCT((Indicators!$P$5:$P$35&gt;0)*('Indicator Data'!$U$5:$U$35&lt;&gt;""))/SUMPRODUCT(--(Indicators!$P$5:$P$35&gt;0))</f>
        <v>1</v>
      </c>
    </row>
    <row r="130" customFormat="false" ht="15" hidden="false" customHeight="false" outlineLevel="0" collapsed="false">
      <c r="A130" s="26" t="str">
        <f aca="false">Entities!$A$22</f>
        <v>DZ</v>
      </c>
      <c r="B130" s="12" t="str">
        <f aca="false">INDEX(Entities!$B$5:$B$34,MATCH(A130,Entities!$A$5:$A$34,0))</f>
        <v>Arab Bank – Algeria</v>
      </c>
      <c r="C130" s="12" t="str">
        <f aca="false">INDEX(Entities!$D$5:$D$34,MATCH(A130,Entities!$A$5:$A$34,0))</f>
        <v>North Africa</v>
      </c>
      <c r="D130" s="12" t="s">
        <v>254</v>
      </c>
      <c r="E130" s="12" t="str">
        <f aca="false">INDEX('Risk Taxonomy'!$B$5:$B$24,MATCH(D130,'Risk Taxonomy'!$A$5:$A$24,0))</f>
        <v>Tax evasion and tax transparency</v>
      </c>
      <c r="F130" s="28" t="n">
        <f aca="false">IFERROR(SUMPRODUCT((Indicators!$B$5:$B$35=F$4)*Indicators!$Q$5:$Q$35*'Indicator Scores'!$U$5:$U$35)/SUMPRODUCT((Indicators!$B$5:$B$35=F$4)*Indicators!$Q$5:$Q$35*('Indicator Scores'!$U$5:$U$35&gt;0)),0)</f>
        <v>2.88888888888889</v>
      </c>
      <c r="G130" s="28" t="n">
        <f aca="false">IFERROR(SUMPRODUCT((Indicators!$B$5:$B$35=G$4)*Indicators!$Q$5:$Q$35*'Indicator Scores'!$U$5:$U$35)/SUMPRODUCT((Indicators!$B$5:$B$35=G$4)*Indicators!$Q$5:$Q$35*('Indicator Scores'!$U$5:$U$35&gt;0)),0)</f>
        <v>3</v>
      </c>
      <c r="H130" s="28" t="n">
        <f aca="false">IFERROR(SUMPRODUCT((Indicators!$B$5:$B$35=H$4)*Indicators!$Q$5:$Q$35*'Indicator Scores'!$U$5:$U$35)/SUMPRODUCT((Indicators!$B$5:$B$35=H$4)*Indicators!$Q$5:$Q$35*('Indicator Scores'!$U$5:$U$35&gt;0)),0)</f>
        <v>3.5</v>
      </c>
      <c r="I130" s="28" t="n">
        <f aca="false">IFERROR(SUMPRODUCT((Indicators!$B$5:$B$35=I$4)*Indicators!$Q$5:$Q$35*'Indicator Scores'!$U$5:$U$35)/SUMPRODUCT((Indicators!$B$5:$B$35=I$4)*Indicators!$Q$5:$Q$35*('Indicator Scores'!$U$5:$U$35&gt;0)),0)</f>
        <v>3</v>
      </c>
      <c r="J130" s="28" t="n">
        <f aca="false">IFERROR(SUMPRODUCT((Indicators!$B$5:$B$35=J$4)*Indicators!$Q$5:$Q$35*'Indicator Scores'!$U$5:$U$35)/SUMPRODUCT((Indicators!$B$5:$B$35=J$4)*Indicators!$Q$5:$Q$35*('Indicator Scores'!$U$5:$U$35&gt;0)),0)</f>
        <v>3.6</v>
      </c>
      <c r="K130" s="28" t="n">
        <f aca="false">IFERROR(SUMPRODUCT(F130:J130,INDEX('Factor Weights'!$C$5:$G$11,MATCH(D130,'Factor Weights'!$A$5:$A$11,0),0))/SUMPRODUCT((F130:J130&gt;0)*INDEX('Factor Weights'!$C$5:$G$11,MATCH(D130,'Factor Weights'!$A$5:$A$11,0),0)),0)</f>
        <v>3.12111111111111</v>
      </c>
      <c r="L130" s="29" t="n">
        <f aca="false">MAX(F130:J130)</f>
        <v>3.6</v>
      </c>
      <c r="M130" s="28" t="n">
        <f aca="false">IF(L130&gt;=Config!$C$13,MAX(K130,Config!$C$14),K130)</f>
        <v>3.12111111111111</v>
      </c>
      <c r="N130" s="30" t="n">
        <f aca="false">IF(Config!$C$12="Weighted average",K130,IF(Config!$C$12="Weighted with floor",M130,L130))</f>
        <v>3.12111111111111</v>
      </c>
      <c r="O130" s="31" t="n">
        <f aca="false">IF(N130&lt;Config!$D$5,"",MATCH(N130,Config!$D$5:$D$9,1))</f>
        <v>3</v>
      </c>
      <c r="P130" s="7" t="str">
        <f aca="false">IF(O130="","No data",INDEX(Config!$B$5:$B$9,O130))</f>
        <v>Medium</v>
      </c>
      <c r="Q130" s="32" t="n">
        <v>0</v>
      </c>
      <c r="R130" s="8"/>
      <c r="S130" s="33"/>
      <c r="T130" s="34" t="n">
        <f aca="false">IF(O130="","",IF(AND(S130="Y",Q130&lt;&gt;0),MAX(1,MIN(5,O130+MAX(-Config!$C$27,MIN(Config!$C$27,Q130)))),O130))</f>
        <v>3</v>
      </c>
      <c r="U130" s="35" t="str">
        <f aca="false">IF(T130="","No data",INDEX(Config!$B$5:$B$9,T130))</f>
        <v>Medium</v>
      </c>
      <c r="V130" s="7" t="str">
        <f aca="false">IF(Q130=0,"None",IF(S130="Y","Applied","Pending HO approval"))</f>
        <v>None</v>
      </c>
      <c r="W130" s="36" t="n">
        <f aca="false">SUMPRODUCT((Indicators!$Q$5:$Q$35&gt;0)*('Indicator Data'!$U$5:$U$35&lt;&gt;""))/SUMPRODUCT(--(Indicators!$Q$5:$Q$35&gt;0))</f>
        <v>1</v>
      </c>
    </row>
    <row r="131" customFormat="false" ht="15" hidden="false" customHeight="false" outlineLevel="0" collapsed="false">
      <c r="A131" s="26" t="str">
        <f aca="false">Entities!$A$23</f>
        <v>MA</v>
      </c>
      <c r="B131" s="12" t="str">
        <f aca="false">INDEX(Entities!$B$5:$B$34,MATCH(A131,Entities!$A$5:$A$34,0))</f>
        <v>Arab Bank – Morocco</v>
      </c>
      <c r="C131" s="12" t="str">
        <f aca="false">INDEX(Entities!$D$5:$D$34,MATCH(A131,Entities!$A$5:$A$34,0))</f>
        <v>North Africa</v>
      </c>
      <c r="D131" s="12" t="s">
        <v>233</v>
      </c>
      <c r="E131" s="12" t="str">
        <f aca="false">INDEX('Risk Taxonomy'!$B$5:$B$24,MATCH(D131,'Risk Taxonomy'!$A$5:$A$24,0))</f>
        <v>Money laundering</v>
      </c>
      <c r="F131" s="28" t="n">
        <f aca="false">IFERROR(SUMPRODUCT((Indicators!$B$5:$B$35=F$4)*Indicators!$K$5:$K$35*'Indicator Scores'!$V$5:$V$35)/SUMPRODUCT((Indicators!$B$5:$B$35=F$4)*Indicators!$K$5:$K$35*('Indicator Scores'!$V$5:$V$35&gt;0)),0)</f>
        <v>2.91666666666667</v>
      </c>
      <c r="G131" s="28" t="n">
        <f aca="false">IFERROR(SUMPRODUCT((Indicators!$B$5:$B$35=G$4)*Indicators!$K$5:$K$35*'Indicator Scores'!$V$5:$V$35)/SUMPRODUCT((Indicators!$B$5:$B$35=G$4)*Indicators!$K$5:$K$35*('Indicator Scores'!$V$5:$V$35&gt;0)),0)</f>
        <v>3.33333333333333</v>
      </c>
      <c r="H131" s="28" t="n">
        <f aca="false">IFERROR(SUMPRODUCT((Indicators!$B$5:$B$35=H$4)*Indicators!$K$5:$K$35*'Indicator Scores'!$V$5:$V$35)/SUMPRODUCT((Indicators!$B$5:$B$35=H$4)*Indicators!$K$5:$K$35*('Indicator Scores'!$V$5:$V$35&gt;0)),0)</f>
        <v>3.1</v>
      </c>
      <c r="I131" s="28" t="n">
        <f aca="false">IFERROR(SUMPRODUCT((Indicators!$B$5:$B$35=I$4)*Indicators!$K$5:$K$35*'Indicator Scores'!$V$5:$V$35)/SUMPRODUCT((Indicators!$B$5:$B$35=I$4)*Indicators!$K$5:$K$35*('Indicator Scores'!$V$5:$V$35&gt;0)),0)</f>
        <v>3.14285714285714</v>
      </c>
      <c r="J131" s="28" t="n">
        <f aca="false">IFERROR(SUMPRODUCT((Indicators!$B$5:$B$35=J$4)*Indicators!$K$5:$K$35*'Indicator Scores'!$V$5:$V$35)/SUMPRODUCT((Indicators!$B$5:$B$35=J$4)*Indicators!$K$5:$K$35*('Indicator Scores'!$V$5:$V$35&gt;0)),0)</f>
        <v>2.6</v>
      </c>
      <c r="K131" s="28" t="n">
        <f aca="false">IFERROR(SUMPRODUCT(F131:J131,INDEX('Factor Weights'!$C$5:$G$11,MATCH(D131,'Factor Weights'!$A$5:$A$11,0),0))/SUMPRODUCT((F131:J131&gt;0)*INDEX('Factor Weights'!$C$5:$G$11,MATCH(D131,'Factor Weights'!$A$5:$A$11,0),0)),0)</f>
        <v>3.05976190476191</v>
      </c>
      <c r="L131" s="29" t="n">
        <f aca="false">MAX(F131:J131)</f>
        <v>3.33333333333333</v>
      </c>
      <c r="M131" s="28" t="n">
        <f aca="false">IF(L131&gt;=Config!$C$13,MAX(K131,Config!$C$14),K131)</f>
        <v>3.05976190476191</v>
      </c>
      <c r="N131" s="30" t="n">
        <f aca="false">IF(Config!$C$12="Weighted average",K131,IF(Config!$C$12="Weighted with floor",M131,L131))</f>
        <v>3.05976190476191</v>
      </c>
      <c r="O131" s="31" t="n">
        <f aca="false">IF(N131&lt;Config!$D$5,"",MATCH(N131,Config!$D$5:$D$9,1))</f>
        <v>3</v>
      </c>
      <c r="P131" s="7" t="str">
        <f aca="false">IF(O131="","No data",INDEX(Config!$B$5:$B$9,O131))</f>
        <v>Medium</v>
      </c>
      <c r="Q131" s="32" t="n">
        <v>0</v>
      </c>
      <c r="R131" s="8"/>
      <c r="S131" s="33"/>
      <c r="T131" s="34" t="n">
        <f aca="false">IF(O131="","",IF(AND(S131="Y",Q131&lt;&gt;0),MAX(1,MIN(5,O131+MAX(-Config!$C$27,MIN(Config!$C$27,Q131)))),O131))</f>
        <v>3</v>
      </c>
      <c r="U131" s="35" t="str">
        <f aca="false">IF(T131="","No data",INDEX(Config!$B$5:$B$9,T131))</f>
        <v>Medium</v>
      </c>
      <c r="V131" s="7" t="str">
        <f aca="false">IF(Q131=0,"None",IF(S131="Y","Applied","Pending HO approval"))</f>
        <v>None</v>
      </c>
      <c r="W131" s="36" t="n">
        <f aca="false">SUMPRODUCT((Indicators!$K$5:$K$35&gt;0)*('Indicator Data'!$V$5:$V$35&lt;&gt;""))/SUMPRODUCT(--(Indicators!$K$5:$K$35&gt;0))</f>
        <v>1</v>
      </c>
    </row>
    <row r="132" customFormat="false" ht="15" hidden="false" customHeight="false" outlineLevel="0" collapsed="false">
      <c r="A132" s="26" t="str">
        <f aca="false">Entities!$A$23</f>
        <v>MA</v>
      </c>
      <c r="B132" s="12" t="str">
        <f aca="false">INDEX(Entities!$B$5:$B$34,MATCH(A132,Entities!$A$5:$A$34,0))</f>
        <v>Arab Bank – Morocco</v>
      </c>
      <c r="C132" s="12" t="str">
        <f aca="false">INDEX(Entities!$D$5:$D$34,MATCH(A132,Entities!$A$5:$A$34,0))</f>
        <v>North Africa</v>
      </c>
      <c r="D132" s="12" t="s">
        <v>240</v>
      </c>
      <c r="E132" s="12" t="str">
        <f aca="false">INDEX('Risk Taxonomy'!$B$5:$B$24,MATCH(D132,'Risk Taxonomy'!$A$5:$A$24,0))</f>
        <v>Terrorist financing</v>
      </c>
      <c r="F132" s="28" t="n">
        <f aca="false">IFERROR(SUMPRODUCT((Indicators!$B$5:$B$35=F$4)*Indicators!$L$5:$L$35*'Indicator Scores'!$V$5:$V$35)/SUMPRODUCT((Indicators!$B$5:$B$35=F$4)*Indicators!$L$5:$L$35*('Indicator Scores'!$V$5:$V$35&gt;0)),0)</f>
        <v>3.2</v>
      </c>
      <c r="G132" s="28" t="n">
        <f aca="false">IFERROR(SUMPRODUCT((Indicators!$B$5:$B$35=G$4)*Indicators!$L$5:$L$35*'Indicator Scores'!$V$5:$V$35)/SUMPRODUCT((Indicators!$B$5:$B$35=G$4)*Indicators!$L$5:$L$35*('Indicator Scores'!$V$5:$V$35&gt;0)),0)</f>
        <v>3.22222222222222</v>
      </c>
      <c r="H132" s="28" t="n">
        <f aca="false">IFERROR(SUMPRODUCT((Indicators!$B$5:$B$35=H$4)*Indicators!$L$5:$L$35*'Indicator Scores'!$V$5:$V$35)/SUMPRODUCT((Indicators!$B$5:$B$35=H$4)*Indicators!$L$5:$L$35*('Indicator Scores'!$V$5:$V$35&gt;0)),0)</f>
        <v>2.83333333333333</v>
      </c>
      <c r="I132" s="28" t="n">
        <f aca="false">IFERROR(SUMPRODUCT((Indicators!$B$5:$B$35=I$4)*Indicators!$L$5:$L$35*'Indicator Scores'!$V$5:$V$35)/SUMPRODUCT((Indicators!$B$5:$B$35=I$4)*Indicators!$L$5:$L$35*('Indicator Scores'!$V$5:$V$35&gt;0)),0)</f>
        <v>3.16666666666667</v>
      </c>
      <c r="J132" s="28" t="n">
        <f aca="false">IFERROR(SUMPRODUCT((Indicators!$B$5:$B$35=J$4)*Indicators!$L$5:$L$35*'Indicator Scores'!$V$5:$V$35)/SUMPRODUCT((Indicators!$B$5:$B$35=J$4)*Indicators!$L$5:$L$35*('Indicator Scores'!$V$5:$V$35&gt;0)),0)</f>
        <v>2.42857142857143</v>
      </c>
      <c r="K132" s="28" t="n">
        <f aca="false">IFERROR(SUMPRODUCT(F132:J132,INDEX('Factor Weights'!$C$5:$G$11,MATCH(D132,'Factor Weights'!$A$5:$A$11,0),0))/SUMPRODUCT((F132:J132&gt;0)*INDEX('Factor Weights'!$C$5:$G$11,MATCH(D132,'Factor Weights'!$A$5:$A$11,0),0)),0)</f>
        <v>2.99404761904762</v>
      </c>
      <c r="L132" s="29" t="n">
        <f aca="false">MAX(F132:J132)</f>
        <v>3.22222222222222</v>
      </c>
      <c r="M132" s="28" t="n">
        <f aca="false">IF(L132&gt;=Config!$C$13,MAX(K132,Config!$C$14),K132)</f>
        <v>2.99404761904762</v>
      </c>
      <c r="N132" s="30" t="n">
        <f aca="false">IF(Config!$C$12="Weighted average",K132,IF(Config!$C$12="Weighted with floor",M132,L132))</f>
        <v>2.99404761904762</v>
      </c>
      <c r="O132" s="31" t="n">
        <f aca="false">IF(N132&lt;Config!$D$5,"",MATCH(N132,Config!$D$5:$D$9,1))</f>
        <v>3</v>
      </c>
      <c r="P132" s="7" t="str">
        <f aca="false">IF(O132="","No data",INDEX(Config!$B$5:$B$9,O132))</f>
        <v>Medium</v>
      </c>
      <c r="Q132" s="32" t="n">
        <v>0</v>
      </c>
      <c r="R132" s="8"/>
      <c r="S132" s="33"/>
      <c r="T132" s="34" t="n">
        <f aca="false">IF(O132="","",IF(AND(S132="Y",Q132&lt;&gt;0),MAX(1,MIN(5,O132+MAX(-Config!$C$27,MIN(Config!$C$27,Q132)))),O132))</f>
        <v>3</v>
      </c>
      <c r="U132" s="35" t="str">
        <f aca="false">IF(T132="","No data",INDEX(Config!$B$5:$B$9,T132))</f>
        <v>Medium</v>
      </c>
      <c r="V132" s="7" t="str">
        <f aca="false">IF(Q132=0,"None",IF(S132="Y","Applied","Pending HO approval"))</f>
        <v>None</v>
      </c>
      <c r="W132" s="36" t="n">
        <f aca="false">SUMPRODUCT((Indicators!$L$5:$L$35&gt;0)*('Indicator Data'!$V$5:$V$35&lt;&gt;""))/SUMPRODUCT(--(Indicators!$L$5:$L$35&gt;0))</f>
        <v>1</v>
      </c>
    </row>
    <row r="133" customFormat="false" ht="15" hidden="false" customHeight="false" outlineLevel="0" collapsed="false">
      <c r="A133" s="26" t="str">
        <f aca="false">Entities!$A$23</f>
        <v>MA</v>
      </c>
      <c r="B133" s="12" t="str">
        <f aca="false">INDEX(Entities!$B$5:$B$34,MATCH(A133,Entities!$A$5:$A$34,0))</f>
        <v>Arab Bank – Morocco</v>
      </c>
      <c r="C133" s="12" t="str">
        <f aca="false">INDEX(Entities!$D$5:$D$34,MATCH(A133,Entities!$A$5:$A$34,0))</f>
        <v>North Africa</v>
      </c>
      <c r="D133" s="12" t="s">
        <v>243</v>
      </c>
      <c r="E133" s="12" t="str">
        <f aca="false">INDEX('Risk Taxonomy'!$B$5:$B$24,MATCH(D133,'Risk Taxonomy'!$A$5:$A$24,0))</f>
        <v>Proliferation financing</v>
      </c>
      <c r="F133" s="28" t="n">
        <f aca="false">IFERROR(SUMPRODUCT((Indicators!$B$5:$B$35=F$4)*Indicators!$M$5:$M$35*'Indicator Scores'!$V$5:$V$35)/SUMPRODUCT((Indicators!$B$5:$B$35=F$4)*Indicators!$M$5:$M$35*('Indicator Scores'!$V$5:$V$35&gt;0)),0)</f>
        <v>3</v>
      </c>
      <c r="G133" s="28" t="n">
        <f aca="false">IFERROR(SUMPRODUCT((Indicators!$B$5:$B$35=G$4)*Indicators!$M$5:$M$35*'Indicator Scores'!$V$5:$V$35)/SUMPRODUCT((Indicators!$B$5:$B$35=G$4)*Indicators!$M$5:$M$35*('Indicator Scores'!$V$5:$V$35&gt;0)),0)</f>
        <v>3.375</v>
      </c>
      <c r="H133" s="28" t="n">
        <f aca="false">IFERROR(SUMPRODUCT((Indicators!$B$5:$B$35=H$4)*Indicators!$M$5:$M$35*'Indicator Scores'!$V$5:$V$35)/SUMPRODUCT((Indicators!$B$5:$B$35=H$4)*Indicators!$M$5:$M$35*('Indicator Scores'!$V$5:$V$35&gt;0)),0)</f>
        <v>2.55555555555556</v>
      </c>
      <c r="I133" s="28" t="n">
        <f aca="false">IFERROR(SUMPRODUCT((Indicators!$B$5:$B$35=I$4)*Indicators!$M$5:$M$35*'Indicator Scores'!$V$5:$V$35)/SUMPRODUCT((Indicators!$B$5:$B$35=I$4)*Indicators!$M$5:$M$35*('Indicator Scores'!$V$5:$V$35&gt;0)),0)</f>
        <v>2.66666666666667</v>
      </c>
      <c r="J133" s="28" t="n">
        <f aca="false">IFERROR(SUMPRODUCT((Indicators!$B$5:$B$35=J$4)*Indicators!$M$5:$M$35*'Indicator Scores'!$V$5:$V$35)/SUMPRODUCT((Indicators!$B$5:$B$35=J$4)*Indicators!$M$5:$M$35*('Indicator Scores'!$V$5:$V$35&gt;0)),0)</f>
        <v>3</v>
      </c>
      <c r="K133" s="28" t="n">
        <f aca="false">IFERROR(SUMPRODUCT(F133:J133,INDEX('Factor Weights'!$C$5:$G$11,MATCH(D133,'Factor Weights'!$A$5:$A$11,0),0))/SUMPRODUCT((F133:J133&gt;0)*INDEX('Factor Weights'!$C$5:$G$11,MATCH(D133,'Factor Weights'!$A$5:$A$11,0),0)),0)</f>
        <v>2.9625</v>
      </c>
      <c r="L133" s="29" t="n">
        <f aca="false">MAX(F133:J133)</f>
        <v>3.375</v>
      </c>
      <c r="M133" s="28" t="n">
        <f aca="false">IF(L133&gt;=Config!$C$13,MAX(K133,Config!$C$14),K133)</f>
        <v>2.9625</v>
      </c>
      <c r="N133" s="30" t="n">
        <f aca="false">IF(Config!$C$12="Weighted average",K133,IF(Config!$C$12="Weighted with floor",M133,L133))</f>
        <v>2.9625</v>
      </c>
      <c r="O133" s="31" t="n">
        <f aca="false">IF(N133&lt;Config!$D$5,"",MATCH(N133,Config!$D$5:$D$9,1))</f>
        <v>3</v>
      </c>
      <c r="P133" s="7" t="str">
        <f aca="false">IF(O133="","No data",INDEX(Config!$B$5:$B$9,O133))</f>
        <v>Medium</v>
      </c>
      <c r="Q133" s="32" t="n">
        <v>0</v>
      </c>
      <c r="R133" s="8"/>
      <c r="S133" s="33"/>
      <c r="T133" s="34" t="n">
        <f aca="false">IF(O133="","",IF(AND(S133="Y",Q133&lt;&gt;0),MAX(1,MIN(5,O133+MAX(-Config!$C$27,MIN(Config!$C$27,Q133)))),O133))</f>
        <v>3</v>
      </c>
      <c r="U133" s="35" t="str">
        <f aca="false">IF(T133="","No data",INDEX(Config!$B$5:$B$9,T133))</f>
        <v>Medium</v>
      </c>
      <c r="V133" s="7" t="str">
        <f aca="false">IF(Q133=0,"None",IF(S133="Y","Applied","Pending HO approval"))</f>
        <v>None</v>
      </c>
      <c r="W133" s="36" t="n">
        <f aca="false">SUMPRODUCT((Indicators!$M$5:$M$35&gt;0)*('Indicator Data'!$V$5:$V$35&lt;&gt;""))/SUMPRODUCT(--(Indicators!$M$5:$M$35&gt;0))</f>
        <v>1</v>
      </c>
    </row>
    <row r="134" customFormat="false" ht="15" hidden="false" customHeight="false" outlineLevel="0" collapsed="false">
      <c r="A134" s="26" t="str">
        <f aca="false">Entities!$A$23</f>
        <v>MA</v>
      </c>
      <c r="B134" s="12" t="str">
        <f aca="false">INDEX(Entities!$B$5:$B$34,MATCH(A134,Entities!$A$5:$A$34,0))</f>
        <v>Arab Bank – Morocco</v>
      </c>
      <c r="C134" s="12" t="str">
        <f aca="false">INDEX(Entities!$D$5:$D$34,MATCH(A134,Entities!$A$5:$A$34,0))</f>
        <v>North Africa</v>
      </c>
      <c r="D134" s="12" t="s">
        <v>245</v>
      </c>
      <c r="E134" s="12" t="str">
        <f aca="false">INDEX('Risk Taxonomy'!$B$5:$B$24,MATCH(D134,'Risk Taxonomy'!$A$5:$A$24,0))</f>
        <v>Sanctions</v>
      </c>
      <c r="F134" s="28" t="n">
        <f aca="false">IFERROR(SUMPRODUCT((Indicators!$B$5:$B$35=F$4)*Indicators!$N$5:$N$35*'Indicator Scores'!$V$5:$V$35)/SUMPRODUCT((Indicators!$B$5:$B$35=F$4)*Indicators!$N$5:$N$35*('Indicator Scores'!$V$5:$V$35&gt;0)),0)</f>
        <v>3.14285714285714</v>
      </c>
      <c r="G134" s="28" t="n">
        <f aca="false">IFERROR(SUMPRODUCT((Indicators!$B$5:$B$35=G$4)*Indicators!$N$5:$N$35*'Indicator Scores'!$V$5:$V$35)/SUMPRODUCT((Indicators!$B$5:$B$35=G$4)*Indicators!$N$5:$N$35*('Indicator Scores'!$V$5:$V$35&gt;0)),0)</f>
        <v>3.28571428571429</v>
      </c>
      <c r="H134" s="28" t="n">
        <f aca="false">IFERROR(SUMPRODUCT((Indicators!$B$5:$B$35=H$4)*Indicators!$N$5:$N$35*'Indicator Scores'!$V$5:$V$35)/SUMPRODUCT((Indicators!$B$5:$B$35=H$4)*Indicators!$N$5:$N$35*('Indicator Scores'!$V$5:$V$35&gt;0)),0)</f>
        <v>2.75</v>
      </c>
      <c r="I134" s="28" t="n">
        <f aca="false">IFERROR(SUMPRODUCT((Indicators!$B$5:$B$35=I$4)*Indicators!$N$5:$N$35*'Indicator Scores'!$V$5:$V$35)/SUMPRODUCT((Indicators!$B$5:$B$35=I$4)*Indicators!$N$5:$N$35*('Indicator Scores'!$V$5:$V$35&gt;0)),0)</f>
        <v>3.33333333333333</v>
      </c>
      <c r="J134" s="28" t="n">
        <f aca="false">IFERROR(SUMPRODUCT((Indicators!$B$5:$B$35=J$4)*Indicators!$N$5:$N$35*'Indicator Scores'!$V$5:$V$35)/SUMPRODUCT((Indicators!$B$5:$B$35=J$4)*Indicators!$N$5:$N$35*('Indicator Scores'!$V$5:$V$35&gt;0)),0)</f>
        <v>3</v>
      </c>
      <c r="K134" s="28" t="n">
        <f aca="false">IFERROR(SUMPRODUCT(F134:J134,INDEX('Factor Weights'!$C$5:$G$11,MATCH(D134,'Factor Weights'!$A$5:$A$11,0),0))/SUMPRODUCT((F134:J134&gt;0)*INDEX('Factor Weights'!$C$5:$G$11,MATCH(D134,'Factor Weights'!$A$5:$A$11,0),0)),0)</f>
        <v>3.10238095238095</v>
      </c>
      <c r="L134" s="29" t="n">
        <f aca="false">MAX(F134:J134)</f>
        <v>3.33333333333333</v>
      </c>
      <c r="M134" s="28" t="n">
        <f aca="false">IF(L134&gt;=Config!$C$13,MAX(K134,Config!$C$14),K134)</f>
        <v>3.10238095238095</v>
      </c>
      <c r="N134" s="30" t="n">
        <f aca="false">IF(Config!$C$12="Weighted average",K134,IF(Config!$C$12="Weighted with floor",M134,L134))</f>
        <v>3.10238095238095</v>
      </c>
      <c r="O134" s="31" t="n">
        <f aca="false">IF(N134&lt;Config!$D$5,"",MATCH(N134,Config!$D$5:$D$9,1))</f>
        <v>3</v>
      </c>
      <c r="P134" s="7" t="str">
        <f aca="false">IF(O134="","No data",INDEX(Config!$B$5:$B$9,O134))</f>
        <v>Medium</v>
      </c>
      <c r="Q134" s="32" t="n">
        <v>0</v>
      </c>
      <c r="R134" s="8"/>
      <c r="S134" s="33"/>
      <c r="T134" s="34" t="n">
        <f aca="false">IF(O134="","",IF(AND(S134="Y",Q134&lt;&gt;0),MAX(1,MIN(5,O134+MAX(-Config!$C$27,MIN(Config!$C$27,Q134)))),O134))</f>
        <v>3</v>
      </c>
      <c r="U134" s="35" t="str">
        <f aca="false">IF(T134="","No data",INDEX(Config!$B$5:$B$9,T134))</f>
        <v>Medium</v>
      </c>
      <c r="V134" s="7" t="str">
        <f aca="false">IF(Q134=0,"None",IF(S134="Y","Applied","Pending HO approval"))</f>
        <v>None</v>
      </c>
      <c r="W134" s="36" t="n">
        <f aca="false">SUMPRODUCT((Indicators!$N$5:$N$35&gt;0)*('Indicator Data'!$V$5:$V$35&lt;&gt;""))/SUMPRODUCT(--(Indicators!$N$5:$N$35&gt;0))</f>
        <v>1</v>
      </c>
    </row>
    <row r="135" customFormat="false" ht="15" hidden="false" customHeight="false" outlineLevel="0" collapsed="false">
      <c r="A135" s="26" t="str">
        <f aca="false">Entities!$A$23</f>
        <v>MA</v>
      </c>
      <c r="B135" s="12" t="str">
        <f aca="false">INDEX(Entities!$B$5:$B$34,MATCH(A135,Entities!$A$5:$A$34,0))</f>
        <v>Arab Bank – Morocco</v>
      </c>
      <c r="C135" s="12" t="str">
        <f aca="false">INDEX(Entities!$D$5:$D$34,MATCH(A135,Entities!$A$5:$A$34,0))</f>
        <v>North Africa</v>
      </c>
      <c r="D135" s="12" t="s">
        <v>248</v>
      </c>
      <c r="E135" s="12" t="str">
        <f aca="false">INDEX('Risk Taxonomy'!$B$5:$B$24,MATCH(D135,'Risk Taxonomy'!$A$5:$A$24,0))</f>
        <v>Bribery and corruption</v>
      </c>
      <c r="F135" s="28" t="n">
        <f aca="false">IFERROR(SUMPRODUCT((Indicators!$B$5:$B$35=F$4)*Indicators!$O$5:$O$35*'Indicator Scores'!$V$5:$V$35)/SUMPRODUCT((Indicators!$B$5:$B$35=F$4)*Indicators!$O$5:$O$35*('Indicator Scores'!$V$5:$V$35&gt;0)),0)</f>
        <v>3.44444444444444</v>
      </c>
      <c r="G135" s="28" t="n">
        <f aca="false">IFERROR(SUMPRODUCT((Indicators!$B$5:$B$35=G$4)*Indicators!$O$5:$O$35*'Indicator Scores'!$V$5:$V$35)/SUMPRODUCT((Indicators!$B$5:$B$35=G$4)*Indicators!$O$5:$O$35*('Indicator Scores'!$V$5:$V$35&gt;0)),0)</f>
        <v>3.4</v>
      </c>
      <c r="H135" s="28" t="n">
        <f aca="false">IFERROR(SUMPRODUCT((Indicators!$B$5:$B$35=H$4)*Indicators!$O$5:$O$35*'Indicator Scores'!$V$5:$V$35)/SUMPRODUCT((Indicators!$B$5:$B$35=H$4)*Indicators!$O$5:$O$35*('Indicator Scores'!$V$5:$V$35&gt;0)),0)</f>
        <v>3.5</v>
      </c>
      <c r="I135" s="28" t="n">
        <f aca="false">IFERROR(SUMPRODUCT((Indicators!$B$5:$B$35=I$4)*Indicators!$O$5:$O$35*'Indicator Scores'!$V$5:$V$35)/SUMPRODUCT((Indicators!$B$5:$B$35=I$4)*Indicators!$O$5:$O$35*('Indicator Scores'!$V$5:$V$35&gt;0)),0)</f>
        <v>2</v>
      </c>
      <c r="J135" s="28" t="n">
        <f aca="false">IFERROR(SUMPRODUCT((Indicators!$B$5:$B$35=J$4)*Indicators!$O$5:$O$35*'Indicator Scores'!$V$5:$V$35)/SUMPRODUCT((Indicators!$B$5:$B$35=J$4)*Indicators!$O$5:$O$35*('Indicator Scores'!$V$5:$V$35&gt;0)),0)</f>
        <v>3</v>
      </c>
      <c r="K135" s="28" t="n">
        <f aca="false">IFERROR(SUMPRODUCT(F135:J135,INDEX('Factor Weights'!$C$5:$G$11,MATCH(D135,'Factor Weights'!$A$5:$A$11,0),0))/SUMPRODUCT((F135:J135&gt;0)*INDEX('Factor Weights'!$C$5:$G$11,MATCH(D135,'Factor Weights'!$A$5:$A$11,0),0)),0)</f>
        <v>3.10833333333333</v>
      </c>
      <c r="L135" s="29" t="n">
        <f aca="false">MAX(F135:J135)</f>
        <v>3.5</v>
      </c>
      <c r="M135" s="28" t="n">
        <f aca="false">IF(L135&gt;=Config!$C$13,MAX(K135,Config!$C$14),K135)</f>
        <v>3.10833333333333</v>
      </c>
      <c r="N135" s="30" t="n">
        <f aca="false">IF(Config!$C$12="Weighted average",K135,IF(Config!$C$12="Weighted with floor",M135,L135))</f>
        <v>3.10833333333333</v>
      </c>
      <c r="O135" s="31" t="n">
        <f aca="false">IF(N135&lt;Config!$D$5,"",MATCH(N135,Config!$D$5:$D$9,1))</f>
        <v>3</v>
      </c>
      <c r="P135" s="7" t="str">
        <f aca="false">IF(O135="","No data",INDEX(Config!$B$5:$B$9,O135))</f>
        <v>Medium</v>
      </c>
      <c r="Q135" s="32" t="n">
        <v>0</v>
      </c>
      <c r="R135" s="8"/>
      <c r="S135" s="33"/>
      <c r="T135" s="34" t="n">
        <f aca="false">IF(O135="","",IF(AND(S135="Y",Q135&lt;&gt;0),MAX(1,MIN(5,O135+MAX(-Config!$C$27,MIN(Config!$C$27,Q135)))),O135))</f>
        <v>3</v>
      </c>
      <c r="U135" s="35" t="str">
        <f aca="false">IF(T135="","No data",INDEX(Config!$B$5:$B$9,T135))</f>
        <v>Medium</v>
      </c>
      <c r="V135" s="7" t="str">
        <f aca="false">IF(Q135=0,"None",IF(S135="Y","Applied","Pending HO approval"))</f>
        <v>None</v>
      </c>
      <c r="W135" s="36" t="n">
        <f aca="false">SUMPRODUCT((Indicators!$O$5:$O$35&gt;0)*('Indicator Data'!$V$5:$V$35&lt;&gt;""))/SUMPRODUCT(--(Indicators!$O$5:$O$35&gt;0))</f>
        <v>1</v>
      </c>
    </row>
    <row r="136" customFormat="false" ht="15" hidden="false" customHeight="false" outlineLevel="0" collapsed="false">
      <c r="A136" s="26" t="str">
        <f aca="false">Entities!$A$23</f>
        <v>MA</v>
      </c>
      <c r="B136" s="12" t="str">
        <f aca="false">INDEX(Entities!$B$5:$B$34,MATCH(A136,Entities!$A$5:$A$34,0))</f>
        <v>Arab Bank – Morocco</v>
      </c>
      <c r="C136" s="12" t="str">
        <f aca="false">INDEX(Entities!$D$5:$D$34,MATCH(A136,Entities!$A$5:$A$34,0))</f>
        <v>North Africa</v>
      </c>
      <c r="D136" s="12" t="s">
        <v>251</v>
      </c>
      <c r="E136" s="12" t="str">
        <f aca="false">INDEX('Risk Taxonomy'!$B$5:$B$24,MATCH(D136,'Risk Taxonomy'!$A$5:$A$24,0))</f>
        <v>Fraud</v>
      </c>
      <c r="F136" s="28" t="n">
        <f aca="false">IFERROR(SUMPRODUCT((Indicators!$B$5:$B$35=F$4)*Indicators!$P$5:$P$35*'Indicator Scores'!$V$5:$V$35)/SUMPRODUCT((Indicators!$B$5:$B$35=F$4)*Indicators!$P$5:$P$35*('Indicator Scores'!$V$5:$V$35&gt;0)),0)</f>
        <v>2.66666666666667</v>
      </c>
      <c r="G136" s="28" t="n">
        <f aca="false">IFERROR(SUMPRODUCT((Indicators!$B$5:$B$35=G$4)*Indicators!$P$5:$P$35*'Indicator Scores'!$V$5:$V$35)/SUMPRODUCT((Indicators!$B$5:$B$35=G$4)*Indicators!$P$5:$P$35*('Indicator Scores'!$V$5:$V$35&gt;0)),0)</f>
        <v>3.25</v>
      </c>
      <c r="H136" s="28" t="n">
        <f aca="false">IFERROR(SUMPRODUCT((Indicators!$B$5:$B$35=H$4)*Indicators!$P$5:$P$35*'Indicator Scores'!$V$5:$V$35)/SUMPRODUCT((Indicators!$B$5:$B$35=H$4)*Indicators!$P$5:$P$35*('Indicator Scores'!$V$5:$V$35&gt;0)),0)</f>
        <v>3.4</v>
      </c>
      <c r="I136" s="28" t="n">
        <f aca="false">IFERROR(SUMPRODUCT((Indicators!$B$5:$B$35=I$4)*Indicators!$P$5:$P$35*'Indicator Scores'!$V$5:$V$35)/SUMPRODUCT((Indicators!$B$5:$B$35=I$4)*Indicators!$P$5:$P$35*('Indicator Scores'!$V$5:$V$35&gt;0)),0)</f>
        <v>3.44444444444444</v>
      </c>
      <c r="J136" s="28" t="n">
        <f aca="false">IFERROR(SUMPRODUCT((Indicators!$B$5:$B$35=J$4)*Indicators!$P$5:$P$35*'Indicator Scores'!$V$5:$V$35)/SUMPRODUCT((Indicators!$B$5:$B$35=J$4)*Indicators!$P$5:$P$35*('Indicator Scores'!$V$5:$V$35&gt;0)),0)</f>
        <v>3.8</v>
      </c>
      <c r="K136" s="28" t="n">
        <f aca="false">IFERROR(SUMPRODUCT(F136:J136,INDEX('Factor Weights'!$C$5:$G$11,MATCH(D136,'Factor Weights'!$A$5:$A$11,0),0))/SUMPRODUCT((F136:J136&gt;0)*INDEX('Factor Weights'!$C$5:$G$11,MATCH(D136,'Factor Weights'!$A$5:$A$11,0),0)),0)</f>
        <v>3.33166666666667</v>
      </c>
      <c r="L136" s="29" t="n">
        <f aca="false">MAX(F136:J136)</f>
        <v>3.8</v>
      </c>
      <c r="M136" s="28" t="n">
        <f aca="false">IF(L136&gt;=Config!$C$13,MAX(K136,Config!$C$14),K136)</f>
        <v>3.33166666666667</v>
      </c>
      <c r="N136" s="30" t="n">
        <f aca="false">IF(Config!$C$12="Weighted average",K136,IF(Config!$C$12="Weighted with floor",M136,L136))</f>
        <v>3.33166666666667</v>
      </c>
      <c r="O136" s="31" t="n">
        <f aca="false">IF(N136&lt;Config!$D$5,"",MATCH(N136,Config!$D$5:$D$9,1))</f>
        <v>3</v>
      </c>
      <c r="P136" s="7" t="str">
        <f aca="false">IF(O136="","No data",INDEX(Config!$B$5:$B$9,O136))</f>
        <v>Medium</v>
      </c>
      <c r="Q136" s="32" t="n">
        <v>0</v>
      </c>
      <c r="R136" s="8"/>
      <c r="S136" s="33"/>
      <c r="T136" s="34" t="n">
        <f aca="false">IF(O136="","",IF(AND(S136="Y",Q136&lt;&gt;0),MAX(1,MIN(5,O136+MAX(-Config!$C$27,MIN(Config!$C$27,Q136)))),O136))</f>
        <v>3</v>
      </c>
      <c r="U136" s="35" t="str">
        <f aca="false">IF(T136="","No data",INDEX(Config!$B$5:$B$9,T136))</f>
        <v>Medium</v>
      </c>
      <c r="V136" s="7" t="str">
        <f aca="false">IF(Q136=0,"None",IF(S136="Y","Applied","Pending HO approval"))</f>
        <v>None</v>
      </c>
      <c r="W136" s="36" t="n">
        <f aca="false">SUMPRODUCT((Indicators!$P$5:$P$35&gt;0)*('Indicator Data'!$V$5:$V$35&lt;&gt;""))/SUMPRODUCT(--(Indicators!$P$5:$P$35&gt;0))</f>
        <v>1</v>
      </c>
    </row>
    <row r="137" customFormat="false" ht="15" hidden="false" customHeight="false" outlineLevel="0" collapsed="false">
      <c r="A137" s="26" t="str">
        <f aca="false">Entities!$A$23</f>
        <v>MA</v>
      </c>
      <c r="B137" s="12" t="str">
        <f aca="false">INDEX(Entities!$B$5:$B$34,MATCH(A137,Entities!$A$5:$A$34,0))</f>
        <v>Arab Bank – Morocco</v>
      </c>
      <c r="C137" s="12" t="str">
        <f aca="false">INDEX(Entities!$D$5:$D$34,MATCH(A137,Entities!$A$5:$A$34,0))</f>
        <v>North Africa</v>
      </c>
      <c r="D137" s="12" t="s">
        <v>254</v>
      </c>
      <c r="E137" s="12" t="str">
        <f aca="false">INDEX('Risk Taxonomy'!$B$5:$B$24,MATCH(D137,'Risk Taxonomy'!$A$5:$A$24,0))</f>
        <v>Tax evasion and tax transparency</v>
      </c>
      <c r="F137" s="28" t="n">
        <f aca="false">IFERROR(SUMPRODUCT((Indicators!$B$5:$B$35=F$4)*Indicators!$Q$5:$Q$35*'Indicator Scores'!$V$5:$V$35)/SUMPRODUCT((Indicators!$B$5:$B$35=F$4)*Indicators!$Q$5:$Q$35*('Indicator Scores'!$V$5:$V$35&gt;0)),0)</f>
        <v>2.88888888888889</v>
      </c>
      <c r="G137" s="28" t="n">
        <f aca="false">IFERROR(SUMPRODUCT((Indicators!$B$5:$B$35=G$4)*Indicators!$Q$5:$Q$35*'Indicator Scores'!$V$5:$V$35)/SUMPRODUCT((Indicators!$B$5:$B$35=G$4)*Indicators!$Q$5:$Q$35*('Indicator Scores'!$V$5:$V$35&gt;0)),0)</f>
        <v>2.83333333333333</v>
      </c>
      <c r="H137" s="28" t="n">
        <f aca="false">IFERROR(SUMPRODUCT((Indicators!$B$5:$B$35=H$4)*Indicators!$Q$5:$Q$35*'Indicator Scores'!$V$5:$V$35)/SUMPRODUCT((Indicators!$B$5:$B$35=H$4)*Indicators!$Q$5:$Q$35*('Indicator Scores'!$V$5:$V$35&gt;0)),0)</f>
        <v>3.66666666666667</v>
      </c>
      <c r="I137" s="28" t="n">
        <f aca="false">IFERROR(SUMPRODUCT((Indicators!$B$5:$B$35=I$4)*Indicators!$Q$5:$Q$35*'Indicator Scores'!$V$5:$V$35)/SUMPRODUCT((Indicators!$B$5:$B$35=I$4)*Indicators!$Q$5:$Q$35*('Indicator Scores'!$V$5:$V$35&gt;0)),0)</f>
        <v>2.5</v>
      </c>
      <c r="J137" s="28" t="n">
        <f aca="false">IFERROR(SUMPRODUCT((Indicators!$B$5:$B$35=J$4)*Indicators!$Q$5:$Q$35*'Indicator Scores'!$V$5:$V$35)/SUMPRODUCT((Indicators!$B$5:$B$35=J$4)*Indicators!$Q$5:$Q$35*('Indicator Scores'!$V$5:$V$35&gt;0)),0)</f>
        <v>2</v>
      </c>
      <c r="K137" s="28" t="n">
        <f aca="false">IFERROR(SUMPRODUCT(F137:J137,INDEX('Factor Weights'!$C$5:$G$11,MATCH(D137,'Factor Weights'!$A$5:$A$11,0),0))/SUMPRODUCT((F137:J137&gt;0)*INDEX('Factor Weights'!$C$5:$G$11,MATCH(D137,'Factor Weights'!$A$5:$A$11,0),0)),0)</f>
        <v>2.90277777777778</v>
      </c>
      <c r="L137" s="29" t="n">
        <f aca="false">MAX(F137:J137)</f>
        <v>3.66666666666667</v>
      </c>
      <c r="M137" s="28" t="n">
        <f aca="false">IF(L137&gt;=Config!$C$13,MAX(K137,Config!$C$14),K137)</f>
        <v>2.90277777777778</v>
      </c>
      <c r="N137" s="30" t="n">
        <f aca="false">IF(Config!$C$12="Weighted average",K137,IF(Config!$C$12="Weighted with floor",M137,L137))</f>
        <v>2.90277777777778</v>
      </c>
      <c r="O137" s="31" t="n">
        <f aca="false">IF(N137&lt;Config!$D$5,"",MATCH(N137,Config!$D$5:$D$9,1))</f>
        <v>3</v>
      </c>
      <c r="P137" s="7" t="str">
        <f aca="false">IF(O137="","No data",INDEX(Config!$B$5:$B$9,O137))</f>
        <v>Medium</v>
      </c>
      <c r="Q137" s="32" t="n">
        <v>0</v>
      </c>
      <c r="R137" s="8"/>
      <c r="S137" s="33"/>
      <c r="T137" s="34" t="n">
        <f aca="false">IF(O137="","",IF(AND(S137="Y",Q137&lt;&gt;0),MAX(1,MIN(5,O137+MAX(-Config!$C$27,MIN(Config!$C$27,Q137)))),O137))</f>
        <v>3</v>
      </c>
      <c r="U137" s="35" t="str">
        <f aca="false">IF(T137="","No data",INDEX(Config!$B$5:$B$9,T137))</f>
        <v>Medium</v>
      </c>
      <c r="V137" s="7" t="str">
        <f aca="false">IF(Q137=0,"None",IF(S137="Y","Applied","Pending HO approval"))</f>
        <v>None</v>
      </c>
      <c r="W137" s="36" t="n">
        <f aca="false">SUMPRODUCT((Indicators!$Q$5:$Q$35&gt;0)*('Indicator Data'!$V$5:$V$35&lt;&gt;""))/SUMPRODUCT(--(Indicators!$Q$5:$Q$35&gt;0))</f>
        <v>1</v>
      </c>
    </row>
    <row r="138" customFormat="false" ht="15" hidden="false" customHeight="false" outlineLevel="0" collapsed="false">
      <c r="A138" s="26" t="str">
        <f aca="false">Entities!$A$24</f>
        <v>TN</v>
      </c>
      <c r="B138" s="12" t="str">
        <f aca="false">INDEX(Entities!$B$5:$B$34,MATCH(A138,Entities!$A$5:$A$34,0))</f>
        <v>Arab Tunisian Bank</v>
      </c>
      <c r="C138" s="12" t="str">
        <f aca="false">INDEX(Entities!$D$5:$D$34,MATCH(A138,Entities!$A$5:$A$34,0))</f>
        <v>North Africa</v>
      </c>
      <c r="D138" s="12" t="s">
        <v>233</v>
      </c>
      <c r="E138" s="12" t="str">
        <f aca="false">INDEX('Risk Taxonomy'!$B$5:$B$24,MATCH(D138,'Risk Taxonomy'!$A$5:$A$24,0))</f>
        <v>Money laundering</v>
      </c>
      <c r="F138" s="28" t="n">
        <f aca="false">IFERROR(SUMPRODUCT((Indicators!$B$5:$B$35=F$4)*Indicators!$K$5:$K$35*'Indicator Scores'!$W$5:$W$35)/SUMPRODUCT((Indicators!$B$5:$B$35=F$4)*Indicators!$K$5:$K$35*('Indicator Scores'!$W$5:$W$35&gt;0)),0)</f>
        <v>2.66666666666667</v>
      </c>
      <c r="G138" s="28" t="n">
        <f aca="false">IFERROR(SUMPRODUCT((Indicators!$B$5:$B$35=G$4)*Indicators!$K$5:$K$35*'Indicator Scores'!$W$5:$W$35)/SUMPRODUCT((Indicators!$B$5:$B$35=G$4)*Indicators!$K$5:$K$35*('Indicator Scores'!$W$5:$W$35&gt;0)),0)</f>
        <v>2.77777777777778</v>
      </c>
      <c r="H138" s="28" t="n">
        <f aca="false">IFERROR(SUMPRODUCT((Indicators!$B$5:$B$35=H$4)*Indicators!$K$5:$K$35*'Indicator Scores'!$W$5:$W$35)/SUMPRODUCT((Indicators!$B$5:$B$35=H$4)*Indicators!$K$5:$K$35*('Indicator Scores'!$W$5:$W$35&gt;0)),0)</f>
        <v>2.9</v>
      </c>
      <c r="I138" s="28" t="n">
        <f aca="false">IFERROR(SUMPRODUCT((Indicators!$B$5:$B$35=I$4)*Indicators!$K$5:$K$35*'Indicator Scores'!$W$5:$W$35)/SUMPRODUCT((Indicators!$B$5:$B$35=I$4)*Indicators!$K$5:$K$35*('Indicator Scores'!$W$5:$W$35&gt;0)),0)</f>
        <v>2.28571428571429</v>
      </c>
      <c r="J138" s="28" t="n">
        <f aca="false">IFERROR(SUMPRODUCT((Indicators!$B$5:$B$35=J$4)*Indicators!$K$5:$K$35*'Indicator Scores'!$W$5:$W$35)/SUMPRODUCT((Indicators!$B$5:$B$35=J$4)*Indicators!$K$5:$K$35*('Indicator Scores'!$W$5:$W$35&gt;0)),0)</f>
        <v>4.4</v>
      </c>
      <c r="K138" s="28" t="n">
        <f aca="false">IFERROR(SUMPRODUCT(F138:J138,INDEX('Factor Weights'!$C$5:$G$11,MATCH(D138,'Factor Weights'!$A$5:$A$11,0),0))/SUMPRODUCT((F138:J138&gt;0)*INDEX('Factor Weights'!$C$5:$G$11,MATCH(D138,'Factor Weights'!$A$5:$A$11,0),0)),0)</f>
        <v>2.85730158730159</v>
      </c>
      <c r="L138" s="29" t="n">
        <f aca="false">MAX(F138:J138)</f>
        <v>4.4</v>
      </c>
      <c r="M138" s="28" t="n">
        <f aca="false">IF(L138&gt;=Config!$C$13,MAX(K138,Config!$C$14),K138)</f>
        <v>2.85730158730159</v>
      </c>
      <c r="N138" s="30" t="n">
        <f aca="false">IF(Config!$C$12="Weighted average",K138,IF(Config!$C$12="Weighted with floor",M138,L138))</f>
        <v>2.85730158730159</v>
      </c>
      <c r="O138" s="31" t="n">
        <f aca="false">IF(N138&lt;Config!$D$5,"",MATCH(N138,Config!$D$5:$D$9,1))</f>
        <v>3</v>
      </c>
      <c r="P138" s="7" t="str">
        <f aca="false">IF(O138="","No data",INDEX(Config!$B$5:$B$9,O138))</f>
        <v>Medium</v>
      </c>
      <c r="Q138" s="32" t="n">
        <v>0</v>
      </c>
      <c r="R138" s="8"/>
      <c r="S138" s="33"/>
      <c r="T138" s="34" t="n">
        <f aca="false">IF(O138="","",IF(AND(S138="Y",Q138&lt;&gt;0),MAX(1,MIN(5,O138+MAX(-Config!$C$27,MIN(Config!$C$27,Q138)))),O138))</f>
        <v>3</v>
      </c>
      <c r="U138" s="35" t="str">
        <f aca="false">IF(T138="","No data",INDEX(Config!$B$5:$B$9,T138))</f>
        <v>Medium</v>
      </c>
      <c r="V138" s="7" t="str">
        <f aca="false">IF(Q138=0,"None",IF(S138="Y","Applied","Pending HO approval"))</f>
        <v>None</v>
      </c>
      <c r="W138" s="36" t="n">
        <f aca="false">SUMPRODUCT((Indicators!$K$5:$K$35&gt;0)*('Indicator Data'!$W$5:$W$35&lt;&gt;""))/SUMPRODUCT(--(Indicators!$K$5:$K$35&gt;0))</f>
        <v>1</v>
      </c>
    </row>
    <row r="139" customFormat="false" ht="15" hidden="false" customHeight="false" outlineLevel="0" collapsed="false">
      <c r="A139" s="26" t="str">
        <f aca="false">Entities!$A$24</f>
        <v>TN</v>
      </c>
      <c r="B139" s="12" t="str">
        <f aca="false">INDEX(Entities!$B$5:$B$34,MATCH(A139,Entities!$A$5:$A$34,0))</f>
        <v>Arab Tunisian Bank</v>
      </c>
      <c r="C139" s="12" t="str">
        <f aca="false">INDEX(Entities!$D$5:$D$34,MATCH(A139,Entities!$A$5:$A$34,0))</f>
        <v>North Africa</v>
      </c>
      <c r="D139" s="12" t="s">
        <v>240</v>
      </c>
      <c r="E139" s="12" t="str">
        <f aca="false">INDEX('Risk Taxonomy'!$B$5:$B$24,MATCH(D139,'Risk Taxonomy'!$A$5:$A$24,0))</f>
        <v>Terrorist financing</v>
      </c>
      <c r="F139" s="28" t="n">
        <f aca="false">IFERROR(SUMPRODUCT((Indicators!$B$5:$B$35=F$4)*Indicators!$L$5:$L$35*'Indicator Scores'!$W$5:$W$35)/SUMPRODUCT((Indicators!$B$5:$B$35=F$4)*Indicators!$L$5:$L$35*('Indicator Scores'!$W$5:$W$35&gt;0)),0)</f>
        <v>2.7</v>
      </c>
      <c r="G139" s="28" t="n">
        <f aca="false">IFERROR(SUMPRODUCT((Indicators!$B$5:$B$35=G$4)*Indicators!$L$5:$L$35*'Indicator Scores'!$W$5:$W$35)/SUMPRODUCT((Indicators!$B$5:$B$35=G$4)*Indicators!$L$5:$L$35*('Indicator Scores'!$W$5:$W$35&gt;0)),0)</f>
        <v>3</v>
      </c>
      <c r="H139" s="28" t="n">
        <f aca="false">IFERROR(SUMPRODUCT((Indicators!$B$5:$B$35=H$4)*Indicators!$L$5:$L$35*'Indicator Scores'!$W$5:$W$35)/SUMPRODUCT((Indicators!$B$5:$B$35=H$4)*Indicators!$L$5:$L$35*('Indicator Scores'!$W$5:$W$35&gt;0)),0)</f>
        <v>3.16666666666667</v>
      </c>
      <c r="I139" s="28" t="n">
        <f aca="false">IFERROR(SUMPRODUCT((Indicators!$B$5:$B$35=I$4)*Indicators!$L$5:$L$35*'Indicator Scores'!$W$5:$W$35)/SUMPRODUCT((Indicators!$B$5:$B$35=I$4)*Indicators!$L$5:$L$35*('Indicator Scores'!$W$5:$W$35&gt;0)),0)</f>
        <v>2.33333333333333</v>
      </c>
      <c r="J139" s="28" t="n">
        <f aca="false">IFERROR(SUMPRODUCT((Indicators!$B$5:$B$35=J$4)*Indicators!$L$5:$L$35*'Indicator Scores'!$W$5:$W$35)/SUMPRODUCT((Indicators!$B$5:$B$35=J$4)*Indicators!$L$5:$L$35*('Indicator Scores'!$W$5:$W$35&gt;0)),0)</f>
        <v>4.57142857142857</v>
      </c>
      <c r="K139" s="28" t="n">
        <f aca="false">IFERROR(SUMPRODUCT(F139:J139,INDEX('Factor Weights'!$C$5:$G$11,MATCH(D139,'Factor Weights'!$A$5:$A$11,0),0))/SUMPRODUCT((F139:J139&gt;0)*INDEX('Factor Weights'!$C$5:$G$11,MATCH(D139,'Factor Weights'!$A$5:$A$11,0),0)),0)</f>
        <v>3.19761904761905</v>
      </c>
      <c r="L139" s="29" t="n">
        <f aca="false">MAX(F139:J139)</f>
        <v>4.57142857142857</v>
      </c>
      <c r="M139" s="28" t="n">
        <f aca="false">IF(L139&gt;=Config!$C$13,MAX(K139,Config!$C$14),K139)</f>
        <v>3.19761904761905</v>
      </c>
      <c r="N139" s="30" t="n">
        <f aca="false">IF(Config!$C$12="Weighted average",K139,IF(Config!$C$12="Weighted with floor",M139,L139))</f>
        <v>3.19761904761905</v>
      </c>
      <c r="O139" s="31" t="n">
        <f aca="false">IF(N139&lt;Config!$D$5,"",MATCH(N139,Config!$D$5:$D$9,1))</f>
        <v>3</v>
      </c>
      <c r="P139" s="7" t="str">
        <f aca="false">IF(O139="","No data",INDEX(Config!$B$5:$B$9,O139))</f>
        <v>Medium</v>
      </c>
      <c r="Q139" s="32" t="n">
        <v>0</v>
      </c>
      <c r="R139" s="8"/>
      <c r="S139" s="33"/>
      <c r="T139" s="34" t="n">
        <f aca="false">IF(O139="","",IF(AND(S139="Y",Q139&lt;&gt;0),MAX(1,MIN(5,O139+MAX(-Config!$C$27,MIN(Config!$C$27,Q139)))),O139))</f>
        <v>3</v>
      </c>
      <c r="U139" s="35" t="str">
        <f aca="false">IF(T139="","No data",INDEX(Config!$B$5:$B$9,T139))</f>
        <v>Medium</v>
      </c>
      <c r="V139" s="7" t="str">
        <f aca="false">IF(Q139=0,"None",IF(S139="Y","Applied","Pending HO approval"))</f>
        <v>None</v>
      </c>
      <c r="W139" s="36" t="n">
        <f aca="false">SUMPRODUCT((Indicators!$L$5:$L$35&gt;0)*('Indicator Data'!$W$5:$W$35&lt;&gt;""))/SUMPRODUCT(--(Indicators!$L$5:$L$35&gt;0))</f>
        <v>1</v>
      </c>
    </row>
    <row r="140" customFormat="false" ht="15" hidden="false" customHeight="false" outlineLevel="0" collapsed="false">
      <c r="A140" s="26" t="str">
        <f aca="false">Entities!$A$24</f>
        <v>TN</v>
      </c>
      <c r="B140" s="12" t="str">
        <f aca="false">INDEX(Entities!$B$5:$B$34,MATCH(A140,Entities!$A$5:$A$34,0))</f>
        <v>Arab Tunisian Bank</v>
      </c>
      <c r="C140" s="12" t="str">
        <f aca="false">INDEX(Entities!$D$5:$D$34,MATCH(A140,Entities!$A$5:$A$34,0))</f>
        <v>North Africa</v>
      </c>
      <c r="D140" s="12" t="s">
        <v>243</v>
      </c>
      <c r="E140" s="12" t="str">
        <f aca="false">INDEX('Risk Taxonomy'!$B$5:$B$24,MATCH(D140,'Risk Taxonomy'!$A$5:$A$24,0))</f>
        <v>Proliferation financing</v>
      </c>
      <c r="F140" s="28" t="n">
        <f aca="false">IFERROR(SUMPRODUCT((Indicators!$B$5:$B$35=F$4)*Indicators!$M$5:$M$35*'Indicator Scores'!$W$5:$W$35)/SUMPRODUCT((Indicators!$B$5:$B$35=F$4)*Indicators!$M$5:$M$35*('Indicator Scores'!$W$5:$W$35&gt;0)),0)</f>
        <v>2.25</v>
      </c>
      <c r="G140" s="28" t="n">
        <f aca="false">IFERROR(SUMPRODUCT((Indicators!$B$5:$B$35=G$4)*Indicators!$M$5:$M$35*'Indicator Scores'!$W$5:$W$35)/SUMPRODUCT((Indicators!$B$5:$B$35=G$4)*Indicators!$M$5:$M$35*('Indicator Scores'!$W$5:$W$35&gt;0)),0)</f>
        <v>2.75</v>
      </c>
      <c r="H140" s="28" t="n">
        <f aca="false">IFERROR(SUMPRODUCT((Indicators!$B$5:$B$35=H$4)*Indicators!$M$5:$M$35*'Indicator Scores'!$W$5:$W$35)/SUMPRODUCT((Indicators!$B$5:$B$35=H$4)*Indicators!$M$5:$M$35*('Indicator Scores'!$W$5:$W$35&gt;0)),0)</f>
        <v>2.77777777777778</v>
      </c>
      <c r="I140" s="28" t="n">
        <f aca="false">IFERROR(SUMPRODUCT((Indicators!$B$5:$B$35=I$4)*Indicators!$M$5:$M$35*'Indicator Scores'!$W$5:$W$35)/SUMPRODUCT((Indicators!$B$5:$B$35=I$4)*Indicators!$M$5:$M$35*('Indicator Scores'!$W$5:$W$35&gt;0)),0)</f>
        <v>2.66666666666667</v>
      </c>
      <c r="J140" s="28" t="n">
        <f aca="false">IFERROR(SUMPRODUCT((Indicators!$B$5:$B$35=J$4)*Indicators!$M$5:$M$35*'Indicator Scores'!$W$5:$W$35)/SUMPRODUCT((Indicators!$B$5:$B$35=J$4)*Indicators!$M$5:$M$35*('Indicator Scores'!$W$5:$W$35&gt;0)),0)</f>
        <v>3.5</v>
      </c>
      <c r="K140" s="28" t="n">
        <f aca="false">IFERROR(SUMPRODUCT(F140:J140,INDEX('Factor Weights'!$C$5:$G$11,MATCH(D140,'Factor Weights'!$A$5:$A$11,0),0))/SUMPRODUCT((F140:J140&gt;0)*INDEX('Factor Weights'!$C$5:$G$11,MATCH(D140,'Factor Weights'!$A$5:$A$11,0),0)),0)</f>
        <v>2.82916666666667</v>
      </c>
      <c r="L140" s="29" t="n">
        <f aca="false">MAX(F140:J140)</f>
        <v>3.5</v>
      </c>
      <c r="M140" s="28" t="n">
        <f aca="false">IF(L140&gt;=Config!$C$13,MAX(K140,Config!$C$14),K140)</f>
        <v>2.82916666666667</v>
      </c>
      <c r="N140" s="30" t="n">
        <f aca="false">IF(Config!$C$12="Weighted average",K140,IF(Config!$C$12="Weighted with floor",M140,L140))</f>
        <v>2.82916666666667</v>
      </c>
      <c r="O140" s="31" t="n">
        <f aca="false">IF(N140&lt;Config!$D$5,"",MATCH(N140,Config!$D$5:$D$9,1))</f>
        <v>3</v>
      </c>
      <c r="P140" s="7" t="str">
        <f aca="false">IF(O140="","No data",INDEX(Config!$B$5:$B$9,O140))</f>
        <v>Medium</v>
      </c>
      <c r="Q140" s="32" t="n">
        <v>0</v>
      </c>
      <c r="R140" s="8"/>
      <c r="S140" s="33"/>
      <c r="T140" s="34" t="n">
        <f aca="false">IF(O140="","",IF(AND(S140="Y",Q140&lt;&gt;0),MAX(1,MIN(5,O140+MAX(-Config!$C$27,MIN(Config!$C$27,Q140)))),O140))</f>
        <v>3</v>
      </c>
      <c r="U140" s="35" t="str">
        <f aca="false">IF(T140="","No data",INDEX(Config!$B$5:$B$9,T140))</f>
        <v>Medium</v>
      </c>
      <c r="V140" s="7" t="str">
        <f aca="false">IF(Q140=0,"None",IF(S140="Y","Applied","Pending HO approval"))</f>
        <v>None</v>
      </c>
      <c r="W140" s="36" t="n">
        <f aca="false">SUMPRODUCT((Indicators!$M$5:$M$35&gt;0)*('Indicator Data'!$W$5:$W$35&lt;&gt;""))/SUMPRODUCT(--(Indicators!$M$5:$M$35&gt;0))</f>
        <v>1</v>
      </c>
    </row>
    <row r="141" customFormat="false" ht="15" hidden="false" customHeight="false" outlineLevel="0" collapsed="false">
      <c r="A141" s="26" t="str">
        <f aca="false">Entities!$A$24</f>
        <v>TN</v>
      </c>
      <c r="B141" s="12" t="str">
        <f aca="false">INDEX(Entities!$B$5:$B$34,MATCH(A141,Entities!$A$5:$A$34,0))</f>
        <v>Arab Tunisian Bank</v>
      </c>
      <c r="C141" s="12" t="str">
        <f aca="false">INDEX(Entities!$D$5:$D$34,MATCH(A141,Entities!$A$5:$A$34,0))</f>
        <v>North Africa</v>
      </c>
      <c r="D141" s="12" t="s">
        <v>245</v>
      </c>
      <c r="E141" s="12" t="str">
        <f aca="false">INDEX('Risk Taxonomy'!$B$5:$B$24,MATCH(D141,'Risk Taxonomy'!$A$5:$A$24,0))</f>
        <v>Sanctions</v>
      </c>
      <c r="F141" s="28" t="n">
        <f aca="false">IFERROR(SUMPRODUCT((Indicators!$B$5:$B$35=F$4)*Indicators!$N$5:$N$35*'Indicator Scores'!$W$5:$W$35)/SUMPRODUCT((Indicators!$B$5:$B$35=F$4)*Indicators!$N$5:$N$35*('Indicator Scores'!$W$5:$W$35&gt;0)),0)</f>
        <v>2.28571428571429</v>
      </c>
      <c r="G141" s="28" t="n">
        <f aca="false">IFERROR(SUMPRODUCT((Indicators!$B$5:$B$35=G$4)*Indicators!$N$5:$N$35*'Indicator Scores'!$W$5:$W$35)/SUMPRODUCT((Indicators!$B$5:$B$35=G$4)*Indicators!$N$5:$N$35*('Indicator Scores'!$W$5:$W$35&gt;0)),0)</f>
        <v>2.85714285714286</v>
      </c>
      <c r="H141" s="28" t="n">
        <f aca="false">IFERROR(SUMPRODUCT((Indicators!$B$5:$B$35=H$4)*Indicators!$N$5:$N$35*'Indicator Scores'!$W$5:$W$35)/SUMPRODUCT((Indicators!$B$5:$B$35=H$4)*Indicators!$N$5:$N$35*('Indicator Scores'!$W$5:$W$35&gt;0)),0)</f>
        <v>2.875</v>
      </c>
      <c r="I141" s="28" t="n">
        <f aca="false">IFERROR(SUMPRODUCT((Indicators!$B$5:$B$35=I$4)*Indicators!$N$5:$N$35*'Indicator Scores'!$W$5:$W$35)/SUMPRODUCT((Indicators!$B$5:$B$35=I$4)*Indicators!$N$5:$N$35*('Indicator Scores'!$W$5:$W$35&gt;0)),0)</f>
        <v>2.33333333333333</v>
      </c>
      <c r="J141" s="28" t="n">
        <f aca="false">IFERROR(SUMPRODUCT((Indicators!$B$5:$B$35=J$4)*Indicators!$N$5:$N$35*'Indicator Scores'!$W$5:$W$35)/SUMPRODUCT((Indicators!$B$5:$B$35=J$4)*Indicators!$N$5:$N$35*('Indicator Scores'!$W$5:$W$35&gt;0)),0)</f>
        <v>3.6</v>
      </c>
      <c r="K141" s="28" t="n">
        <f aca="false">IFERROR(SUMPRODUCT(F141:J141,INDEX('Factor Weights'!$C$5:$G$11,MATCH(D141,'Factor Weights'!$A$5:$A$11,0),0))/SUMPRODUCT((F141:J141&gt;0)*INDEX('Factor Weights'!$C$5:$G$11,MATCH(D141,'Factor Weights'!$A$5:$A$11,0),0)),0)</f>
        <v>2.89738095238095</v>
      </c>
      <c r="L141" s="29" t="n">
        <f aca="false">MAX(F141:J141)</f>
        <v>3.6</v>
      </c>
      <c r="M141" s="28" t="n">
        <f aca="false">IF(L141&gt;=Config!$C$13,MAX(K141,Config!$C$14),K141)</f>
        <v>2.89738095238095</v>
      </c>
      <c r="N141" s="30" t="n">
        <f aca="false">IF(Config!$C$12="Weighted average",K141,IF(Config!$C$12="Weighted with floor",M141,L141))</f>
        <v>2.89738095238095</v>
      </c>
      <c r="O141" s="31" t="n">
        <f aca="false">IF(N141&lt;Config!$D$5,"",MATCH(N141,Config!$D$5:$D$9,1))</f>
        <v>3</v>
      </c>
      <c r="P141" s="7" t="str">
        <f aca="false">IF(O141="","No data",INDEX(Config!$B$5:$B$9,O141))</f>
        <v>Medium</v>
      </c>
      <c r="Q141" s="32" t="n">
        <v>0</v>
      </c>
      <c r="R141" s="8"/>
      <c r="S141" s="33"/>
      <c r="T141" s="34" t="n">
        <f aca="false">IF(O141="","",IF(AND(S141="Y",Q141&lt;&gt;0),MAX(1,MIN(5,O141+MAX(-Config!$C$27,MIN(Config!$C$27,Q141)))),O141))</f>
        <v>3</v>
      </c>
      <c r="U141" s="35" t="str">
        <f aca="false">IF(T141="","No data",INDEX(Config!$B$5:$B$9,T141))</f>
        <v>Medium</v>
      </c>
      <c r="V141" s="7" t="str">
        <f aca="false">IF(Q141=0,"None",IF(S141="Y","Applied","Pending HO approval"))</f>
        <v>None</v>
      </c>
      <c r="W141" s="36" t="n">
        <f aca="false">SUMPRODUCT((Indicators!$N$5:$N$35&gt;0)*('Indicator Data'!$W$5:$W$35&lt;&gt;""))/SUMPRODUCT(--(Indicators!$N$5:$N$35&gt;0))</f>
        <v>1</v>
      </c>
    </row>
    <row r="142" customFormat="false" ht="15" hidden="false" customHeight="false" outlineLevel="0" collapsed="false">
      <c r="A142" s="26" t="str">
        <f aca="false">Entities!$A$24</f>
        <v>TN</v>
      </c>
      <c r="B142" s="12" t="str">
        <f aca="false">INDEX(Entities!$B$5:$B$34,MATCH(A142,Entities!$A$5:$A$34,0))</f>
        <v>Arab Tunisian Bank</v>
      </c>
      <c r="C142" s="12" t="str">
        <f aca="false">INDEX(Entities!$D$5:$D$34,MATCH(A142,Entities!$A$5:$A$34,0))</f>
        <v>North Africa</v>
      </c>
      <c r="D142" s="12" t="s">
        <v>248</v>
      </c>
      <c r="E142" s="12" t="str">
        <f aca="false">INDEX('Risk Taxonomy'!$B$5:$B$24,MATCH(D142,'Risk Taxonomy'!$A$5:$A$24,0))</f>
        <v>Bribery and corruption</v>
      </c>
      <c r="F142" s="28" t="n">
        <f aca="false">IFERROR(SUMPRODUCT((Indicators!$B$5:$B$35=F$4)*Indicators!$O$5:$O$35*'Indicator Scores'!$W$5:$W$35)/SUMPRODUCT((Indicators!$B$5:$B$35=F$4)*Indicators!$O$5:$O$35*('Indicator Scores'!$W$5:$W$35&gt;0)),0)</f>
        <v>2.55555555555556</v>
      </c>
      <c r="G142" s="28" t="n">
        <f aca="false">IFERROR(SUMPRODUCT((Indicators!$B$5:$B$35=G$4)*Indicators!$O$5:$O$35*'Indicator Scores'!$W$5:$W$35)/SUMPRODUCT((Indicators!$B$5:$B$35=G$4)*Indicators!$O$5:$O$35*('Indicator Scores'!$W$5:$W$35&gt;0)),0)</f>
        <v>2.8</v>
      </c>
      <c r="H142" s="28" t="n">
        <f aca="false">IFERROR(SUMPRODUCT((Indicators!$B$5:$B$35=H$4)*Indicators!$O$5:$O$35*'Indicator Scores'!$W$5:$W$35)/SUMPRODUCT((Indicators!$B$5:$B$35=H$4)*Indicators!$O$5:$O$35*('Indicator Scores'!$W$5:$W$35&gt;0)),0)</f>
        <v>3</v>
      </c>
      <c r="I142" s="28" t="n">
        <f aca="false">IFERROR(SUMPRODUCT((Indicators!$B$5:$B$35=I$4)*Indicators!$O$5:$O$35*'Indicator Scores'!$W$5:$W$35)/SUMPRODUCT((Indicators!$B$5:$B$35=I$4)*Indicators!$O$5:$O$35*('Indicator Scores'!$W$5:$W$35&gt;0)),0)</f>
        <v>4.2</v>
      </c>
      <c r="J142" s="28" t="n">
        <f aca="false">IFERROR(SUMPRODUCT((Indicators!$B$5:$B$35=J$4)*Indicators!$O$5:$O$35*'Indicator Scores'!$W$5:$W$35)/SUMPRODUCT((Indicators!$B$5:$B$35=J$4)*Indicators!$O$5:$O$35*('Indicator Scores'!$W$5:$W$35&gt;0)),0)</f>
        <v>3</v>
      </c>
      <c r="K142" s="28" t="n">
        <f aca="false">IFERROR(SUMPRODUCT(F142:J142,INDEX('Factor Weights'!$C$5:$G$11,MATCH(D142,'Factor Weights'!$A$5:$A$11,0),0))/SUMPRODUCT((F142:J142&gt;0)*INDEX('Factor Weights'!$C$5:$G$11,MATCH(D142,'Factor Weights'!$A$5:$A$11,0),0)),0)</f>
        <v>3.05666666666667</v>
      </c>
      <c r="L142" s="29" t="n">
        <f aca="false">MAX(F142:J142)</f>
        <v>4.2</v>
      </c>
      <c r="M142" s="28" t="n">
        <f aca="false">IF(L142&gt;=Config!$C$13,MAX(K142,Config!$C$14),K142)</f>
        <v>3.05666666666667</v>
      </c>
      <c r="N142" s="30" t="n">
        <f aca="false">IF(Config!$C$12="Weighted average",K142,IF(Config!$C$12="Weighted with floor",M142,L142))</f>
        <v>3.05666666666667</v>
      </c>
      <c r="O142" s="31" t="n">
        <f aca="false">IF(N142&lt;Config!$D$5,"",MATCH(N142,Config!$D$5:$D$9,1))</f>
        <v>3</v>
      </c>
      <c r="P142" s="7" t="str">
        <f aca="false">IF(O142="","No data",INDEX(Config!$B$5:$B$9,O142))</f>
        <v>Medium</v>
      </c>
      <c r="Q142" s="32" t="n">
        <v>0</v>
      </c>
      <c r="R142" s="8"/>
      <c r="S142" s="33"/>
      <c r="T142" s="34" t="n">
        <f aca="false">IF(O142="","",IF(AND(S142="Y",Q142&lt;&gt;0),MAX(1,MIN(5,O142+MAX(-Config!$C$27,MIN(Config!$C$27,Q142)))),O142))</f>
        <v>3</v>
      </c>
      <c r="U142" s="35" t="str">
        <f aca="false">IF(T142="","No data",INDEX(Config!$B$5:$B$9,T142))</f>
        <v>Medium</v>
      </c>
      <c r="V142" s="7" t="str">
        <f aca="false">IF(Q142=0,"None",IF(S142="Y","Applied","Pending HO approval"))</f>
        <v>None</v>
      </c>
      <c r="W142" s="36" t="n">
        <f aca="false">SUMPRODUCT((Indicators!$O$5:$O$35&gt;0)*('Indicator Data'!$W$5:$W$35&lt;&gt;""))/SUMPRODUCT(--(Indicators!$O$5:$O$35&gt;0))</f>
        <v>1</v>
      </c>
    </row>
    <row r="143" customFormat="false" ht="15" hidden="false" customHeight="false" outlineLevel="0" collapsed="false">
      <c r="A143" s="26" t="str">
        <f aca="false">Entities!$A$24</f>
        <v>TN</v>
      </c>
      <c r="B143" s="12" t="str">
        <f aca="false">INDEX(Entities!$B$5:$B$34,MATCH(A143,Entities!$A$5:$A$34,0))</f>
        <v>Arab Tunisian Bank</v>
      </c>
      <c r="C143" s="12" t="str">
        <f aca="false">INDEX(Entities!$D$5:$D$34,MATCH(A143,Entities!$A$5:$A$34,0))</f>
        <v>North Africa</v>
      </c>
      <c r="D143" s="12" t="s">
        <v>251</v>
      </c>
      <c r="E143" s="12" t="str">
        <f aca="false">INDEX('Risk Taxonomy'!$B$5:$B$24,MATCH(D143,'Risk Taxonomy'!$A$5:$A$24,0))</f>
        <v>Fraud</v>
      </c>
      <c r="F143" s="28" t="n">
        <f aca="false">IFERROR(SUMPRODUCT((Indicators!$B$5:$B$35=F$4)*Indicators!$P$5:$P$35*'Indicator Scores'!$W$5:$W$35)/SUMPRODUCT((Indicators!$B$5:$B$35=F$4)*Indicators!$P$5:$P$35*('Indicator Scores'!$W$5:$W$35&gt;0)),0)</f>
        <v>2.66666666666667</v>
      </c>
      <c r="G143" s="28" t="n">
        <f aca="false">IFERROR(SUMPRODUCT((Indicators!$B$5:$B$35=G$4)*Indicators!$P$5:$P$35*'Indicator Scores'!$W$5:$W$35)/SUMPRODUCT((Indicators!$B$5:$B$35=G$4)*Indicators!$P$5:$P$35*('Indicator Scores'!$W$5:$W$35&gt;0)),0)</f>
        <v>3</v>
      </c>
      <c r="H143" s="28" t="n">
        <f aca="false">IFERROR(SUMPRODUCT((Indicators!$B$5:$B$35=H$4)*Indicators!$P$5:$P$35*'Indicator Scores'!$W$5:$W$35)/SUMPRODUCT((Indicators!$B$5:$B$35=H$4)*Indicators!$P$5:$P$35*('Indicator Scores'!$W$5:$W$35&gt;0)),0)</f>
        <v>2.6</v>
      </c>
      <c r="I143" s="28" t="n">
        <f aca="false">IFERROR(SUMPRODUCT((Indicators!$B$5:$B$35=I$4)*Indicators!$P$5:$P$35*'Indicator Scores'!$W$5:$W$35)/SUMPRODUCT((Indicators!$B$5:$B$35=I$4)*Indicators!$P$5:$P$35*('Indicator Scores'!$W$5:$W$35&gt;0)),0)</f>
        <v>2.11111111111111</v>
      </c>
      <c r="J143" s="28" t="n">
        <f aca="false">IFERROR(SUMPRODUCT((Indicators!$B$5:$B$35=J$4)*Indicators!$P$5:$P$35*'Indicator Scores'!$W$5:$W$35)/SUMPRODUCT((Indicators!$B$5:$B$35=J$4)*Indicators!$P$5:$P$35*('Indicator Scores'!$W$5:$W$35&gt;0)),0)</f>
        <v>4.2</v>
      </c>
      <c r="K143" s="28" t="n">
        <f aca="false">IFERROR(SUMPRODUCT(F143:J143,INDEX('Factor Weights'!$C$5:$G$11,MATCH(D143,'Factor Weights'!$A$5:$A$11,0),0))/SUMPRODUCT((F143:J143&gt;0)*INDEX('Factor Weights'!$C$5:$G$11,MATCH(D143,'Factor Weights'!$A$5:$A$11,0),0)),0)</f>
        <v>2.82666666666667</v>
      </c>
      <c r="L143" s="29" t="n">
        <f aca="false">MAX(F143:J143)</f>
        <v>4.2</v>
      </c>
      <c r="M143" s="28" t="n">
        <f aca="false">IF(L143&gt;=Config!$C$13,MAX(K143,Config!$C$14),K143)</f>
        <v>2.82666666666667</v>
      </c>
      <c r="N143" s="30" t="n">
        <f aca="false">IF(Config!$C$12="Weighted average",K143,IF(Config!$C$12="Weighted with floor",M143,L143))</f>
        <v>2.82666666666667</v>
      </c>
      <c r="O143" s="31" t="n">
        <f aca="false">IF(N143&lt;Config!$D$5,"",MATCH(N143,Config!$D$5:$D$9,1))</f>
        <v>3</v>
      </c>
      <c r="P143" s="7" t="str">
        <f aca="false">IF(O143="","No data",INDEX(Config!$B$5:$B$9,O143))</f>
        <v>Medium</v>
      </c>
      <c r="Q143" s="32" t="n">
        <v>0</v>
      </c>
      <c r="R143" s="8"/>
      <c r="S143" s="33"/>
      <c r="T143" s="34" t="n">
        <f aca="false">IF(O143="","",IF(AND(S143="Y",Q143&lt;&gt;0),MAX(1,MIN(5,O143+MAX(-Config!$C$27,MIN(Config!$C$27,Q143)))),O143))</f>
        <v>3</v>
      </c>
      <c r="U143" s="35" t="str">
        <f aca="false">IF(T143="","No data",INDEX(Config!$B$5:$B$9,T143))</f>
        <v>Medium</v>
      </c>
      <c r="V143" s="7" t="str">
        <f aca="false">IF(Q143=0,"None",IF(S143="Y","Applied","Pending HO approval"))</f>
        <v>None</v>
      </c>
      <c r="W143" s="36" t="n">
        <f aca="false">SUMPRODUCT((Indicators!$P$5:$P$35&gt;0)*('Indicator Data'!$W$5:$W$35&lt;&gt;""))/SUMPRODUCT(--(Indicators!$P$5:$P$35&gt;0))</f>
        <v>1</v>
      </c>
    </row>
    <row r="144" customFormat="false" ht="15" hidden="false" customHeight="false" outlineLevel="0" collapsed="false">
      <c r="A144" s="26" t="str">
        <f aca="false">Entities!$A$24</f>
        <v>TN</v>
      </c>
      <c r="B144" s="12" t="str">
        <f aca="false">INDEX(Entities!$B$5:$B$34,MATCH(A144,Entities!$A$5:$A$34,0))</f>
        <v>Arab Tunisian Bank</v>
      </c>
      <c r="C144" s="12" t="str">
        <f aca="false">INDEX(Entities!$D$5:$D$34,MATCH(A144,Entities!$A$5:$A$34,0))</f>
        <v>North Africa</v>
      </c>
      <c r="D144" s="12" t="s">
        <v>254</v>
      </c>
      <c r="E144" s="12" t="str">
        <f aca="false">INDEX('Risk Taxonomy'!$B$5:$B$24,MATCH(D144,'Risk Taxonomy'!$A$5:$A$24,0))</f>
        <v>Tax evasion and tax transparency</v>
      </c>
      <c r="F144" s="28" t="n">
        <f aca="false">IFERROR(SUMPRODUCT((Indicators!$B$5:$B$35=F$4)*Indicators!$Q$5:$Q$35*'Indicator Scores'!$W$5:$W$35)/SUMPRODUCT((Indicators!$B$5:$B$35=F$4)*Indicators!$Q$5:$Q$35*('Indicator Scores'!$W$5:$W$35&gt;0)),0)</f>
        <v>2.33333333333333</v>
      </c>
      <c r="G144" s="28" t="n">
        <f aca="false">IFERROR(SUMPRODUCT((Indicators!$B$5:$B$35=G$4)*Indicators!$Q$5:$Q$35*'Indicator Scores'!$W$5:$W$35)/SUMPRODUCT((Indicators!$B$5:$B$35=G$4)*Indicators!$Q$5:$Q$35*('Indicator Scores'!$W$5:$W$35&gt;0)),0)</f>
        <v>2.83333333333333</v>
      </c>
      <c r="H144" s="28" t="n">
        <f aca="false">IFERROR(SUMPRODUCT((Indicators!$B$5:$B$35=H$4)*Indicators!$Q$5:$Q$35*'Indicator Scores'!$W$5:$W$35)/SUMPRODUCT((Indicators!$B$5:$B$35=H$4)*Indicators!$Q$5:$Q$35*('Indicator Scores'!$W$5:$W$35&gt;0)),0)</f>
        <v>2.83333333333333</v>
      </c>
      <c r="I144" s="28" t="n">
        <f aca="false">IFERROR(SUMPRODUCT((Indicators!$B$5:$B$35=I$4)*Indicators!$Q$5:$Q$35*'Indicator Scores'!$W$5:$W$35)/SUMPRODUCT((Indicators!$B$5:$B$35=I$4)*Indicators!$Q$5:$Q$35*('Indicator Scores'!$W$5:$W$35&gt;0)),0)</f>
        <v>2.5</v>
      </c>
      <c r="J144" s="28" t="n">
        <f aca="false">IFERROR(SUMPRODUCT((Indicators!$B$5:$B$35=J$4)*Indicators!$Q$5:$Q$35*'Indicator Scores'!$W$5:$W$35)/SUMPRODUCT((Indicators!$B$5:$B$35=J$4)*Indicators!$Q$5:$Q$35*('Indicator Scores'!$W$5:$W$35&gt;0)),0)</f>
        <v>3</v>
      </c>
      <c r="K144" s="28" t="n">
        <f aca="false">IFERROR(SUMPRODUCT(F144:J144,INDEX('Factor Weights'!$C$5:$G$11,MATCH(D144,'Factor Weights'!$A$5:$A$11,0),0))/SUMPRODUCT((F144:J144&gt;0)*INDEX('Factor Weights'!$C$5:$G$11,MATCH(D144,'Factor Weights'!$A$5:$A$11,0),0)),0)</f>
        <v>2.64166666666667</v>
      </c>
      <c r="L144" s="29" t="n">
        <f aca="false">MAX(F144:J144)</f>
        <v>3</v>
      </c>
      <c r="M144" s="28" t="n">
        <f aca="false">IF(L144&gt;=Config!$C$13,MAX(K144,Config!$C$14),K144)</f>
        <v>2.64166666666667</v>
      </c>
      <c r="N144" s="30" t="n">
        <f aca="false">IF(Config!$C$12="Weighted average",K144,IF(Config!$C$12="Weighted with floor",M144,L144))</f>
        <v>2.64166666666667</v>
      </c>
      <c r="O144" s="31" t="n">
        <f aca="false">IF(N144&lt;Config!$D$5,"",MATCH(N144,Config!$D$5:$D$9,1))</f>
        <v>3</v>
      </c>
      <c r="P144" s="7" t="str">
        <f aca="false">IF(O144="","No data",INDEX(Config!$B$5:$B$9,O144))</f>
        <v>Medium</v>
      </c>
      <c r="Q144" s="32" t="n">
        <v>0</v>
      </c>
      <c r="R144" s="8"/>
      <c r="S144" s="33"/>
      <c r="T144" s="34" t="n">
        <f aca="false">IF(O144="","",IF(AND(S144="Y",Q144&lt;&gt;0),MAX(1,MIN(5,O144+MAX(-Config!$C$27,MIN(Config!$C$27,Q144)))),O144))</f>
        <v>3</v>
      </c>
      <c r="U144" s="35" t="str">
        <f aca="false">IF(T144="","No data",INDEX(Config!$B$5:$B$9,T144))</f>
        <v>Medium</v>
      </c>
      <c r="V144" s="7" t="str">
        <f aca="false">IF(Q144=0,"None",IF(S144="Y","Applied","Pending HO approval"))</f>
        <v>None</v>
      </c>
      <c r="W144" s="36" t="n">
        <f aca="false">SUMPRODUCT((Indicators!$Q$5:$Q$35&gt;0)*('Indicator Data'!$W$5:$W$35&lt;&gt;""))/SUMPRODUCT(--(Indicators!$Q$5:$Q$35&gt;0))</f>
        <v>1</v>
      </c>
    </row>
    <row r="145" customFormat="false" ht="15" hidden="false" customHeight="false" outlineLevel="0" collapsed="false">
      <c r="A145" s="26" t="str">
        <f aca="false">Entities!$A$25</f>
        <v>SD</v>
      </c>
      <c r="B145" s="12" t="str">
        <f aca="false">INDEX(Entities!$B$5:$B$34,MATCH(A145,Entities!$A$5:$A$34,0))</f>
        <v>Arab Sudanese Bank</v>
      </c>
      <c r="C145" s="12" t="str">
        <f aca="false">INDEX(Entities!$D$5:$D$34,MATCH(A145,Entities!$A$5:$A$34,0))</f>
        <v>North Africa</v>
      </c>
      <c r="D145" s="12" t="s">
        <v>233</v>
      </c>
      <c r="E145" s="12" t="str">
        <f aca="false">INDEX('Risk Taxonomy'!$B$5:$B$24,MATCH(D145,'Risk Taxonomy'!$A$5:$A$24,0))</f>
        <v>Money laundering</v>
      </c>
      <c r="F145" s="28" t="n">
        <f aca="false">IFERROR(SUMPRODUCT((Indicators!$B$5:$B$35=F$4)*Indicators!$K$5:$K$35*'Indicator Scores'!$X$5:$X$35)/SUMPRODUCT((Indicators!$B$5:$B$35=F$4)*Indicators!$K$5:$K$35*('Indicator Scores'!$X$5:$X$35&gt;0)),0)</f>
        <v>4.33333333333333</v>
      </c>
      <c r="G145" s="28" t="n">
        <f aca="false">IFERROR(SUMPRODUCT((Indicators!$B$5:$B$35=G$4)*Indicators!$K$5:$K$35*'Indicator Scores'!$X$5:$X$35)/SUMPRODUCT((Indicators!$B$5:$B$35=G$4)*Indicators!$K$5:$K$35*('Indicator Scores'!$X$5:$X$35&gt;0)),0)</f>
        <v>4</v>
      </c>
      <c r="H145" s="28" t="n">
        <f aca="false">IFERROR(SUMPRODUCT((Indicators!$B$5:$B$35=H$4)*Indicators!$K$5:$K$35*'Indicator Scores'!$X$5:$X$35)/SUMPRODUCT((Indicators!$B$5:$B$35=H$4)*Indicators!$K$5:$K$35*('Indicator Scores'!$X$5:$X$35&gt;0)),0)</f>
        <v>4.2</v>
      </c>
      <c r="I145" s="28" t="n">
        <f aca="false">IFERROR(SUMPRODUCT((Indicators!$B$5:$B$35=I$4)*Indicators!$K$5:$K$35*'Indicator Scores'!$X$5:$X$35)/SUMPRODUCT((Indicators!$B$5:$B$35=I$4)*Indicators!$K$5:$K$35*('Indicator Scores'!$X$5:$X$35&gt;0)),0)</f>
        <v>4.71428571428571</v>
      </c>
      <c r="J145" s="28" t="n">
        <f aca="false">IFERROR(SUMPRODUCT((Indicators!$B$5:$B$35=J$4)*Indicators!$K$5:$K$35*'Indicator Scores'!$X$5:$X$35)/SUMPRODUCT((Indicators!$B$5:$B$35=J$4)*Indicators!$K$5:$K$35*('Indicator Scores'!$X$5:$X$35&gt;0)),0)</f>
        <v>3.8</v>
      </c>
      <c r="K145" s="28" t="n">
        <f aca="false">IFERROR(SUMPRODUCT(F145:J145,INDEX('Factor Weights'!$C$5:$G$11,MATCH(D145,'Factor Weights'!$A$5:$A$11,0),0))/SUMPRODUCT((F145:J145&gt;0)*INDEX('Factor Weights'!$C$5:$G$11,MATCH(D145,'Factor Weights'!$A$5:$A$11,0),0)),0)</f>
        <v>4.22714285714286</v>
      </c>
      <c r="L145" s="29" t="n">
        <f aca="false">MAX(F145:J145)</f>
        <v>4.71428571428571</v>
      </c>
      <c r="M145" s="28" t="n">
        <f aca="false">IF(L145&gt;=Config!$C$13,MAX(K145,Config!$C$14),K145)</f>
        <v>4.22714285714286</v>
      </c>
      <c r="N145" s="30" t="n">
        <f aca="false">IF(Config!$C$12="Weighted average",K145,IF(Config!$C$12="Weighted with floor",M145,L145))</f>
        <v>4.22714285714286</v>
      </c>
      <c r="O145" s="31" t="n">
        <f aca="false">IF(N145&lt;Config!$D$5,"",MATCH(N145,Config!$D$5:$D$9,1))</f>
        <v>5</v>
      </c>
      <c r="P145" s="7" t="str">
        <f aca="false">IF(O145="","No data",INDEX(Config!$B$5:$B$9,O145))</f>
        <v>High</v>
      </c>
      <c r="Q145" s="32" t="n">
        <v>0</v>
      </c>
      <c r="R145" s="8"/>
      <c r="S145" s="33"/>
      <c r="T145" s="34" t="n">
        <f aca="false">IF(O145="","",IF(AND(S145="Y",Q145&lt;&gt;0),MAX(1,MIN(5,O145+MAX(-Config!$C$27,MIN(Config!$C$27,Q145)))),O145))</f>
        <v>5</v>
      </c>
      <c r="U145" s="35" t="str">
        <f aca="false">IF(T145="","No data",INDEX(Config!$B$5:$B$9,T145))</f>
        <v>High</v>
      </c>
      <c r="V145" s="7" t="str">
        <f aca="false">IF(Q145=0,"None",IF(S145="Y","Applied","Pending HO approval"))</f>
        <v>None</v>
      </c>
      <c r="W145" s="36" t="n">
        <f aca="false">SUMPRODUCT((Indicators!$K$5:$K$35&gt;0)*('Indicator Data'!$X$5:$X$35&lt;&gt;""))/SUMPRODUCT(--(Indicators!$K$5:$K$35&gt;0))</f>
        <v>1</v>
      </c>
    </row>
    <row r="146" customFormat="false" ht="15" hidden="false" customHeight="false" outlineLevel="0" collapsed="false">
      <c r="A146" s="26" t="str">
        <f aca="false">Entities!$A$25</f>
        <v>SD</v>
      </c>
      <c r="B146" s="12" t="str">
        <f aca="false">INDEX(Entities!$B$5:$B$34,MATCH(A146,Entities!$A$5:$A$34,0))</f>
        <v>Arab Sudanese Bank</v>
      </c>
      <c r="C146" s="12" t="str">
        <f aca="false">INDEX(Entities!$D$5:$D$34,MATCH(A146,Entities!$A$5:$A$34,0))</f>
        <v>North Africa</v>
      </c>
      <c r="D146" s="12" t="s">
        <v>240</v>
      </c>
      <c r="E146" s="12" t="str">
        <f aca="false">INDEX('Risk Taxonomy'!$B$5:$B$24,MATCH(D146,'Risk Taxonomy'!$A$5:$A$24,0))</f>
        <v>Terrorist financing</v>
      </c>
      <c r="F146" s="28" t="n">
        <f aca="false">IFERROR(SUMPRODUCT((Indicators!$B$5:$B$35=F$4)*Indicators!$L$5:$L$35*'Indicator Scores'!$X$5:$X$35)/SUMPRODUCT((Indicators!$B$5:$B$35=F$4)*Indicators!$L$5:$L$35*('Indicator Scores'!$X$5:$X$35&gt;0)),0)</f>
        <v>4.6</v>
      </c>
      <c r="G146" s="28" t="n">
        <f aca="false">IFERROR(SUMPRODUCT((Indicators!$B$5:$B$35=G$4)*Indicators!$L$5:$L$35*'Indicator Scores'!$X$5:$X$35)/SUMPRODUCT((Indicators!$B$5:$B$35=G$4)*Indicators!$L$5:$L$35*('Indicator Scores'!$X$5:$X$35&gt;0)),0)</f>
        <v>4.22222222222222</v>
      </c>
      <c r="H146" s="28" t="n">
        <f aca="false">IFERROR(SUMPRODUCT((Indicators!$B$5:$B$35=H$4)*Indicators!$L$5:$L$35*'Indicator Scores'!$X$5:$X$35)/SUMPRODUCT((Indicators!$B$5:$B$35=H$4)*Indicators!$L$5:$L$35*('Indicator Scores'!$X$5:$X$35&gt;0)),0)</f>
        <v>4.33333333333333</v>
      </c>
      <c r="I146" s="28" t="n">
        <f aca="false">IFERROR(SUMPRODUCT((Indicators!$B$5:$B$35=I$4)*Indicators!$L$5:$L$35*'Indicator Scores'!$X$5:$X$35)/SUMPRODUCT((Indicators!$B$5:$B$35=I$4)*Indicators!$L$5:$L$35*('Indicator Scores'!$X$5:$X$35&gt;0)),0)</f>
        <v>4.66666666666667</v>
      </c>
      <c r="J146" s="28" t="n">
        <f aca="false">IFERROR(SUMPRODUCT((Indicators!$B$5:$B$35=J$4)*Indicators!$L$5:$L$35*'Indicator Scores'!$X$5:$X$35)/SUMPRODUCT((Indicators!$B$5:$B$35=J$4)*Indicators!$L$5:$L$35*('Indicator Scores'!$X$5:$X$35&gt;0)),0)</f>
        <v>4</v>
      </c>
      <c r="K146" s="28" t="n">
        <f aca="false">IFERROR(SUMPRODUCT(F146:J146,INDEX('Factor Weights'!$C$5:$G$11,MATCH(D146,'Factor Weights'!$A$5:$A$11,0),0))/SUMPRODUCT((F146:J146&gt;0)*INDEX('Factor Weights'!$C$5:$G$11,MATCH(D146,'Factor Weights'!$A$5:$A$11,0),0)),0)</f>
        <v>4.33333333333333</v>
      </c>
      <c r="L146" s="29" t="n">
        <f aca="false">MAX(F146:J146)</f>
        <v>4.66666666666667</v>
      </c>
      <c r="M146" s="28" t="n">
        <f aca="false">IF(L146&gt;=Config!$C$13,MAX(K146,Config!$C$14),K146)</f>
        <v>4.33333333333333</v>
      </c>
      <c r="N146" s="30" t="n">
        <f aca="false">IF(Config!$C$12="Weighted average",K146,IF(Config!$C$12="Weighted with floor",M146,L146))</f>
        <v>4.33333333333333</v>
      </c>
      <c r="O146" s="31" t="n">
        <f aca="false">IF(N146&lt;Config!$D$5,"",MATCH(N146,Config!$D$5:$D$9,1))</f>
        <v>5</v>
      </c>
      <c r="P146" s="7" t="str">
        <f aca="false">IF(O146="","No data",INDEX(Config!$B$5:$B$9,O146))</f>
        <v>High</v>
      </c>
      <c r="Q146" s="32" t="n">
        <v>0</v>
      </c>
      <c r="R146" s="8"/>
      <c r="S146" s="33"/>
      <c r="T146" s="34" t="n">
        <f aca="false">IF(O146="","",IF(AND(S146="Y",Q146&lt;&gt;0),MAX(1,MIN(5,O146+MAX(-Config!$C$27,MIN(Config!$C$27,Q146)))),O146))</f>
        <v>5</v>
      </c>
      <c r="U146" s="35" t="str">
        <f aca="false">IF(T146="","No data",INDEX(Config!$B$5:$B$9,T146))</f>
        <v>High</v>
      </c>
      <c r="V146" s="7" t="str">
        <f aca="false">IF(Q146=0,"None",IF(S146="Y","Applied","Pending HO approval"))</f>
        <v>None</v>
      </c>
      <c r="W146" s="36" t="n">
        <f aca="false">SUMPRODUCT((Indicators!$L$5:$L$35&gt;0)*('Indicator Data'!$X$5:$X$35&lt;&gt;""))/SUMPRODUCT(--(Indicators!$L$5:$L$35&gt;0))</f>
        <v>1</v>
      </c>
    </row>
    <row r="147" customFormat="false" ht="15" hidden="false" customHeight="false" outlineLevel="0" collapsed="false">
      <c r="A147" s="26" t="str">
        <f aca="false">Entities!$A$25</f>
        <v>SD</v>
      </c>
      <c r="B147" s="12" t="str">
        <f aca="false">INDEX(Entities!$B$5:$B$34,MATCH(A147,Entities!$A$5:$A$34,0))</f>
        <v>Arab Sudanese Bank</v>
      </c>
      <c r="C147" s="12" t="str">
        <f aca="false">INDEX(Entities!$D$5:$D$34,MATCH(A147,Entities!$A$5:$A$34,0))</f>
        <v>North Africa</v>
      </c>
      <c r="D147" s="12" t="s">
        <v>243</v>
      </c>
      <c r="E147" s="12" t="str">
        <f aca="false">INDEX('Risk Taxonomy'!$B$5:$B$24,MATCH(D147,'Risk Taxonomy'!$A$5:$A$24,0))</f>
        <v>Proliferation financing</v>
      </c>
      <c r="F147" s="28" t="n">
        <f aca="false">IFERROR(SUMPRODUCT((Indicators!$B$5:$B$35=F$4)*Indicators!$M$5:$M$35*'Indicator Scores'!$X$5:$X$35)/SUMPRODUCT((Indicators!$B$5:$B$35=F$4)*Indicators!$M$5:$M$35*('Indicator Scores'!$X$5:$X$35&gt;0)),0)</f>
        <v>4.5</v>
      </c>
      <c r="G147" s="28" t="n">
        <f aca="false">IFERROR(SUMPRODUCT((Indicators!$B$5:$B$35=G$4)*Indicators!$M$5:$M$35*'Indicator Scores'!$X$5:$X$35)/SUMPRODUCT((Indicators!$B$5:$B$35=G$4)*Indicators!$M$5:$M$35*('Indicator Scores'!$X$5:$X$35&gt;0)),0)</f>
        <v>3.875</v>
      </c>
      <c r="H147" s="28" t="n">
        <f aca="false">IFERROR(SUMPRODUCT((Indicators!$B$5:$B$35=H$4)*Indicators!$M$5:$M$35*'Indicator Scores'!$X$5:$X$35)/SUMPRODUCT((Indicators!$B$5:$B$35=H$4)*Indicators!$M$5:$M$35*('Indicator Scores'!$X$5:$X$35&gt;0)),0)</f>
        <v>4.33333333333333</v>
      </c>
      <c r="I147" s="28" t="n">
        <f aca="false">IFERROR(SUMPRODUCT((Indicators!$B$5:$B$35=I$4)*Indicators!$M$5:$M$35*'Indicator Scores'!$X$5:$X$35)/SUMPRODUCT((Indicators!$B$5:$B$35=I$4)*Indicators!$M$5:$M$35*('Indicator Scores'!$X$5:$X$35&gt;0)),0)</f>
        <v>4.33333333333333</v>
      </c>
      <c r="J147" s="28" t="n">
        <f aca="false">IFERROR(SUMPRODUCT((Indicators!$B$5:$B$35=J$4)*Indicators!$M$5:$M$35*'Indicator Scores'!$X$5:$X$35)/SUMPRODUCT((Indicators!$B$5:$B$35=J$4)*Indicators!$M$5:$M$35*('Indicator Scores'!$X$5:$X$35&gt;0)),0)</f>
        <v>4</v>
      </c>
      <c r="K147" s="28" t="n">
        <f aca="false">IFERROR(SUMPRODUCT(F147:J147,INDEX('Factor Weights'!$C$5:$G$11,MATCH(D147,'Factor Weights'!$A$5:$A$11,0),0))/SUMPRODUCT((F147:J147&gt;0)*INDEX('Factor Weights'!$C$5:$G$11,MATCH(D147,'Factor Weights'!$A$5:$A$11,0),0)),0)</f>
        <v>4.15416666666667</v>
      </c>
      <c r="L147" s="29" t="n">
        <f aca="false">MAX(F147:J147)</f>
        <v>4.5</v>
      </c>
      <c r="M147" s="28" t="n">
        <f aca="false">IF(L147&gt;=Config!$C$13,MAX(K147,Config!$C$14),K147)</f>
        <v>4.15416666666667</v>
      </c>
      <c r="N147" s="30" t="n">
        <f aca="false">IF(Config!$C$12="Weighted average",K147,IF(Config!$C$12="Weighted with floor",M147,L147))</f>
        <v>4.15416666666667</v>
      </c>
      <c r="O147" s="31" t="n">
        <f aca="false">IF(N147&lt;Config!$D$5,"",MATCH(N147,Config!$D$5:$D$9,1))</f>
        <v>4</v>
      </c>
      <c r="P147" s="7" t="str">
        <f aca="false">IF(O147="","No data",INDEX(Config!$B$5:$B$9,O147))</f>
        <v>Medium-High</v>
      </c>
      <c r="Q147" s="32" t="n">
        <v>0</v>
      </c>
      <c r="R147" s="8"/>
      <c r="S147" s="33"/>
      <c r="T147" s="34" t="n">
        <f aca="false">IF(O147="","",IF(AND(S147="Y",Q147&lt;&gt;0),MAX(1,MIN(5,O147+MAX(-Config!$C$27,MIN(Config!$C$27,Q147)))),O147))</f>
        <v>4</v>
      </c>
      <c r="U147" s="35" t="str">
        <f aca="false">IF(T147="","No data",INDEX(Config!$B$5:$B$9,T147))</f>
        <v>Medium-High</v>
      </c>
      <c r="V147" s="7" t="str">
        <f aca="false">IF(Q147=0,"None",IF(S147="Y","Applied","Pending HO approval"))</f>
        <v>None</v>
      </c>
      <c r="W147" s="36" t="n">
        <f aca="false">SUMPRODUCT((Indicators!$M$5:$M$35&gt;0)*('Indicator Data'!$X$5:$X$35&lt;&gt;""))/SUMPRODUCT(--(Indicators!$M$5:$M$35&gt;0))</f>
        <v>1</v>
      </c>
    </row>
    <row r="148" customFormat="false" ht="15" hidden="false" customHeight="false" outlineLevel="0" collapsed="false">
      <c r="A148" s="26" t="str">
        <f aca="false">Entities!$A$25</f>
        <v>SD</v>
      </c>
      <c r="B148" s="12" t="str">
        <f aca="false">INDEX(Entities!$B$5:$B$34,MATCH(A148,Entities!$A$5:$A$34,0))</f>
        <v>Arab Sudanese Bank</v>
      </c>
      <c r="C148" s="12" t="str">
        <f aca="false">INDEX(Entities!$D$5:$D$34,MATCH(A148,Entities!$A$5:$A$34,0))</f>
        <v>North Africa</v>
      </c>
      <c r="D148" s="12" t="s">
        <v>245</v>
      </c>
      <c r="E148" s="12" t="str">
        <f aca="false">INDEX('Risk Taxonomy'!$B$5:$B$24,MATCH(D148,'Risk Taxonomy'!$A$5:$A$24,0))</f>
        <v>Sanctions</v>
      </c>
      <c r="F148" s="28" t="n">
        <f aca="false">IFERROR(SUMPRODUCT((Indicators!$B$5:$B$35=F$4)*Indicators!$N$5:$N$35*'Indicator Scores'!$X$5:$X$35)/SUMPRODUCT((Indicators!$B$5:$B$35=F$4)*Indicators!$N$5:$N$35*('Indicator Scores'!$X$5:$X$35&gt;0)),0)</f>
        <v>4.42857142857143</v>
      </c>
      <c r="G148" s="28" t="n">
        <f aca="false">IFERROR(SUMPRODUCT((Indicators!$B$5:$B$35=G$4)*Indicators!$N$5:$N$35*'Indicator Scores'!$X$5:$X$35)/SUMPRODUCT((Indicators!$B$5:$B$35=G$4)*Indicators!$N$5:$N$35*('Indicator Scores'!$X$5:$X$35&gt;0)),0)</f>
        <v>4</v>
      </c>
      <c r="H148" s="28" t="n">
        <f aca="false">IFERROR(SUMPRODUCT((Indicators!$B$5:$B$35=H$4)*Indicators!$N$5:$N$35*'Indicator Scores'!$X$5:$X$35)/SUMPRODUCT((Indicators!$B$5:$B$35=H$4)*Indicators!$N$5:$N$35*('Indicator Scores'!$X$5:$X$35&gt;0)),0)</f>
        <v>4.25</v>
      </c>
      <c r="I148" s="28" t="n">
        <f aca="false">IFERROR(SUMPRODUCT((Indicators!$B$5:$B$35=I$4)*Indicators!$N$5:$N$35*'Indicator Scores'!$X$5:$X$35)/SUMPRODUCT((Indicators!$B$5:$B$35=I$4)*Indicators!$N$5:$N$35*('Indicator Scores'!$X$5:$X$35&gt;0)),0)</f>
        <v>4.66666666666667</v>
      </c>
      <c r="J148" s="28" t="n">
        <f aca="false">IFERROR(SUMPRODUCT((Indicators!$B$5:$B$35=J$4)*Indicators!$N$5:$N$35*'Indicator Scores'!$X$5:$X$35)/SUMPRODUCT((Indicators!$B$5:$B$35=J$4)*Indicators!$N$5:$N$35*('Indicator Scores'!$X$5:$X$35&gt;0)),0)</f>
        <v>4.2</v>
      </c>
      <c r="K148" s="28" t="n">
        <f aca="false">IFERROR(SUMPRODUCT(F148:J148,INDEX('Factor Weights'!$C$5:$G$11,MATCH(D148,'Factor Weights'!$A$5:$A$11,0),0))/SUMPRODUCT((F148:J148&gt;0)*INDEX('Factor Weights'!$C$5:$G$11,MATCH(D148,'Factor Weights'!$A$5:$A$11,0),0)),0)</f>
        <v>4.18761904761905</v>
      </c>
      <c r="L148" s="29" t="n">
        <f aca="false">MAX(F148:J148)</f>
        <v>4.66666666666667</v>
      </c>
      <c r="M148" s="28" t="n">
        <f aca="false">IF(L148&gt;=Config!$C$13,MAX(K148,Config!$C$14),K148)</f>
        <v>4.18761904761905</v>
      </c>
      <c r="N148" s="30" t="n">
        <f aca="false">IF(Config!$C$12="Weighted average",K148,IF(Config!$C$12="Weighted with floor",M148,L148))</f>
        <v>4.18761904761905</v>
      </c>
      <c r="O148" s="31" t="n">
        <f aca="false">IF(N148&lt;Config!$D$5,"",MATCH(N148,Config!$D$5:$D$9,1))</f>
        <v>4</v>
      </c>
      <c r="P148" s="7" t="str">
        <f aca="false">IF(O148="","No data",INDEX(Config!$B$5:$B$9,O148))</f>
        <v>Medium-High</v>
      </c>
      <c r="Q148" s="32" t="n">
        <v>0</v>
      </c>
      <c r="R148" s="8"/>
      <c r="S148" s="33"/>
      <c r="T148" s="34" t="n">
        <f aca="false">IF(O148="","",IF(AND(S148="Y",Q148&lt;&gt;0),MAX(1,MIN(5,O148+MAX(-Config!$C$27,MIN(Config!$C$27,Q148)))),O148))</f>
        <v>4</v>
      </c>
      <c r="U148" s="35" t="str">
        <f aca="false">IF(T148="","No data",INDEX(Config!$B$5:$B$9,T148))</f>
        <v>Medium-High</v>
      </c>
      <c r="V148" s="7" t="str">
        <f aca="false">IF(Q148=0,"None",IF(S148="Y","Applied","Pending HO approval"))</f>
        <v>None</v>
      </c>
      <c r="W148" s="36" t="n">
        <f aca="false">SUMPRODUCT((Indicators!$N$5:$N$35&gt;0)*('Indicator Data'!$X$5:$X$35&lt;&gt;""))/SUMPRODUCT(--(Indicators!$N$5:$N$35&gt;0))</f>
        <v>1</v>
      </c>
    </row>
    <row r="149" customFormat="false" ht="15" hidden="false" customHeight="false" outlineLevel="0" collapsed="false">
      <c r="A149" s="26" t="str">
        <f aca="false">Entities!$A$25</f>
        <v>SD</v>
      </c>
      <c r="B149" s="12" t="str">
        <f aca="false">INDEX(Entities!$B$5:$B$34,MATCH(A149,Entities!$A$5:$A$34,0))</f>
        <v>Arab Sudanese Bank</v>
      </c>
      <c r="C149" s="12" t="str">
        <f aca="false">INDEX(Entities!$D$5:$D$34,MATCH(A149,Entities!$A$5:$A$34,0))</f>
        <v>North Africa</v>
      </c>
      <c r="D149" s="12" t="s">
        <v>248</v>
      </c>
      <c r="E149" s="12" t="str">
        <f aca="false">INDEX('Risk Taxonomy'!$B$5:$B$24,MATCH(D149,'Risk Taxonomy'!$A$5:$A$24,0))</f>
        <v>Bribery and corruption</v>
      </c>
      <c r="F149" s="28" t="n">
        <f aca="false">IFERROR(SUMPRODUCT((Indicators!$B$5:$B$35=F$4)*Indicators!$O$5:$O$35*'Indicator Scores'!$X$5:$X$35)/SUMPRODUCT((Indicators!$B$5:$B$35=F$4)*Indicators!$O$5:$O$35*('Indicator Scores'!$X$5:$X$35&gt;0)),0)</f>
        <v>4.22222222222222</v>
      </c>
      <c r="G149" s="28" t="n">
        <f aca="false">IFERROR(SUMPRODUCT((Indicators!$B$5:$B$35=G$4)*Indicators!$O$5:$O$35*'Indicator Scores'!$X$5:$X$35)/SUMPRODUCT((Indicators!$B$5:$B$35=G$4)*Indicators!$O$5:$O$35*('Indicator Scores'!$X$5:$X$35&gt;0)),0)</f>
        <v>4</v>
      </c>
      <c r="H149" s="28" t="n">
        <f aca="false">IFERROR(SUMPRODUCT((Indicators!$B$5:$B$35=H$4)*Indicators!$O$5:$O$35*'Indicator Scores'!$X$5:$X$35)/SUMPRODUCT((Indicators!$B$5:$B$35=H$4)*Indicators!$O$5:$O$35*('Indicator Scores'!$X$5:$X$35&gt;0)),0)</f>
        <v>4</v>
      </c>
      <c r="I149" s="28" t="n">
        <f aca="false">IFERROR(SUMPRODUCT((Indicators!$B$5:$B$35=I$4)*Indicators!$O$5:$O$35*'Indicator Scores'!$X$5:$X$35)/SUMPRODUCT((Indicators!$B$5:$B$35=I$4)*Indicators!$O$5:$O$35*('Indicator Scores'!$X$5:$X$35&gt;0)),0)</f>
        <v>4.6</v>
      </c>
      <c r="J149" s="28" t="n">
        <f aca="false">IFERROR(SUMPRODUCT((Indicators!$B$5:$B$35=J$4)*Indicators!$O$5:$O$35*'Indicator Scores'!$X$5:$X$35)/SUMPRODUCT((Indicators!$B$5:$B$35=J$4)*Indicators!$O$5:$O$35*('Indicator Scores'!$X$5:$X$35&gt;0)),0)</f>
        <v>3</v>
      </c>
      <c r="K149" s="28" t="n">
        <f aca="false">IFERROR(SUMPRODUCT(F149:J149,INDEX('Factor Weights'!$C$5:$G$11,MATCH(D149,'Factor Weights'!$A$5:$A$11,0),0))/SUMPRODUCT((F149:J149&gt;0)*INDEX('Factor Weights'!$C$5:$G$11,MATCH(D149,'Factor Weights'!$A$5:$A$11,0),0)),0)</f>
        <v>4.08666666666667</v>
      </c>
      <c r="L149" s="29" t="n">
        <f aca="false">MAX(F149:J149)</f>
        <v>4.6</v>
      </c>
      <c r="M149" s="28" t="n">
        <f aca="false">IF(L149&gt;=Config!$C$13,MAX(K149,Config!$C$14),K149)</f>
        <v>4.08666666666667</v>
      </c>
      <c r="N149" s="30" t="n">
        <f aca="false">IF(Config!$C$12="Weighted average",K149,IF(Config!$C$12="Weighted with floor",M149,L149))</f>
        <v>4.08666666666667</v>
      </c>
      <c r="O149" s="31" t="n">
        <f aca="false">IF(N149&lt;Config!$D$5,"",MATCH(N149,Config!$D$5:$D$9,1))</f>
        <v>4</v>
      </c>
      <c r="P149" s="7" t="str">
        <f aca="false">IF(O149="","No data",INDEX(Config!$B$5:$B$9,O149))</f>
        <v>Medium-High</v>
      </c>
      <c r="Q149" s="32" t="n">
        <v>0</v>
      </c>
      <c r="R149" s="8"/>
      <c r="S149" s="33"/>
      <c r="T149" s="34" t="n">
        <f aca="false">IF(O149="","",IF(AND(S149="Y",Q149&lt;&gt;0),MAX(1,MIN(5,O149+MAX(-Config!$C$27,MIN(Config!$C$27,Q149)))),O149))</f>
        <v>4</v>
      </c>
      <c r="U149" s="35" t="str">
        <f aca="false">IF(T149="","No data",INDEX(Config!$B$5:$B$9,T149))</f>
        <v>Medium-High</v>
      </c>
      <c r="V149" s="7" t="str">
        <f aca="false">IF(Q149=0,"None",IF(S149="Y","Applied","Pending HO approval"))</f>
        <v>None</v>
      </c>
      <c r="W149" s="36" t="n">
        <f aca="false">SUMPRODUCT((Indicators!$O$5:$O$35&gt;0)*('Indicator Data'!$X$5:$X$35&lt;&gt;""))/SUMPRODUCT(--(Indicators!$O$5:$O$35&gt;0))</f>
        <v>1</v>
      </c>
    </row>
    <row r="150" customFormat="false" ht="15" hidden="false" customHeight="false" outlineLevel="0" collapsed="false">
      <c r="A150" s="26" t="str">
        <f aca="false">Entities!$A$25</f>
        <v>SD</v>
      </c>
      <c r="B150" s="12" t="str">
        <f aca="false">INDEX(Entities!$B$5:$B$34,MATCH(A150,Entities!$A$5:$A$34,0))</f>
        <v>Arab Sudanese Bank</v>
      </c>
      <c r="C150" s="12" t="str">
        <f aca="false">INDEX(Entities!$D$5:$D$34,MATCH(A150,Entities!$A$5:$A$34,0))</f>
        <v>North Africa</v>
      </c>
      <c r="D150" s="12" t="s">
        <v>251</v>
      </c>
      <c r="E150" s="12" t="str">
        <f aca="false">INDEX('Risk Taxonomy'!$B$5:$B$24,MATCH(D150,'Risk Taxonomy'!$A$5:$A$24,0))</f>
        <v>Fraud</v>
      </c>
      <c r="F150" s="28" t="n">
        <f aca="false">IFERROR(SUMPRODUCT((Indicators!$B$5:$B$35=F$4)*Indicators!$P$5:$P$35*'Indicator Scores'!$X$5:$X$35)/SUMPRODUCT((Indicators!$B$5:$B$35=F$4)*Indicators!$P$5:$P$35*('Indicator Scores'!$X$5:$X$35&gt;0)),0)</f>
        <v>4.66666666666667</v>
      </c>
      <c r="G150" s="28" t="n">
        <f aca="false">IFERROR(SUMPRODUCT((Indicators!$B$5:$B$35=G$4)*Indicators!$P$5:$P$35*'Indicator Scores'!$X$5:$X$35)/SUMPRODUCT((Indicators!$B$5:$B$35=G$4)*Indicators!$P$5:$P$35*('Indicator Scores'!$X$5:$X$35&gt;0)),0)</f>
        <v>4.25</v>
      </c>
      <c r="H150" s="28" t="n">
        <f aca="false">IFERROR(SUMPRODUCT((Indicators!$B$5:$B$35=H$4)*Indicators!$P$5:$P$35*'Indicator Scores'!$X$5:$X$35)/SUMPRODUCT((Indicators!$B$5:$B$35=H$4)*Indicators!$P$5:$P$35*('Indicator Scores'!$X$5:$X$35&gt;0)),0)</f>
        <v>4.4</v>
      </c>
      <c r="I150" s="28" t="n">
        <f aca="false">IFERROR(SUMPRODUCT((Indicators!$B$5:$B$35=I$4)*Indicators!$P$5:$P$35*'Indicator Scores'!$X$5:$X$35)/SUMPRODUCT((Indicators!$B$5:$B$35=I$4)*Indicators!$P$5:$P$35*('Indicator Scores'!$X$5:$X$35&gt;0)),0)</f>
        <v>4.88888888888889</v>
      </c>
      <c r="J150" s="28" t="n">
        <f aca="false">IFERROR(SUMPRODUCT((Indicators!$B$5:$B$35=J$4)*Indicators!$P$5:$P$35*'Indicator Scores'!$X$5:$X$35)/SUMPRODUCT((Indicators!$B$5:$B$35=J$4)*Indicators!$P$5:$P$35*('Indicator Scores'!$X$5:$X$35&gt;0)),0)</f>
        <v>4.6</v>
      </c>
      <c r="K150" s="28" t="n">
        <f aca="false">IFERROR(SUMPRODUCT(F150:J150,INDEX('Factor Weights'!$C$5:$G$11,MATCH(D150,'Factor Weights'!$A$5:$A$11,0),0))/SUMPRODUCT((F150:J150&gt;0)*INDEX('Factor Weights'!$C$5:$G$11,MATCH(D150,'Factor Weights'!$A$5:$A$11,0),0)),0)</f>
        <v>4.625</v>
      </c>
      <c r="L150" s="29" t="n">
        <f aca="false">MAX(F150:J150)</f>
        <v>4.88888888888889</v>
      </c>
      <c r="M150" s="28" t="n">
        <f aca="false">IF(L150&gt;=Config!$C$13,MAX(K150,Config!$C$14),K150)</f>
        <v>4.625</v>
      </c>
      <c r="N150" s="30" t="n">
        <f aca="false">IF(Config!$C$12="Weighted average",K150,IF(Config!$C$12="Weighted with floor",M150,L150))</f>
        <v>4.625</v>
      </c>
      <c r="O150" s="31" t="n">
        <f aca="false">IF(N150&lt;Config!$D$5,"",MATCH(N150,Config!$D$5:$D$9,1))</f>
        <v>5</v>
      </c>
      <c r="P150" s="7" t="str">
        <f aca="false">IF(O150="","No data",INDEX(Config!$B$5:$B$9,O150))</f>
        <v>High</v>
      </c>
      <c r="Q150" s="32" t="n">
        <v>0</v>
      </c>
      <c r="R150" s="8"/>
      <c r="S150" s="33"/>
      <c r="T150" s="34" t="n">
        <f aca="false">IF(O150="","",IF(AND(S150="Y",Q150&lt;&gt;0),MAX(1,MIN(5,O150+MAX(-Config!$C$27,MIN(Config!$C$27,Q150)))),O150))</f>
        <v>5</v>
      </c>
      <c r="U150" s="35" t="str">
        <f aca="false">IF(T150="","No data",INDEX(Config!$B$5:$B$9,T150))</f>
        <v>High</v>
      </c>
      <c r="V150" s="7" t="str">
        <f aca="false">IF(Q150=0,"None",IF(S150="Y","Applied","Pending HO approval"))</f>
        <v>None</v>
      </c>
      <c r="W150" s="36" t="n">
        <f aca="false">SUMPRODUCT((Indicators!$P$5:$P$35&gt;0)*('Indicator Data'!$X$5:$X$35&lt;&gt;""))/SUMPRODUCT(--(Indicators!$P$5:$P$35&gt;0))</f>
        <v>1</v>
      </c>
    </row>
    <row r="151" customFormat="false" ht="15" hidden="false" customHeight="false" outlineLevel="0" collapsed="false">
      <c r="A151" s="26" t="str">
        <f aca="false">Entities!$A$25</f>
        <v>SD</v>
      </c>
      <c r="B151" s="12" t="str">
        <f aca="false">INDEX(Entities!$B$5:$B$34,MATCH(A151,Entities!$A$5:$A$34,0))</f>
        <v>Arab Sudanese Bank</v>
      </c>
      <c r="C151" s="12" t="str">
        <f aca="false">INDEX(Entities!$D$5:$D$34,MATCH(A151,Entities!$A$5:$A$34,0))</f>
        <v>North Africa</v>
      </c>
      <c r="D151" s="12" t="s">
        <v>254</v>
      </c>
      <c r="E151" s="12" t="str">
        <f aca="false">INDEX('Risk Taxonomy'!$B$5:$B$24,MATCH(D151,'Risk Taxonomy'!$A$5:$A$24,0))</f>
        <v>Tax evasion and tax transparency</v>
      </c>
      <c r="F151" s="28" t="n">
        <f aca="false">IFERROR(SUMPRODUCT((Indicators!$B$5:$B$35=F$4)*Indicators!$Q$5:$Q$35*'Indicator Scores'!$X$5:$X$35)/SUMPRODUCT((Indicators!$B$5:$B$35=F$4)*Indicators!$Q$5:$Q$35*('Indicator Scores'!$X$5:$X$35&gt;0)),0)</f>
        <v>4.33333333333333</v>
      </c>
      <c r="G151" s="28" t="n">
        <f aca="false">IFERROR(SUMPRODUCT((Indicators!$B$5:$B$35=G$4)*Indicators!$Q$5:$Q$35*'Indicator Scores'!$X$5:$X$35)/SUMPRODUCT((Indicators!$B$5:$B$35=G$4)*Indicators!$Q$5:$Q$35*('Indicator Scores'!$X$5:$X$35&gt;0)),0)</f>
        <v>4</v>
      </c>
      <c r="H151" s="28" t="n">
        <f aca="false">IFERROR(SUMPRODUCT((Indicators!$B$5:$B$35=H$4)*Indicators!$Q$5:$Q$35*'Indicator Scores'!$X$5:$X$35)/SUMPRODUCT((Indicators!$B$5:$B$35=H$4)*Indicators!$Q$5:$Q$35*('Indicator Scores'!$X$5:$X$35&gt;0)),0)</f>
        <v>4</v>
      </c>
      <c r="I151" s="28" t="n">
        <f aca="false">IFERROR(SUMPRODUCT((Indicators!$B$5:$B$35=I$4)*Indicators!$Q$5:$Q$35*'Indicator Scores'!$X$5:$X$35)/SUMPRODUCT((Indicators!$B$5:$B$35=I$4)*Indicators!$Q$5:$Q$35*('Indicator Scores'!$X$5:$X$35&gt;0)),0)</f>
        <v>4.5</v>
      </c>
      <c r="J151" s="28" t="n">
        <f aca="false">IFERROR(SUMPRODUCT((Indicators!$B$5:$B$35=J$4)*Indicators!$Q$5:$Q$35*'Indicator Scores'!$X$5:$X$35)/SUMPRODUCT((Indicators!$B$5:$B$35=J$4)*Indicators!$Q$5:$Q$35*('Indicator Scores'!$X$5:$X$35&gt;0)),0)</f>
        <v>2.8</v>
      </c>
      <c r="K151" s="28" t="n">
        <f aca="false">IFERROR(SUMPRODUCT(F151:J151,INDEX('Factor Weights'!$C$5:$G$11,MATCH(D151,'Factor Weights'!$A$5:$A$11,0),0))/SUMPRODUCT((F151:J151&gt;0)*INDEX('Factor Weights'!$C$5:$G$11,MATCH(D151,'Factor Weights'!$A$5:$A$11,0),0)),0)</f>
        <v>4.04666666666667</v>
      </c>
      <c r="L151" s="29" t="n">
        <f aca="false">MAX(F151:J151)</f>
        <v>4.5</v>
      </c>
      <c r="M151" s="28" t="n">
        <f aca="false">IF(L151&gt;=Config!$C$13,MAX(K151,Config!$C$14),K151)</f>
        <v>4.04666666666667</v>
      </c>
      <c r="N151" s="30" t="n">
        <f aca="false">IF(Config!$C$12="Weighted average",K151,IF(Config!$C$12="Weighted with floor",M151,L151))</f>
        <v>4.04666666666667</v>
      </c>
      <c r="O151" s="31" t="n">
        <f aca="false">IF(N151&lt;Config!$D$5,"",MATCH(N151,Config!$D$5:$D$9,1))</f>
        <v>4</v>
      </c>
      <c r="P151" s="7" t="str">
        <f aca="false">IF(O151="","No data",INDEX(Config!$B$5:$B$9,O151))</f>
        <v>Medium-High</v>
      </c>
      <c r="Q151" s="32" t="n">
        <v>0</v>
      </c>
      <c r="R151" s="8"/>
      <c r="S151" s="33"/>
      <c r="T151" s="34" t="n">
        <f aca="false">IF(O151="","",IF(AND(S151="Y",Q151&lt;&gt;0),MAX(1,MIN(5,O151+MAX(-Config!$C$27,MIN(Config!$C$27,Q151)))),O151))</f>
        <v>4</v>
      </c>
      <c r="U151" s="35" t="str">
        <f aca="false">IF(T151="","No data",INDEX(Config!$B$5:$B$9,T151))</f>
        <v>Medium-High</v>
      </c>
      <c r="V151" s="7" t="str">
        <f aca="false">IF(Q151=0,"None",IF(S151="Y","Applied","Pending HO approval"))</f>
        <v>None</v>
      </c>
      <c r="W151" s="36" t="n">
        <f aca="false">SUMPRODUCT((Indicators!$Q$5:$Q$35&gt;0)*('Indicator Data'!$X$5:$X$35&lt;&gt;""))/SUMPRODUCT(--(Indicators!$Q$5:$Q$35&gt;0))</f>
        <v>1</v>
      </c>
    </row>
    <row r="152" customFormat="false" ht="15" hidden="false" customHeight="false" outlineLevel="0" collapsed="false">
      <c r="A152" s="26" t="str">
        <f aca="false">Entities!$A$26</f>
        <v>GB</v>
      </c>
      <c r="B152" s="12" t="str">
        <f aca="false">INDEX(Entities!$B$5:$B$34,MATCH(A152,Entities!$A$5:$A$34,0))</f>
        <v>Europe Arab Bank – United Kingdom</v>
      </c>
      <c r="C152" s="12" t="str">
        <f aca="false">INDEX(Entities!$D$5:$D$34,MATCH(A152,Entities!$A$5:$A$34,0))</f>
        <v>Europe</v>
      </c>
      <c r="D152" s="12" t="s">
        <v>233</v>
      </c>
      <c r="E152" s="12" t="str">
        <f aca="false">INDEX('Risk Taxonomy'!$B$5:$B$24,MATCH(D152,'Risk Taxonomy'!$A$5:$A$24,0))</f>
        <v>Money laundering</v>
      </c>
      <c r="F152" s="28" t="n">
        <f aca="false">IFERROR(SUMPRODUCT((Indicators!$B$5:$B$35=F$4)*Indicators!$K$5:$K$35*'Indicator Scores'!$Y$5:$Y$35)/SUMPRODUCT((Indicators!$B$5:$B$35=F$4)*Indicators!$K$5:$K$35*('Indicator Scores'!$Y$5:$Y$35&gt;0)),0)</f>
        <v>2.16666666666667</v>
      </c>
      <c r="G152" s="28" t="n">
        <f aca="false">IFERROR(SUMPRODUCT((Indicators!$B$5:$B$35=G$4)*Indicators!$K$5:$K$35*'Indicator Scores'!$Y$5:$Y$35)/SUMPRODUCT((Indicators!$B$5:$B$35=G$4)*Indicators!$K$5:$K$35*('Indicator Scores'!$Y$5:$Y$35&gt;0)),0)</f>
        <v>2.44444444444444</v>
      </c>
      <c r="H152" s="28" t="n">
        <f aca="false">IFERROR(SUMPRODUCT((Indicators!$B$5:$B$35=H$4)*Indicators!$K$5:$K$35*'Indicator Scores'!$Y$5:$Y$35)/SUMPRODUCT((Indicators!$B$5:$B$35=H$4)*Indicators!$K$5:$K$35*('Indicator Scores'!$Y$5:$Y$35&gt;0)),0)</f>
        <v>1.9</v>
      </c>
      <c r="I152" s="28" t="n">
        <f aca="false">IFERROR(SUMPRODUCT((Indicators!$B$5:$B$35=I$4)*Indicators!$K$5:$K$35*'Indicator Scores'!$Y$5:$Y$35)/SUMPRODUCT((Indicators!$B$5:$B$35=I$4)*Indicators!$K$5:$K$35*('Indicator Scores'!$Y$5:$Y$35&gt;0)),0)</f>
        <v>2.42857142857143</v>
      </c>
      <c r="J152" s="28" t="n">
        <f aca="false">IFERROR(SUMPRODUCT((Indicators!$B$5:$B$35=J$4)*Indicators!$K$5:$K$35*'Indicator Scores'!$Y$5:$Y$35)/SUMPRODUCT((Indicators!$B$5:$B$35=J$4)*Indicators!$K$5:$K$35*('Indicator Scores'!$Y$5:$Y$35&gt;0)),0)</f>
        <v>1.1</v>
      </c>
      <c r="K152" s="28" t="n">
        <f aca="false">IFERROR(SUMPRODUCT(F152:J152,INDEX('Factor Weights'!$C$5:$G$11,MATCH(D152,'Factor Weights'!$A$5:$A$11,0),0))/SUMPRODUCT((F152:J152&gt;0)*INDEX('Factor Weights'!$C$5:$G$11,MATCH(D152,'Factor Weights'!$A$5:$A$11,0),0)),0)</f>
        <v>2.11539682539683</v>
      </c>
      <c r="L152" s="29" t="n">
        <f aca="false">MAX(F152:J152)</f>
        <v>2.44444444444444</v>
      </c>
      <c r="M152" s="28" t="n">
        <f aca="false">IF(L152&gt;=Config!$C$13,MAX(K152,Config!$C$14),K152)</f>
        <v>2.11539682539683</v>
      </c>
      <c r="N152" s="30" t="n">
        <f aca="false">IF(Config!$C$12="Weighted average",K152,IF(Config!$C$12="Weighted with floor",M152,L152))</f>
        <v>2.11539682539683</v>
      </c>
      <c r="O152" s="31" t="n">
        <f aca="false">IF(N152&lt;Config!$D$5,"",MATCH(N152,Config!$D$5:$D$9,1))</f>
        <v>2</v>
      </c>
      <c r="P152" s="7" t="str">
        <f aca="false">IF(O152="","No data",INDEX(Config!$B$5:$B$9,O152))</f>
        <v>Medium-Low</v>
      </c>
      <c r="Q152" s="32" t="n">
        <v>-1</v>
      </c>
      <c r="R152" s="8" t="s">
        <v>432</v>
      </c>
      <c r="S152" s="33"/>
      <c r="T152" s="34" t="n">
        <f aca="false">IF(O152="","",IF(AND(S152="Y",Q152&lt;&gt;0),MAX(1,MIN(5,O152+MAX(-Config!$C$27,MIN(Config!$C$27,Q152)))),O152))</f>
        <v>2</v>
      </c>
      <c r="U152" s="35" t="str">
        <f aca="false">IF(T152="","No data",INDEX(Config!$B$5:$B$9,T152))</f>
        <v>Medium-Low</v>
      </c>
      <c r="V152" s="7" t="str">
        <f aca="false">IF(Q152=0,"None",IF(S152="Y","Applied","Pending HO approval"))</f>
        <v>Pending HO approval</v>
      </c>
      <c r="W152" s="36" t="n">
        <f aca="false">SUMPRODUCT((Indicators!$K$5:$K$35&gt;0)*('Indicator Data'!$Y$5:$Y$35&lt;&gt;""))/SUMPRODUCT(--(Indicators!$K$5:$K$35&gt;0))</f>
        <v>1</v>
      </c>
    </row>
    <row r="153" customFormat="false" ht="15" hidden="false" customHeight="false" outlineLevel="0" collapsed="false">
      <c r="A153" s="26" t="str">
        <f aca="false">Entities!$A$26</f>
        <v>GB</v>
      </c>
      <c r="B153" s="12" t="str">
        <f aca="false">INDEX(Entities!$B$5:$B$34,MATCH(A153,Entities!$A$5:$A$34,0))</f>
        <v>Europe Arab Bank – United Kingdom</v>
      </c>
      <c r="C153" s="12" t="str">
        <f aca="false">INDEX(Entities!$D$5:$D$34,MATCH(A153,Entities!$A$5:$A$34,0))</f>
        <v>Europe</v>
      </c>
      <c r="D153" s="12" t="s">
        <v>240</v>
      </c>
      <c r="E153" s="12" t="str">
        <f aca="false">INDEX('Risk Taxonomy'!$B$5:$B$24,MATCH(D153,'Risk Taxonomy'!$A$5:$A$24,0))</f>
        <v>Terrorist financing</v>
      </c>
      <c r="F153" s="28" t="n">
        <f aca="false">IFERROR(SUMPRODUCT((Indicators!$B$5:$B$35=F$4)*Indicators!$L$5:$L$35*'Indicator Scores'!$Y$5:$Y$35)/SUMPRODUCT((Indicators!$B$5:$B$35=F$4)*Indicators!$L$5:$L$35*('Indicator Scores'!$Y$5:$Y$35&gt;0)),0)</f>
        <v>2.5</v>
      </c>
      <c r="G153" s="28" t="n">
        <f aca="false">IFERROR(SUMPRODUCT((Indicators!$B$5:$B$35=G$4)*Indicators!$L$5:$L$35*'Indicator Scores'!$Y$5:$Y$35)/SUMPRODUCT((Indicators!$B$5:$B$35=G$4)*Indicators!$L$5:$L$35*('Indicator Scores'!$Y$5:$Y$35&gt;0)),0)</f>
        <v>2.44444444444444</v>
      </c>
      <c r="H153" s="28" t="n">
        <f aca="false">IFERROR(SUMPRODUCT((Indicators!$B$5:$B$35=H$4)*Indicators!$L$5:$L$35*'Indicator Scores'!$Y$5:$Y$35)/SUMPRODUCT((Indicators!$B$5:$B$35=H$4)*Indicators!$L$5:$L$35*('Indicator Scores'!$Y$5:$Y$35&gt;0)),0)</f>
        <v>2.16666666666667</v>
      </c>
      <c r="I153" s="28" t="n">
        <f aca="false">IFERROR(SUMPRODUCT((Indicators!$B$5:$B$35=I$4)*Indicators!$L$5:$L$35*'Indicator Scores'!$Y$5:$Y$35)/SUMPRODUCT((Indicators!$B$5:$B$35=I$4)*Indicators!$L$5:$L$35*('Indicator Scores'!$Y$5:$Y$35&gt;0)),0)</f>
        <v>2.5</v>
      </c>
      <c r="J153" s="28" t="n">
        <f aca="false">IFERROR(SUMPRODUCT((Indicators!$B$5:$B$35=J$4)*Indicators!$L$5:$L$35*'Indicator Scores'!$Y$5:$Y$35)/SUMPRODUCT((Indicators!$B$5:$B$35=J$4)*Indicators!$L$5:$L$35*('Indicator Scores'!$Y$5:$Y$35&gt;0)),0)</f>
        <v>1</v>
      </c>
      <c r="K153" s="28" t="n">
        <f aca="false">IFERROR(SUMPRODUCT(F153:J153,INDEX('Factor Weights'!$C$5:$G$11,MATCH(D153,'Factor Weights'!$A$5:$A$11,0),0))/SUMPRODUCT((F153:J153&gt;0)*INDEX('Factor Weights'!$C$5:$G$11,MATCH(D153,'Factor Weights'!$A$5:$A$11,0),0)),0)</f>
        <v>2.13333333333333</v>
      </c>
      <c r="L153" s="29" t="n">
        <f aca="false">MAX(F153:J153)</f>
        <v>2.5</v>
      </c>
      <c r="M153" s="28" t="n">
        <f aca="false">IF(L153&gt;=Config!$C$13,MAX(K153,Config!$C$14),K153)</f>
        <v>2.13333333333333</v>
      </c>
      <c r="N153" s="30" t="n">
        <f aca="false">IF(Config!$C$12="Weighted average",K153,IF(Config!$C$12="Weighted with floor",M153,L153))</f>
        <v>2.13333333333333</v>
      </c>
      <c r="O153" s="31" t="n">
        <f aca="false">IF(N153&lt;Config!$D$5,"",MATCH(N153,Config!$D$5:$D$9,1))</f>
        <v>2</v>
      </c>
      <c r="P153" s="7" t="str">
        <f aca="false">IF(O153="","No data",INDEX(Config!$B$5:$B$9,O153))</f>
        <v>Medium-Low</v>
      </c>
      <c r="Q153" s="32" t="n">
        <v>0</v>
      </c>
      <c r="R153" s="8"/>
      <c r="S153" s="33"/>
      <c r="T153" s="34" t="n">
        <f aca="false">IF(O153="","",IF(AND(S153="Y",Q153&lt;&gt;0),MAX(1,MIN(5,O153+MAX(-Config!$C$27,MIN(Config!$C$27,Q153)))),O153))</f>
        <v>2</v>
      </c>
      <c r="U153" s="35" t="str">
        <f aca="false">IF(T153="","No data",INDEX(Config!$B$5:$B$9,T153))</f>
        <v>Medium-Low</v>
      </c>
      <c r="V153" s="7" t="str">
        <f aca="false">IF(Q153=0,"None",IF(S153="Y","Applied","Pending HO approval"))</f>
        <v>None</v>
      </c>
      <c r="W153" s="36" t="n">
        <f aca="false">SUMPRODUCT((Indicators!$L$5:$L$35&gt;0)*('Indicator Data'!$Y$5:$Y$35&lt;&gt;""))/SUMPRODUCT(--(Indicators!$L$5:$L$35&gt;0))</f>
        <v>1</v>
      </c>
    </row>
    <row r="154" customFormat="false" ht="15" hidden="false" customHeight="false" outlineLevel="0" collapsed="false">
      <c r="A154" s="26" t="str">
        <f aca="false">Entities!$A$26</f>
        <v>GB</v>
      </c>
      <c r="B154" s="12" t="str">
        <f aca="false">INDEX(Entities!$B$5:$B$34,MATCH(A154,Entities!$A$5:$A$34,0))</f>
        <v>Europe Arab Bank – United Kingdom</v>
      </c>
      <c r="C154" s="12" t="str">
        <f aca="false">INDEX(Entities!$D$5:$D$34,MATCH(A154,Entities!$A$5:$A$34,0))</f>
        <v>Europe</v>
      </c>
      <c r="D154" s="12" t="s">
        <v>243</v>
      </c>
      <c r="E154" s="12" t="str">
        <f aca="false">INDEX('Risk Taxonomy'!$B$5:$B$24,MATCH(D154,'Risk Taxonomy'!$A$5:$A$24,0))</f>
        <v>Proliferation financing</v>
      </c>
      <c r="F154" s="28" t="n">
        <f aca="false">IFERROR(SUMPRODUCT((Indicators!$B$5:$B$35=F$4)*Indicators!$M$5:$M$35*'Indicator Scores'!$Y$5:$Y$35)/SUMPRODUCT((Indicators!$B$5:$B$35=F$4)*Indicators!$M$5:$M$35*('Indicator Scores'!$Y$5:$Y$35&gt;0)),0)</f>
        <v>2.25</v>
      </c>
      <c r="G154" s="28" t="n">
        <f aca="false">IFERROR(SUMPRODUCT((Indicators!$B$5:$B$35=G$4)*Indicators!$M$5:$M$35*'Indicator Scores'!$Y$5:$Y$35)/SUMPRODUCT((Indicators!$B$5:$B$35=G$4)*Indicators!$M$5:$M$35*('Indicator Scores'!$Y$5:$Y$35&gt;0)),0)</f>
        <v>2.125</v>
      </c>
      <c r="H154" s="28" t="n">
        <f aca="false">IFERROR(SUMPRODUCT((Indicators!$B$5:$B$35=H$4)*Indicators!$M$5:$M$35*'Indicator Scores'!$Y$5:$Y$35)/SUMPRODUCT((Indicators!$B$5:$B$35=H$4)*Indicators!$M$5:$M$35*('Indicator Scores'!$Y$5:$Y$35&gt;0)),0)</f>
        <v>2.11111111111111</v>
      </c>
      <c r="I154" s="28" t="n">
        <f aca="false">IFERROR(SUMPRODUCT((Indicators!$B$5:$B$35=I$4)*Indicators!$M$5:$M$35*'Indicator Scores'!$Y$5:$Y$35)/SUMPRODUCT((Indicators!$B$5:$B$35=I$4)*Indicators!$M$5:$M$35*('Indicator Scores'!$Y$5:$Y$35&gt;0)),0)</f>
        <v>3</v>
      </c>
      <c r="J154" s="28" t="n">
        <f aca="false">IFERROR(SUMPRODUCT((Indicators!$B$5:$B$35=J$4)*Indicators!$M$5:$M$35*'Indicator Scores'!$Y$5:$Y$35)/SUMPRODUCT((Indicators!$B$5:$B$35=J$4)*Indicators!$M$5:$M$35*('Indicator Scores'!$Y$5:$Y$35&gt;0)),0)</f>
        <v>1.5</v>
      </c>
      <c r="K154" s="28" t="n">
        <f aca="false">IFERROR(SUMPRODUCT(F154:J154,INDEX('Factor Weights'!$C$5:$G$11,MATCH(D154,'Factor Weights'!$A$5:$A$11,0),0))/SUMPRODUCT((F154:J154&gt;0)*INDEX('Factor Weights'!$C$5:$G$11,MATCH(D154,'Factor Weights'!$A$5:$A$11,0),0)),0)</f>
        <v>2.05833333333333</v>
      </c>
      <c r="L154" s="29" t="n">
        <f aca="false">MAX(F154:J154)</f>
        <v>3</v>
      </c>
      <c r="M154" s="28" t="n">
        <f aca="false">IF(L154&gt;=Config!$C$13,MAX(K154,Config!$C$14),K154)</f>
        <v>2.05833333333333</v>
      </c>
      <c r="N154" s="30" t="n">
        <f aca="false">IF(Config!$C$12="Weighted average",K154,IF(Config!$C$12="Weighted with floor",M154,L154))</f>
        <v>2.05833333333333</v>
      </c>
      <c r="O154" s="31" t="n">
        <f aca="false">IF(N154&lt;Config!$D$5,"",MATCH(N154,Config!$D$5:$D$9,1))</f>
        <v>2</v>
      </c>
      <c r="P154" s="7" t="str">
        <f aca="false">IF(O154="","No data",INDEX(Config!$B$5:$B$9,O154))</f>
        <v>Medium-Low</v>
      </c>
      <c r="Q154" s="32" t="n">
        <v>0</v>
      </c>
      <c r="R154" s="8"/>
      <c r="S154" s="33"/>
      <c r="T154" s="34" t="n">
        <f aca="false">IF(O154="","",IF(AND(S154="Y",Q154&lt;&gt;0),MAX(1,MIN(5,O154+MAX(-Config!$C$27,MIN(Config!$C$27,Q154)))),O154))</f>
        <v>2</v>
      </c>
      <c r="U154" s="35" t="str">
        <f aca="false">IF(T154="","No data",INDEX(Config!$B$5:$B$9,T154))</f>
        <v>Medium-Low</v>
      </c>
      <c r="V154" s="7" t="str">
        <f aca="false">IF(Q154=0,"None",IF(S154="Y","Applied","Pending HO approval"))</f>
        <v>None</v>
      </c>
      <c r="W154" s="36" t="n">
        <f aca="false">SUMPRODUCT((Indicators!$M$5:$M$35&gt;0)*('Indicator Data'!$Y$5:$Y$35&lt;&gt;""))/SUMPRODUCT(--(Indicators!$M$5:$M$35&gt;0))</f>
        <v>1</v>
      </c>
    </row>
    <row r="155" customFormat="false" ht="15" hidden="false" customHeight="false" outlineLevel="0" collapsed="false">
      <c r="A155" s="26" t="str">
        <f aca="false">Entities!$A$26</f>
        <v>GB</v>
      </c>
      <c r="B155" s="12" t="str">
        <f aca="false">INDEX(Entities!$B$5:$B$34,MATCH(A155,Entities!$A$5:$A$34,0))</f>
        <v>Europe Arab Bank – United Kingdom</v>
      </c>
      <c r="C155" s="12" t="str">
        <f aca="false">INDEX(Entities!$D$5:$D$34,MATCH(A155,Entities!$A$5:$A$34,0))</f>
        <v>Europe</v>
      </c>
      <c r="D155" s="12" t="s">
        <v>245</v>
      </c>
      <c r="E155" s="12" t="str">
        <f aca="false">INDEX('Risk Taxonomy'!$B$5:$B$24,MATCH(D155,'Risk Taxonomy'!$A$5:$A$24,0))</f>
        <v>Sanctions</v>
      </c>
      <c r="F155" s="28" t="n">
        <f aca="false">IFERROR(SUMPRODUCT((Indicators!$B$5:$B$35=F$4)*Indicators!$N$5:$N$35*'Indicator Scores'!$Y$5:$Y$35)/SUMPRODUCT((Indicators!$B$5:$B$35=F$4)*Indicators!$N$5:$N$35*('Indicator Scores'!$Y$5:$Y$35&gt;0)),0)</f>
        <v>1.71428571428571</v>
      </c>
      <c r="G155" s="28" t="n">
        <f aca="false">IFERROR(SUMPRODUCT((Indicators!$B$5:$B$35=G$4)*Indicators!$N$5:$N$35*'Indicator Scores'!$Y$5:$Y$35)/SUMPRODUCT((Indicators!$B$5:$B$35=G$4)*Indicators!$N$5:$N$35*('Indicator Scores'!$Y$5:$Y$35&gt;0)),0)</f>
        <v>2</v>
      </c>
      <c r="H155" s="28" t="n">
        <f aca="false">IFERROR(SUMPRODUCT((Indicators!$B$5:$B$35=H$4)*Indicators!$N$5:$N$35*'Indicator Scores'!$Y$5:$Y$35)/SUMPRODUCT((Indicators!$B$5:$B$35=H$4)*Indicators!$N$5:$N$35*('Indicator Scores'!$Y$5:$Y$35&gt;0)),0)</f>
        <v>1.875</v>
      </c>
      <c r="I155" s="28" t="n">
        <f aca="false">IFERROR(SUMPRODUCT((Indicators!$B$5:$B$35=I$4)*Indicators!$N$5:$N$35*'Indicator Scores'!$Y$5:$Y$35)/SUMPRODUCT((Indicators!$B$5:$B$35=I$4)*Indicators!$N$5:$N$35*('Indicator Scores'!$Y$5:$Y$35&gt;0)),0)</f>
        <v>3</v>
      </c>
      <c r="J155" s="28" t="n">
        <f aca="false">IFERROR(SUMPRODUCT((Indicators!$B$5:$B$35=J$4)*Indicators!$N$5:$N$35*'Indicator Scores'!$Y$5:$Y$35)/SUMPRODUCT((Indicators!$B$5:$B$35=J$4)*Indicators!$N$5:$N$35*('Indicator Scores'!$Y$5:$Y$35&gt;0)),0)</f>
        <v>1.4</v>
      </c>
      <c r="K155" s="28" t="n">
        <f aca="false">IFERROR(SUMPRODUCT(F155:J155,INDEX('Factor Weights'!$C$5:$G$11,MATCH(D155,'Factor Weights'!$A$5:$A$11,0),0))/SUMPRODUCT((F155:J155&gt;0)*INDEX('Factor Weights'!$C$5:$G$11,MATCH(D155,'Factor Weights'!$A$5:$A$11,0),0)),0)</f>
        <v>1.86214285714286</v>
      </c>
      <c r="L155" s="29" t="n">
        <f aca="false">MAX(F155:J155)</f>
        <v>3</v>
      </c>
      <c r="M155" s="28" t="n">
        <f aca="false">IF(L155&gt;=Config!$C$13,MAX(K155,Config!$C$14),K155)</f>
        <v>1.86214285714286</v>
      </c>
      <c r="N155" s="30" t="n">
        <f aca="false">IF(Config!$C$12="Weighted average",K155,IF(Config!$C$12="Weighted with floor",M155,L155))</f>
        <v>1.86214285714286</v>
      </c>
      <c r="O155" s="31" t="n">
        <f aca="false">IF(N155&lt;Config!$D$5,"",MATCH(N155,Config!$D$5:$D$9,1))</f>
        <v>2</v>
      </c>
      <c r="P155" s="7" t="str">
        <f aca="false">IF(O155="","No data",INDEX(Config!$B$5:$B$9,O155))</f>
        <v>Medium-Low</v>
      </c>
      <c r="Q155" s="32" t="n">
        <v>0</v>
      </c>
      <c r="R155" s="8"/>
      <c r="S155" s="33"/>
      <c r="T155" s="34" t="n">
        <f aca="false">IF(O155="","",IF(AND(S155="Y",Q155&lt;&gt;0),MAX(1,MIN(5,O155+MAX(-Config!$C$27,MIN(Config!$C$27,Q155)))),O155))</f>
        <v>2</v>
      </c>
      <c r="U155" s="35" t="str">
        <f aca="false">IF(T155="","No data",INDEX(Config!$B$5:$B$9,T155))</f>
        <v>Medium-Low</v>
      </c>
      <c r="V155" s="7" t="str">
        <f aca="false">IF(Q155=0,"None",IF(S155="Y","Applied","Pending HO approval"))</f>
        <v>None</v>
      </c>
      <c r="W155" s="36" t="n">
        <f aca="false">SUMPRODUCT((Indicators!$N$5:$N$35&gt;0)*('Indicator Data'!$Y$5:$Y$35&lt;&gt;""))/SUMPRODUCT(--(Indicators!$N$5:$N$35&gt;0))</f>
        <v>1</v>
      </c>
    </row>
    <row r="156" customFormat="false" ht="15" hidden="false" customHeight="false" outlineLevel="0" collapsed="false">
      <c r="A156" s="26" t="str">
        <f aca="false">Entities!$A$26</f>
        <v>GB</v>
      </c>
      <c r="B156" s="12" t="str">
        <f aca="false">INDEX(Entities!$B$5:$B$34,MATCH(A156,Entities!$A$5:$A$34,0))</f>
        <v>Europe Arab Bank – United Kingdom</v>
      </c>
      <c r="C156" s="12" t="str">
        <f aca="false">INDEX(Entities!$D$5:$D$34,MATCH(A156,Entities!$A$5:$A$34,0))</f>
        <v>Europe</v>
      </c>
      <c r="D156" s="12" t="s">
        <v>248</v>
      </c>
      <c r="E156" s="12" t="str">
        <f aca="false">INDEX('Risk Taxonomy'!$B$5:$B$24,MATCH(D156,'Risk Taxonomy'!$A$5:$A$24,0))</f>
        <v>Bribery and corruption</v>
      </c>
      <c r="F156" s="28" t="n">
        <f aca="false">IFERROR(SUMPRODUCT((Indicators!$B$5:$B$35=F$4)*Indicators!$O$5:$O$35*'Indicator Scores'!$Y$5:$Y$35)/SUMPRODUCT((Indicators!$B$5:$B$35=F$4)*Indicators!$O$5:$O$35*('Indicator Scores'!$Y$5:$Y$35&gt;0)),0)</f>
        <v>1.66666666666667</v>
      </c>
      <c r="G156" s="28" t="n">
        <f aca="false">IFERROR(SUMPRODUCT((Indicators!$B$5:$B$35=G$4)*Indicators!$O$5:$O$35*'Indicator Scores'!$Y$5:$Y$35)/SUMPRODUCT((Indicators!$B$5:$B$35=G$4)*Indicators!$O$5:$O$35*('Indicator Scores'!$Y$5:$Y$35&gt;0)),0)</f>
        <v>3</v>
      </c>
      <c r="H156" s="28" t="n">
        <f aca="false">IFERROR(SUMPRODUCT((Indicators!$B$5:$B$35=H$4)*Indicators!$O$5:$O$35*'Indicator Scores'!$Y$5:$Y$35)/SUMPRODUCT((Indicators!$B$5:$B$35=H$4)*Indicators!$O$5:$O$35*('Indicator Scores'!$Y$5:$Y$35&gt;0)),0)</f>
        <v>2</v>
      </c>
      <c r="I156" s="28" t="n">
        <f aca="false">IFERROR(SUMPRODUCT((Indicators!$B$5:$B$35=I$4)*Indicators!$O$5:$O$35*'Indicator Scores'!$Y$5:$Y$35)/SUMPRODUCT((Indicators!$B$5:$B$35=I$4)*Indicators!$O$5:$O$35*('Indicator Scores'!$Y$5:$Y$35&gt;0)),0)</f>
        <v>1.8</v>
      </c>
      <c r="J156" s="28" t="n">
        <f aca="false">IFERROR(SUMPRODUCT((Indicators!$B$5:$B$35=J$4)*Indicators!$O$5:$O$35*'Indicator Scores'!$Y$5:$Y$35)/SUMPRODUCT((Indicators!$B$5:$B$35=J$4)*Indicators!$O$5:$O$35*('Indicator Scores'!$Y$5:$Y$35&gt;0)),0)</f>
        <v>2</v>
      </c>
      <c r="K156" s="28" t="n">
        <f aca="false">IFERROR(SUMPRODUCT(F156:J156,INDEX('Factor Weights'!$C$5:$G$11,MATCH(D156,'Factor Weights'!$A$5:$A$11,0),0))/SUMPRODUCT((F156:J156&gt;0)*INDEX('Factor Weights'!$C$5:$G$11,MATCH(D156,'Factor Weights'!$A$5:$A$11,0),0)),0)</f>
        <v>2.11</v>
      </c>
      <c r="L156" s="29" t="n">
        <f aca="false">MAX(F156:J156)</f>
        <v>3</v>
      </c>
      <c r="M156" s="28" t="n">
        <f aca="false">IF(L156&gt;=Config!$C$13,MAX(K156,Config!$C$14),K156)</f>
        <v>2.11</v>
      </c>
      <c r="N156" s="30" t="n">
        <f aca="false">IF(Config!$C$12="Weighted average",K156,IF(Config!$C$12="Weighted with floor",M156,L156))</f>
        <v>2.11</v>
      </c>
      <c r="O156" s="31" t="n">
        <f aca="false">IF(N156&lt;Config!$D$5,"",MATCH(N156,Config!$D$5:$D$9,1))</f>
        <v>2</v>
      </c>
      <c r="P156" s="7" t="str">
        <f aca="false">IF(O156="","No data",INDEX(Config!$B$5:$B$9,O156))</f>
        <v>Medium-Low</v>
      </c>
      <c r="Q156" s="32" t="n">
        <v>0</v>
      </c>
      <c r="R156" s="8"/>
      <c r="S156" s="33"/>
      <c r="T156" s="34" t="n">
        <f aca="false">IF(O156="","",IF(AND(S156="Y",Q156&lt;&gt;0),MAX(1,MIN(5,O156+MAX(-Config!$C$27,MIN(Config!$C$27,Q156)))),O156))</f>
        <v>2</v>
      </c>
      <c r="U156" s="35" t="str">
        <f aca="false">IF(T156="","No data",INDEX(Config!$B$5:$B$9,T156))</f>
        <v>Medium-Low</v>
      </c>
      <c r="V156" s="7" t="str">
        <f aca="false">IF(Q156=0,"None",IF(S156="Y","Applied","Pending HO approval"))</f>
        <v>None</v>
      </c>
      <c r="W156" s="36" t="n">
        <f aca="false">SUMPRODUCT((Indicators!$O$5:$O$35&gt;0)*('Indicator Data'!$Y$5:$Y$35&lt;&gt;""))/SUMPRODUCT(--(Indicators!$O$5:$O$35&gt;0))</f>
        <v>1</v>
      </c>
    </row>
    <row r="157" customFormat="false" ht="15" hidden="false" customHeight="false" outlineLevel="0" collapsed="false">
      <c r="A157" s="26" t="str">
        <f aca="false">Entities!$A$26</f>
        <v>GB</v>
      </c>
      <c r="B157" s="12" t="str">
        <f aca="false">INDEX(Entities!$B$5:$B$34,MATCH(A157,Entities!$A$5:$A$34,0))</f>
        <v>Europe Arab Bank – United Kingdom</v>
      </c>
      <c r="C157" s="12" t="str">
        <f aca="false">INDEX(Entities!$D$5:$D$34,MATCH(A157,Entities!$A$5:$A$34,0))</f>
        <v>Europe</v>
      </c>
      <c r="D157" s="12" t="s">
        <v>251</v>
      </c>
      <c r="E157" s="12" t="str">
        <f aca="false">INDEX('Risk Taxonomy'!$B$5:$B$24,MATCH(D157,'Risk Taxonomy'!$A$5:$A$24,0))</f>
        <v>Fraud</v>
      </c>
      <c r="F157" s="28" t="n">
        <f aca="false">IFERROR(SUMPRODUCT((Indicators!$B$5:$B$35=F$4)*Indicators!$P$5:$P$35*'Indicator Scores'!$Y$5:$Y$35)/SUMPRODUCT((Indicators!$B$5:$B$35=F$4)*Indicators!$P$5:$P$35*('Indicator Scores'!$Y$5:$Y$35&gt;0)),0)</f>
        <v>2</v>
      </c>
      <c r="G157" s="28" t="n">
        <f aca="false">IFERROR(SUMPRODUCT((Indicators!$B$5:$B$35=G$4)*Indicators!$P$5:$P$35*'Indicator Scores'!$Y$5:$Y$35)/SUMPRODUCT((Indicators!$B$5:$B$35=G$4)*Indicators!$P$5:$P$35*('Indicator Scores'!$Y$5:$Y$35&gt;0)),0)</f>
        <v>2.75</v>
      </c>
      <c r="H157" s="28" t="n">
        <f aca="false">IFERROR(SUMPRODUCT((Indicators!$B$5:$B$35=H$4)*Indicators!$P$5:$P$35*'Indicator Scores'!$Y$5:$Y$35)/SUMPRODUCT((Indicators!$B$5:$B$35=H$4)*Indicators!$P$5:$P$35*('Indicator Scores'!$Y$5:$Y$35&gt;0)),0)</f>
        <v>2.6</v>
      </c>
      <c r="I157" s="28" t="n">
        <f aca="false">IFERROR(SUMPRODUCT((Indicators!$B$5:$B$35=I$4)*Indicators!$P$5:$P$35*'Indicator Scores'!$Y$5:$Y$35)/SUMPRODUCT((Indicators!$B$5:$B$35=I$4)*Indicators!$P$5:$P$35*('Indicator Scores'!$Y$5:$Y$35&gt;0)),0)</f>
        <v>2.22222222222222</v>
      </c>
      <c r="J157" s="28" t="n">
        <f aca="false">IFERROR(SUMPRODUCT((Indicators!$B$5:$B$35=J$4)*Indicators!$P$5:$P$35*'Indicator Scores'!$Y$5:$Y$35)/SUMPRODUCT((Indicators!$B$5:$B$35=J$4)*Indicators!$P$5:$P$35*('Indicator Scores'!$Y$5:$Y$35&gt;0)),0)</f>
        <v>1</v>
      </c>
      <c r="K157" s="28" t="n">
        <f aca="false">IFERROR(SUMPRODUCT(F157:J157,INDEX('Factor Weights'!$C$5:$G$11,MATCH(D157,'Factor Weights'!$A$5:$A$11,0),0))/SUMPRODUCT((F157:J157&gt;0)*INDEX('Factor Weights'!$C$5:$G$11,MATCH(D157,'Factor Weights'!$A$5:$A$11,0),0)),0)</f>
        <v>2.06166666666667</v>
      </c>
      <c r="L157" s="29" t="n">
        <f aca="false">MAX(F157:J157)</f>
        <v>2.75</v>
      </c>
      <c r="M157" s="28" t="n">
        <f aca="false">IF(L157&gt;=Config!$C$13,MAX(K157,Config!$C$14),K157)</f>
        <v>2.06166666666667</v>
      </c>
      <c r="N157" s="30" t="n">
        <f aca="false">IF(Config!$C$12="Weighted average",K157,IF(Config!$C$12="Weighted with floor",M157,L157))</f>
        <v>2.06166666666667</v>
      </c>
      <c r="O157" s="31" t="n">
        <f aca="false">IF(N157&lt;Config!$D$5,"",MATCH(N157,Config!$D$5:$D$9,1))</f>
        <v>2</v>
      </c>
      <c r="P157" s="7" t="str">
        <f aca="false">IF(O157="","No data",INDEX(Config!$B$5:$B$9,O157))</f>
        <v>Medium-Low</v>
      </c>
      <c r="Q157" s="32" t="n">
        <v>0</v>
      </c>
      <c r="R157" s="8"/>
      <c r="S157" s="33"/>
      <c r="T157" s="34" t="n">
        <f aca="false">IF(O157="","",IF(AND(S157="Y",Q157&lt;&gt;0),MAX(1,MIN(5,O157+MAX(-Config!$C$27,MIN(Config!$C$27,Q157)))),O157))</f>
        <v>2</v>
      </c>
      <c r="U157" s="35" t="str">
        <f aca="false">IF(T157="","No data",INDEX(Config!$B$5:$B$9,T157))</f>
        <v>Medium-Low</v>
      </c>
      <c r="V157" s="7" t="str">
        <f aca="false">IF(Q157=0,"None",IF(S157="Y","Applied","Pending HO approval"))</f>
        <v>None</v>
      </c>
      <c r="W157" s="36" t="n">
        <f aca="false">SUMPRODUCT((Indicators!$P$5:$P$35&gt;0)*('Indicator Data'!$Y$5:$Y$35&lt;&gt;""))/SUMPRODUCT(--(Indicators!$P$5:$P$35&gt;0))</f>
        <v>1</v>
      </c>
    </row>
    <row r="158" customFormat="false" ht="15" hidden="false" customHeight="false" outlineLevel="0" collapsed="false">
      <c r="A158" s="26" t="str">
        <f aca="false">Entities!$A$26</f>
        <v>GB</v>
      </c>
      <c r="B158" s="12" t="str">
        <f aca="false">INDEX(Entities!$B$5:$B$34,MATCH(A158,Entities!$A$5:$A$34,0))</f>
        <v>Europe Arab Bank – United Kingdom</v>
      </c>
      <c r="C158" s="12" t="str">
        <f aca="false">INDEX(Entities!$D$5:$D$34,MATCH(A158,Entities!$A$5:$A$34,0))</f>
        <v>Europe</v>
      </c>
      <c r="D158" s="12" t="s">
        <v>254</v>
      </c>
      <c r="E158" s="12" t="str">
        <f aca="false">INDEX('Risk Taxonomy'!$B$5:$B$24,MATCH(D158,'Risk Taxonomy'!$A$5:$A$24,0))</f>
        <v>Tax evasion and tax transparency</v>
      </c>
      <c r="F158" s="28" t="n">
        <f aca="false">IFERROR(SUMPRODUCT((Indicators!$B$5:$B$35=F$4)*Indicators!$Q$5:$Q$35*'Indicator Scores'!$Y$5:$Y$35)/SUMPRODUCT((Indicators!$B$5:$B$35=F$4)*Indicators!$Q$5:$Q$35*('Indicator Scores'!$Y$5:$Y$35&gt;0)),0)</f>
        <v>2</v>
      </c>
      <c r="G158" s="28" t="n">
        <f aca="false">IFERROR(SUMPRODUCT((Indicators!$B$5:$B$35=G$4)*Indicators!$Q$5:$Q$35*'Indicator Scores'!$Y$5:$Y$35)/SUMPRODUCT((Indicators!$B$5:$B$35=G$4)*Indicators!$Q$5:$Q$35*('Indicator Scores'!$Y$5:$Y$35&gt;0)),0)</f>
        <v>2</v>
      </c>
      <c r="H158" s="28" t="n">
        <f aca="false">IFERROR(SUMPRODUCT((Indicators!$B$5:$B$35=H$4)*Indicators!$Q$5:$Q$35*'Indicator Scores'!$Y$5:$Y$35)/SUMPRODUCT((Indicators!$B$5:$B$35=H$4)*Indicators!$Q$5:$Q$35*('Indicator Scores'!$Y$5:$Y$35&gt;0)),0)</f>
        <v>1.33333333333333</v>
      </c>
      <c r="I158" s="28" t="n">
        <f aca="false">IFERROR(SUMPRODUCT((Indicators!$B$5:$B$35=I$4)*Indicators!$Q$5:$Q$35*'Indicator Scores'!$Y$5:$Y$35)/SUMPRODUCT((Indicators!$B$5:$B$35=I$4)*Indicators!$Q$5:$Q$35*('Indicator Scores'!$Y$5:$Y$35&gt;0)),0)</f>
        <v>2.5</v>
      </c>
      <c r="J158" s="28" t="n">
        <f aca="false">IFERROR(SUMPRODUCT((Indicators!$B$5:$B$35=J$4)*Indicators!$Q$5:$Q$35*'Indicator Scores'!$Y$5:$Y$35)/SUMPRODUCT((Indicators!$B$5:$B$35=J$4)*Indicators!$Q$5:$Q$35*('Indicator Scores'!$Y$5:$Y$35&gt;0)),0)</f>
        <v>1</v>
      </c>
      <c r="K158" s="28" t="n">
        <f aca="false">IFERROR(SUMPRODUCT(F158:J158,INDEX('Factor Weights'!$C$5:$G$11,MATCH(D158,'Factor Weights'!$A$5:$A$11,0),0))/SUMPRODUCT((F158:J158&gt;0)*INDEX('Factor Weights'!$C$5:$G$11,MATCH(D158,'Factor Weights'!$A$5:$A$11,0),0)),0)</f>
        <v>1.81666666666667</v>
      </c>
      <c r="L158" s="29" t="n">
        <f aca="false">MAX(F158:J158)</f>
        <v>2.5</v>
      </c>
      <c r="M158" s="28" t="n">
        <f aca="false">IF(L158&gt;=Config!$C$13,MAX(K158,Config!$C$14),K158)</f>
        <v>1.81666666666667</v>
      </c>
      <c r="N158" s="30" t="n">
        <f aca="false">IF(Config!$C$12="Weighted average",K158,IF(Config!$C$12="Weighted with floor",M158,L158))</f>
        <v>1.81666666666667</v>
      </c>
      <c r="O158" s="31" t="n">
        <f aca="false">IF(N158&lt;Config!$D$5,"",MATCH(N158,Config!$D$5:$D$9,1))</f>
        <v>2</v>
      </c>
      <c r="P158" s="7" t="str">
        <f aca="false">IF(O158="","No data",INDEX(Config!$B$5:$B$9,O158))</f>
        <v>Medium-Low</v>
      </c>
      <c r="Q158" s="32" t="n">
        <v>0</v>
      </c>
      <c r="R158" s="8"/>
      <c r="S158" s="33"/>
      <c r="T158" s="34" t="n">
        <f aca="false">IF(O158="","",IF(AND(S158="Y",Q158&lt;&gt;0),MAX(1,MIN(5,O158+MAX(-Config!$C$27,MIN(Config!$C$27,Q158)))),O158))</f>
        <v>2</v>
      </c>
      <c r="U158" s="35" t="str">
        <f aca="false">IF(T158="","No data",INDEX(Config!$B$5:$B$9,T158))</f>
        <v>Medium-Low</v>
      </c>
      <c r="V158" s="7" t="str">
        <f aca="false">IF(Q158=0,"None",IF(S158="Y","Applied","Pending HO approval"))</f>
        <v>None</v>
      </c>
      <c r="W158" s="36" t="n">
        <f aca="false">SUMPRODUCT((Indicators!$Q$5:$Q$35&gt;0)*('Indicator Data'!$Y$5:$Y$35&lt;&gt;""))/SUMPRODUCT(--(Indicators!$Q$5:$Q$35&gt;0))</f>
        <v>1</v>
      </c>
    </row>
    <row r="159" customFormat="false" ht="15" hidden="false" customHeight="false" outlineLevel="0" collapsed="false">
      <c r="A159" s="26" t="str">
        <f aca="false">Entities!$A$27</f>
        <v>FR</v>
      </c>
      <c r="B159" s="12" t="str">
        <f aca="false">INDEX(Entities!$B$5:$B$34,MATCH(A159,Entities!$A$5:$A$34,0))</f>
        <v>Arab Bank – France</v>
      </c>
      <c r="C159" s="12" t="str">
        <f aca="false">INDEX(Entities!$D$5:$D$34,MATCH(A159,Entities!$A$5:$A$34,0))</f>
        <v>Europe</v>
      </c>
      <c r="D159" s="12" t="s">
        <v>233</v>
      </c>
      <c r="E159" s="12" t="str">
        <f aca="false">INDEX('Risk Taxonomy'!$B$5:$B$24,MATCH(D159,'Risk Taxonomy'!$A$5:$A$24,0))</f>
        <v>Money laundering</v>
      </c>
      <c r="F159" s="28" t="n">
        <f aca="false">IFERROR(SUMPRODUCT((Indicators!$B$5:$B$35=F$4)*Indicators!$K$5:$K$35*'Indicator Scores'!$Z$5:$Z$35)/SUMPRODUCT((Indicators!$B$5:$B$35=F$4)*Indicators!$K$5:$K$35*('Indicator Scores'!$Z$5:$Z$35&gt;0)),0)</f>
        <v>1.58333333333333</v>
      </c>
      <c r="G159" s="28" t="n">
        <f aca="false">IFERROR(SUMPRODUCT((Indicators!$B$5:$B$35=G$4)*Indicators!$K$5:$K$35*'Indicator Scores'!$Z$5:$Z$35)/SUMPRODUCT((Indicators!$B$5:$B$35=G$4)*Indicators!$K$5:$K$35*('Indicator Scores'!$Z$5:$Z$35&gt;0)),0)</f>
        <v>1.88888888888889</v>
      </c>
      <c r="H159" s="28" t="n">
        <f aca="false">IFERROR(SUMPRODUCT((Indicators!$B$5:$B$35=H$4)*Indicators!$K$5:$K$35*'Indicator Scores'!$Z$5:$Z$35)/SUMPRODUCT((Indicators!$B$5:$B$35=H$4)*Indicators!$K$5:$K$35*('Indicator Scores'!$Z$5:$Z$35&gt;0)),0)</f>
        <v>2</v>
      </c>
      <c r="I159" s="28" t="n">
        <f aca="false">IFERROR(SUMPRODUCT((Indicators!$B$5:$B$35=I$4)*Indicators!$K$5:$K$35*'Indicator Scores'!$Z$5:$Z$35)/SUMPRODUCT((Indicators!$B$5:$B$35=I$4)*Indicators!$K$5:$K$35*('Indicator Scores'!$Z$5:$Z$35&gt;0)),0)</f>
        <v>1.85714285714286</v>
      </c>
      <c r="J159" s="28" t="n">
        <f aca="false">IFERROR(SUMPRODUCT((Indicators!$B$5:$B$35=J$4)*Indicators!$K$5:$K$35*'Indicator Scores'!$Z$5:$Z$35)/SUMPRODUCT((Indicators!$B$5:$B$35=J$4)*Indicators!$K$5:$K$35*('Indicator Scores'!$Z$5:$Z$35&gt;0)),0)</f>
        <v>1.8</v>
      </c>
      <c r="K159" s="28" t="n">
        <f aca="false">IFERROR(SUMPRODUCT(F159:J159,INDEX('Factor Weights'!$C$5:$G$11,MATCH(D159,'Factor Weights'!$A$5:$A$11,0),0))/SUMPRODUCT((F159:J159&gt;0)*INDEX('Factor Weights'!$C$5:$G$11,MATCH(D159,'Factor Weights'!$A$5:$A$11,0),0)),0)</f>
        <v>1.80579365079365</v>
      </c>
      <c r="L159" s="29" t="n">
        <f aca="false">MAX(F159:J159)</f>
        <v>2</v>
      </c>
      <c r="M159" s="28" t="n">
        <f aca="false">IF(L159&gt;=Config!$C$13,MAX(K159,Config!$C$14),K159)</f>
        <v>1.80579365079365</v>
      </c>
      <c r="N159" s="30" t="n">
        <f aca="false">IF(Config!$C$12="Weighted average",K159,IF(Config!$C$12="Weighted with floor",M159,L159))</f>
        <v>1.80579365079365</v>
      </c>
      <c r="O159" s="31" t="n">
        <f aca="false">IF(N159&lt;Config!$D$5,"",MATCH(N159,Config!$D$5:$D$9,1))</f>
        <v>1</v>
      </c>
      <c r="P159" s="7" t="str">
        <f aca="false">IF(O159="","No data",INDEX(Config!$B$5:$B$9,O159))</f>
        <v>Low</v>
      </c>
      <c r="Q159" s="32" t="n">
        <v>0</v>
      </c>
      <c r="R159" s="8"/>
      <c r="S159" s="33"/>
      <c r="T159" s="34" t="n">
        <f aca="false">IF(O159="","",IF(AND(S159="Y",Q159&lt;&gt;0),MAX(1,MIN(5,O159+MAX(-Config!$C$27,MIN(Config!$C$27,Q159)))),O159))</f>
        <v>1</v>
      </c>
      <c r="U159" s="35" t="str">
        <f aca="false">IF(T159="","No data",INDEX(Config!$B$5:$B$9,T159))</f>
        <v>Low</v>
      </c>
      <c r="V159" s="7" t="str">
        <f aca="false">IF(Q159=0,"None",IF(S159="Y","Applied","Pending HO approval"))</f>
        <v>None</v>
      </c>
      <c r="W159" s="36" t="n">
        <f aca="false">SUMPRODUCT((Indicators!$K$5:$K$35&gt;0)*('Indicator Data'!$Z$5:$Z$35&lt;&gt;""))/SUMPRODUCT(--(Indicators!$K$5:$K$35&gt;0))</f>
        <v>1</v>
      </c>
    </row>
    <row r="160" customFormat="false" ht="15" hidden="false" customHeight="false" outlineLevel="0" collapsed="false">
      <c r="A160" s="26" t="str">
        <f aca="false">Entities!$A$27</f>
        <v>FR</v>
      </c>
      <c r="B160" s="12" t="str">
        <f aca="false">INDEX(Entities!$B$5:$B$34,MATCH(A160,Entities!$A$5:$A$34,0))</f>
        <v>Arab Bank – France</v>
      </c>
      <c r="C160" s="12" t="str">
        <f aca="false">INDEX(Entities!$D$5:$D$34,MATCH(A160,Entities!$A$5:$A$34,0))</f>
        <v>Europe</v>
      </c>
      <c r="D160" s="12" t="s">
        <v>240</v>
      </c>
      <c r="E160" s="12" t="str">
        <f aca="false">INDEX('Risk Taxonomy'!$B$5:$B$24,MATCH(D160,'Risk Taxonomy'!$A$5:$A$24,0))</f>
        <v>Terrorist financing</v>
      </c>
      <c r="F160" s="28" t="n">
        <f aca="false">IFERROR(SUMPRODUCT((Indicators!$B$5:$B$35=F$4)*Indicators!$L$5:$L$35*'Indicator Scores'!$Z$5:$Z$35)/SUMPRODUCT((Indicators!$B$5:$B$35=F$4)*Indicators!$L$5:$L$35*('Indicator Scores'!$Z$5:$Z$35&gt;0)),0)</f>
        <v>1.5</v>
      </c>
      <c r="G160" s="28" t="n">
        <f aca="false">IFERROR(SUMPRODUCT((Indicators!$B$5:$B$35=G$4)*Indicators!$L$5:$L$35*'Indicator Scores'!$Z$5:$Z$35)/SUMPRODUCT((Indicators!$B$5:$B$35=G$4)*Indicators!$L$5:$L$35*('Indicator Scores'!$Z$5:$Z$35&gt;0)),0)</f>
        <v>1.66666666666667</v>
      </c>
      <c r="H160" s="28" t="n">
        <f aca="false">IFERROR(SUMPRODUCT((Indicators!$B$5:$B$35=H$4)*Indicators!$L$5:$L$35*'Indicator Scores'!$Z$5:$Z$35)/SUMPRODUCT((Indicators!$B$5:$B$35=H$4)*Indicators!$L$5:$L$35*('Indicator Scores'!$Z$5:$Z$35&gt;0)),0)</f>
        <v>1.5</v>
      </c>
      <c r="I160" s="28" t="n">
        <f aca="false">IFERROR(SUMPRODUCT((Indicators!$B$5:$B$35=I$4)*Indicators!$L$5:$L$35*'Indicator Scores'!$Z$5:$Z$35)/SUMPRODUCT((Indicators!$B$5:$B$35=I$4)*Indicators!$L$5:$L$35*('Indicator Scores'!$Z$5:$Z$35&gt;0)),0)</f>
        <v>1.83333333333333</v>
      </c>
      <c r="J160" s="28" t="n">
        <f aca="false">IFERROR(SUMPRODUCT((Indicators!$B$5:$B$35=J$4)*Indicators!$L$5:$L$35*'Indicator Scores'!$Z$5:$Z$35)/SUMPRODUCT((Indicators!$B$5:$B$35=J$4)*Indicators!$L$5:$L$35*('Indicator Scores'!$Z$5:$Z$35&gt;0)),0)</f>
        <v>1.85714285714286</v>
      </c>
      <c r="K160" s="28" t="n">
        <f aca="false">IFERROR(SUMPRODUCT(F160:J160,INDEX('Factor Weights'!$C$5:$G$11,MATCH(D160,'Factor Weights'!$A$5:$A$11,0),0))/SUMPRODUCT((F160:J160&gt;0)*INDEX('Factor Weights'!$C$5:$G$11,MATCH(D160,'Factor Weights'!$A$5:$A$11,0),0)),0)</f>
        <v>1.6547619047619</v>
      </c>
      <c r="L160" s="29" t="n">
        <f aca="false">MAX(F160:J160)</f>
        <v>1.85714285714286</v>
      </c>
      <c r="M160" s="28" t="n">
        <f aca="false">IF(L160&gt;=Config!$C$13,MAX(K160,Config!$C$14),K160)</f>
        <v>1.6547619047619</v>
      </c>
      <c r="N160" s="30" t="n">
        <f aca="false">IF(Config!$C$12="Weighted average",K160,IF(Config!$C$12="Weighted with floor",M160,L160))</f>
        <v>1.6547619047619</v>
      </c>
      <c r="O160" s="31" t="n">
        <f aca="false">IF(N160&lt;Config!$D$5,"",MATCH(N160,Config!$D$5:$D$9,1))</f>
        <v>1</v>
      </c>
      <c r="P160" s="7" t="str">
        <f aca="false">IF(O160="","No data",INDEX(Config!$B$5:$B$9,O160))</f>
        <v>Low</v>
      </c>
      <c r="Q160" s="32" t="n">
        <v>0</v>
      </c>
      <c r="R160" s="8"/>
      <c r="S160" s="33"/>
      <c r="T160" s="34" t="n">
        <f aca="false">IF(O160="","",IF(AND(S160="Y",Q160&lt;&gt;0),MAX(1,MIN(5,O160+MAX(-Config!$C$27,MIN(Config!$C$27,Q160)))),O160))</f>
        <v>1</v>
      </c>
      <c r="U160" s="35" t="str">
        <f aca="false">IF(T160="","No data",INDEX(Config!$B$5:$B$9,T160))</f>
        <v>Low</v>
      </c>
      <c r="V160" s="7" t="str">
        <f aca="false">IF(Q160=0,"None",IF(S160="Y","Applied","Pending HO approval"))</f>
        <v>None</v>
      </c>
      <c r="W160" s="36" t="n">
        <f aca="false">SUMPRODUCT((Indicators!$L$5:$L$35&gt;0)*('Indicator Data'!$Z$5:$Z$35&lt;&gt;""))/SUMPRODUCT(--(Indicators!$L$5:$L$35&gt;0))</f>
        <v>1</v>
      </c>
    </row>
    <row r="161" customFormat="false" ht="15" hidden="false" customHeight="false" outlineLevel="0" collapsed="false">
      <c r="A161" s="26" t="str">
        <f aca="false">Entities!$A$27</f>
        <v>FR</v>
      </c>
      <c r="B161" s="12" t="str">
        <f aca="false">INDEX(Entities!$B$5:$B$34,MATCH(A161,Entities!$A$5:$A$34,0))</f>
        <v>Arab Bank – France</v>
      </c>
      <c r="C161" s="12" t="str">
        <f aca="false">INDEX(Entities!$D$5:$D$34,MATCH(A161,Entities!$A$5:$A$34,0))</f>
        <v>Europe</v>
      </c>
      <c r="D161" s="12" t="s">
        <v>243</v>
      </c>
      <c r="E161" s="12" t="str">
        <f aca="false">INDEX('Risk Taxonomy'!$B$5:$B$24,MATCH(D161,'Risk Taxonomy'!$A$5:$A$24,0))</f>
        <v>Proliferation financing</v>
      </c>
      <c r="F161" s="28" t="n">
        <f aca="false">IFERROR(SUMPRODUCT((Indicators!$B$5:$B$35=F$4)*Indicators!$M$5:$M$35*'Indicator Scores'!$Z$5:$Z$35)/SUMPRODUCT((Indicators!$B$5:$B$35=F$4)*Indicators!$M$5:$M$35*('Indicator Scores'!$Z$5:$Z$35&gt;0)),0)</f>
        <v>1.5</v>
      </c>
      <c r="G161" s="28" t="n">
        <f aca="false">IFERROR(SUMPRODUCT((Indicators!$B$5:$B$35=G$4)*Indicators!$M$5:$M$35*'Indicator Scores'!$Z$5:$Z$35)/SUMPRODUCT((Indicators!$B$5:$B$35=G$4)*Indicators!$M$5:$M$35*('Indicator Scores'!$Z$5:$Z$35&gt;0)),0)</f>
        <v>1.625</v>
      </c>
      <c r="H161" s="28" t="n">
        <f aca="false">IFERROR(SUMPRODUCT((Indicators!$B$5:$B$35=H$4)*Indicators!$M$5:$M$35*'Indicator Scores'!$Z$5:$Z$35)/SUMPRODUCT((Indicators!$B$5:$B$35=H$4)*Indicators!$M$5:$M$35*('Indicator Scores'!$Z$5:$Z$35&gt;0)),0)</f>
        <v>1.77777777777778</v>
      </c>
      <c r="I161" s="28" t="n">
        <f aca="false">IFERROR(SUMPRODUCT((Indicators!$B$5:$B$35=I$4)*Indicators!$M$5:$M$35*'Indicator Scores'!$Z$5:$Z$35)/SUMPRODUCT((Indicators!$B$5:$B$35=I$4)*Indicators!$M$5:$M$35*('Indicator Scores'!$Z$5:$Z$35&gt;0)),0)</f>
        <v>2</v>
      </c>
      <c r="J161" s="28" t="n">
        <f aca="false">IFERROR(SUMPRODUCT((Indicators!$B$5:$B$35=J$4)*Indicators!$M$5:$M$35*'Indicator Scores'!$Z$5:$Z$35)/SUMPRODUCT((Indicators!$B$5:$B$35=J$4)*Indicators!$M$5:$M$35*('Indicator Scores'!$Z$5:$Z$35&gt;0)),0)</f>
        <v>2</v>
      </c>
      <c r="K161" s="28" t="n">
        <f aca="false">IFERROR(SUMPRODUCT(F161:J161,INDEX('Factor Weights'!$C$5:$G$11,MATCH(D161,'Factor Weights'!$A$5:$A$11,0),0))/SUMPRODUCT((F161:J161&gt;0)*INDEX('Factor Weights'!$C$5:$G$11,MATCH(D161,'Factor Weights'!$A$5:$A$11,0),0)),0)</f>
        <v>1.74583333333333</v>
      </c>
      <c r="L161" s="29" t="n">
        <f aca="false">MAX(F161:J161)</f>
        <v>2</v>
      </c>
      <c r="M161" s="28" t="n">
        <f aca="false">IF(L161&gt;=Config!$C$13,MAX(K161,Config!$C$14),K161)</f>
        <v>1.74583333333333</v>
      </c>
      <c r="N161" s="30" t="n">
        <f aca="false">IF(Config!$C$12="Weighted average",K161,IF(Config!$C$12="Weighted with floor",M161,L161))</f>
        <v>1.74583333333333</v>
      </c>
      <c r="O161" s="31" t="n">
        <f aca="false">IF(N161&lt;Config!$D$5,"",MATCH(N161,Config!$D$5:$D$9,1))</f>
        <v>1</v>
      </c>
      <c r="P161" s="7" t="str">
        <f aca="false">IF(O161="","No data",INDEX(Config!$B$5:$B$9,O161))</f>
        <v>Low</v>
      </c>
      <c r="Q161" s="32" t="n">
        <v>0</v>
      </c>
      <c r="R161" s="8"/>
      <c r="S161" s="33"/>
      <c r="T161" s="34" t="n">
        <f aca="false">IF(O161="","",IF(AND(S161="Y",Q161&lt;&gt;0),MAX(1,MIN(5,O161+MAX(-Config!$C$27,MIN(Config!$C$27,Q161)))),O161))</f>
        <v>1</v>
      </c>
      <c r="U161" s="35" t="str">
        <f aca="false">IF(T161="","No data",INDEX(Config!$B$5:$B$9,T161))</f>
        <v>Low</v>
      </c>
      <c r="V161" s="7" t="str">
        <f aca="false">IF(Q161=0,"None",IF(S161="Y","Applied","Pending HO approval"))</f>
        <v>None</v>
      </c>
      <c r="W161" s="36" t="n">
        <f aca="false">SUMPRODUCT((Indicators!$M$5:$M$35&gt;0)*('Indicator Data'!$Z$5:$Z$35&lt;&gt;""))/SUMPRODUCT(--(Indicators!$M$5:$M$35&gt;0))</f>
        <v>1</v>
      </c>
    </row>
    <row r="162" customFormat="false" ht="15" hidden="false" customHeight="false" outlineLevel="0" collapsed="false">
      <c r="A162" s="26" t="str">
        <f aca="false">Entities!$A$27</f>
        <v>FR</v>
      </c>
      <c r="B162" s="12" t="str">
        <f aca="false">INDEX(Entities!$B$5:$B$34,MATCH(A162,Entities!$A$5:$A$34,0))</f>
        <v>Arab Bank – France</v>
      </c>
      <c r="C162" s="12" t="str">
        <f aca="false">INDEX(Entities!$D$5:$D$34,MATCH(A162,Entities!$A$5:$A$34,0))</f>
        <v>Europe</v>
      </c>
      <c r="D162" s="12" t="s">
        <v>245</v>
      </c>
      <c r="E162" s="12" t="str">
        <f aca="false">INDEX('Risk Taxonomy'!$B$5:$B$24,MATCH(D162,'Risk Taxonomy'!$A$5:$A$24,0))</f>
        <v>Sanctions</v>
      </c>
      <c r="F162" s="28" t="n">
        <f aca="false">IFERROR(SUMPRODUCT((Indicators!$B$5:$B$35=F$4)*Indicators!$N$5:$N$35*'Indicator Scores'!$Z$5:$Z$35)/SUMPRODUCT((Indicators!$B$5:$B$35=F$4)*Indicators!$N$5:$N$35*('Indicator Scores'!$Z$5:$Z$35&gt;0)),0)</f>
        <v>1.71428571428571</v>
      </c>
      <c r="G162" s="28" t="n">
        <f aca="false">IFERROR(SUMPRODUCT((Indicators!$B$5:$B$35=G$4)*Indicators!$N$5:$N$35*'Indicator Scores'!$Z$5:$Z$35)/SUMPRODUCT((Indicators!$B$5:$B$35=G$4)*Indicators!$N$5:$N$35*('Indicator Scores'!$Z$5:$Z$35&gt;0)),0)</f>
        <v>1.71428571428571</v>
      </c>
      <c r="H162" s="28" t="n">
        <f aca="false">IFERROR(SUMPRODUCT((Indicators!$B$5:$B$35=H$4)*Indicators!$N$5:$N$35*'Indicator Scores'!$Z$5:$Z$35)/SUMPRODUCT((Indicators!$B$5:$B$35=H$4)*Indicators!$N$5:$N$35*('Indicator Scores'!$Z$5:$Z$35&gt;0)),0)</f>
        <v>1.875</v>
      </c>
      <c r="I162" s="28" t="n">
        <f aca="false">IFERROR(SUMPRODUCT((Indicators!$B$5:$B$35=I$4)*Indicators!$N$5:$N$35*'Indicator Scores'!$Z$5:$Z$35)/SUMPRODUCT((Indicators!$B$5:$B$35=I$4)*Indicators!$N$5:$N$35*('Indicator Scores'!$Z$5:$Z$35&gt;0)),0)</f>
        <v>2</v>
      </c>
      <c r="J162" s="28" t="n">
        <f aca="false">IFERROR(SUMPRODUCT((Indicators!$B$5:$B$35=J$4)*Indicators!$N$5:$N$35*'Indicator Scores'!$Z$5:$Z$35)/SUMPRODUCT((Indicators!$B$5:$B$35=J$4)*Indicators!$N$5:$N$35*('Indicator Scores'!$Z$5:$Z$35&gt;0)),0)</f>
        <v>2</v>
      </c>
      <c r="K162" s="28" t="n">
        <f aca="false">IFERROR(SUMPRODUCT(F162:J162,INDEX('Factor Weights'!$C$5:$G$11,MATCH(D162,'Factor Weights'!$A$5:$A$11,0),0))/SUMPRODUCT((F162:J162&gt;0)*INDEX('Factor Weights'!$C$5:$G$11,MATCH(D162,'Factor Weights'!$A$5:$A$11,0),0)),0)</f>
        <v>1.81785714285714</v>
      </c>
      <c r="L162" s="29" t="n">
        <f aca="false">MAX(F162:J162)</f>
        <v>2</v>
      </c>
      <c r="M162" s="28" t="n">
        <f aca="false">IF(L162&gt;=Config!$C$13,MAX(K162,Config!$C$14),K162)</f>
        <v>1.81785714285714</v>
      </c>
      <c r="N162" s="30" t="n">
        <f aca="false">IF(Config!$C$12="Weighted average",K162,IF(Config!$C$12="Weighted with floor",M162,L162))</f>
        <v>1.81785714285714</v>
      </c>
      <c r="O162" s="31" t="n">
        <f aca="false">IF(N162&lt;Config!$D$5,"",MATCH(N162,Config!$D$5:$D$9,1))</f>
        <v>2</v>
      </c>
      <c r="P162" s="7" t="str">
        <f aca="false">IF(O162="","No data",INDEX(Config!$B$5:$B$9,O162))</f>
        <v>Medium-Low</v>
      </c>
      <c r="Q162" s="32" t="n">
        <v>0</v>
      </c>
      <c r="R162" s="8"/>
      <c r="S162" s="33"/>
      <c r="T162" s="34" t="n">
        <f aca="false">IF(O162="","",IF(AND(S162="Y",Q162&lt;&gt;0),MAX(1,MIN(5,O162+MAX(-Config!$C$27,MIN(Config!$C$27,Q162)))),O162))</f>
        <v>2</v>
      </c>
      <c r="U162" s="35" t="str">
        <f aca="false">IF(T162="","No data",INDEX(Config!$B$5:$B$9,T162))</f>
        <v>Medium-Low</v>
      </c>
      <c r="V162" s="7" t="str">
        <f aca="false">IF(Q162=0,"None",IF(S162="Y","Applied","Pending HO approval"))</f>
        <v>None</v>
      </c>
      <c r="W162" s="36" t="n">
        <f aca="false">SUMPRODUCT((Indicators!$N$5:$N$35&gt;0)*('Indicator Data'!$Z$5:$Z$35&lt;&gt;""))/SUMPRODUCT(--(Indicators!$N$5:$N$35&gt;0))</f>
        <v>1</v>
      </c>
    </row>
    <row r="163" customFormat="false" ht="15" hidden="false" customHeight="false" outlineLevel="0" collapsed="false">
      <c r="A163" s="26" t="str">
        <f aca="false">Entities!$A$27</f>
        <v>FR</v>
      </c>
      <c r="B163" s="12" t="str">
        <f aca="false">INDEX(Entities!$B$5:$B$34,MATCH(A163,Entities!$A$5:$A$34,0))</f>
        <v>Arab Bank – France</v>
      </c>
      <c r="C163" s="12" t="str">
        <f aca="false">INDEX(Entities!$D$5:$D$34,MATCH(A163,Entities!$A$5:$A$34,0))</f>
        <v>Europe</v>
      </c>
      <c r="D163" s="12" t="s">
        <v>248</v>
      </c>
      <c r="E163" s="12" t="str">
        <f aca="false">INDEX('Risk Taxonomy'!$B$5:$B$24,MATCH(D163,'Risk Taxonomy'!$A$5:$A$24,0))</f>
        <v>Bribery and corruption</v>
      </c>
      <c r="F163" s="28" t="n">
        <f aca="false">IFERROR(SUMPRODUCT((Indicators!$B$5:$B$35=F$4)*Indicators!$O$5:$O$35*'Indicator Scores'!$Z$5:$Z$35)/SUMPRODUCT((Indicators!$B$5:$B$35=F$4)*Indicators!$O$5:$O$35*('Indicator Scores'!$Z$5:$Z$35&gt;0)),0)</f>
        <v>1.77777777777778</v>
      </c>
      <c r="G163" s="28" t="n">
        <f aca="false">IFERROR(SUMPRODUCT((Indicators!$B$5:$B$35=G$4)*Indicators!$O$5:$O$35*'Indicator Scores'!$Z$5:$Z$35)/SUMPRODUCT((Indicators!$B$5:$B$35=G$4)*Indicators!$O$5:$O$35*('Indicator Scores'!$Z$5:$Z$35&gt;0)),0)</f>
        <v>2.4</v>
      </c>
      <c r="H163" s="28" t="n">
        <f aca="false">IFERROR(SUMPRODUCT((Indicators!$B$5:$B$35=H$4)*Indicators!$O$5:$O$35*'Indicator Scores'!$Z$5:$Z$35)/SUMPRODUCT((Indicators!$B$5:$B$35=H$4)*Indicators!$O$5:$O$35*('Indicator Scores'!$Z$5:$Z$35&gt;0)),0)</f>
        <v>3</v>
      </c>
      <c r="I163" s="28" t="n">
        <f aca="false">IFERROR(SUMPRODUCT((Indicators!$B$5:$B$35=I$4)*Indicators!$O$5:$O$35*'Indicator Scores'!$Z$5:$Z$35)/SUMPRODUCT((Indicators!$B$5:$B$35=I$4)*Indicators!$O$5:$O$35*('Indicator Scores'!$Z$5:$Z$35&gt;0)),0)</f>
        <v>1.4</v>
      </c>
      <c r="J163" s="28" t="n">
        <f aca="false">IFERROR(SUMPRODUCT((Indicators!$B$5:$B$35=J$4)*Indicators!$O$5:$O$35*'Indicator Scores'!$Z$5:$Z$35)/SUMPRODUCT((Indicators!$B$5:$B$35=J$4)*Indicators!$O$5:$O$35*('Indicator Scores'!$Z$5:$Z$35&gt;0)),0)</f>
        <v>2</v>
      </c>
      <c r="K163" s="28" t="n">
        <f aca="false">IFERROR(SUMPRODUCT(F163:J163,INDEX('Factor Weights'!$C$5:$G$11,MATCH(D163,'Factor Weights'!$A$5:$A$11,0),0))/SUMPRODUCT((F163:J163&gt;0)*INDEX('Factor Weights'!$C$5:$G$11,MATCH(D163,'Factor Weights'!$A$5:$A$11,0),0)),0)</f>
        <v>2.06333333333333</v>
      </c>
      <c r="L163" s="29" t="n">
        <f aca="false">MAX(F163:J163)</f>
        <v>3</v>
      </c>
      <c r="M163" s="28" t="n">
        <f aca="false">IF(L163&gt;=Config!$C$13,MAX(K163,Config!$C$14),K163)</f>
        <v>2.06333333333333</v>
      </c>
      <c r="N163" s="30" t="n">
        <f aca="false">IF(Config!$C$12="Weighted average",K163,IF(Config!$C$12="Weighted with floor",M163,L163))</f>
        <v>2.06333333333333</v>
      </c>
      <c r="O163" s="31" t="n">
        <f aca="false">IF(N163&lt;Config!$D$5,"",MATCH(N163,Config!$D$5:$D$9,1))</f>
        <v>2</v>
      </c>
      <c r="P163" s="7" t="str">
        <f aca="false">IF(O163="","No data",INDEX(Config!$B$5:$B$9,O163))</f>
        <v>Medium-Low</v>
      </c>
      <c r="Q163" s="32" t="n">
        <v>0</v>
      </c>
      <c r="R163" s="8"/>
      <c r="S163" s="33"/>
      <c r="T163" s="34" t="n">
        <f aca="false">IF(O163="","",IF(AND(S163="Y",Q163&lt;&gt;0),MAX(1,MIN(5,O163+MAX(-Config!$C$27,MIN(Config!$C$27,Q163)))),O163))</f>
        <v>2</v>
      </c>
      <c r="U163" s="35" t="str">
        <f aca="false">IF(T163="","No data",INDEX(Config!$B$5:$B$9,T163))</f>
        <v>Medium-Low</v>
      </c>
      <c r="V163" s="7" t="str">
        <f aca="false">IF(Q163=0,"None",IF(S163="Y","Applied","Pending HO approval"))</f>
        <v>None</v>
      </c>
      <c r="W163" s="36" t="n">
        <f aca="false">SUMPRODUCT((Indicators!$O$5:$O$35&gt;0)*('Indicator Data'!$Z$5:$Z$35&lt;&gt;""))/SUMPRODUCT(--(Indicators!$O$5:$O$35&gt;0))</f>
        <v>1</v>
      </c>
    </row>
    <row r="164" customFormat="false" ht="15" hidden="false" customHeight="false" outlineLevel="0" collapsed="false">
      <c r="A164" s="26" t="str">
        <f aca="false">Entities!$A$27</f>
        <v>FR</v>
      </c>
      <c r="B164" s="12" t="str">
        <f aca="false">INDEX(Entities!$B$5:$B$34,MATCH(A164,Entities!$A$5:$A$34,0))</f>
        <v>Arab Bank – France</v>
      </c>
      <c r="C164" s="12" t="str">
        <f aca="false">INDEX(Entities!$D$5:$D$34,MATCH(A164,Entities!$A$5:$A$34,0))</f>
        <v>Europe</v>
      </c>
      <c r="D164" s="12" t="s">
        <v>251</v>
      </c>
      <c r="E164" s="12" t="str">
        <f aca="false">INDEX('Risk Taxonomy'!$B$5:$B$24,MATCH(D164,'Risk Taxonomy'!$A$5:$A$24,0))</f>
        <v>Fraud</v>
      </c>
      <c r="F164" s="28" t="n">
        <f aca="false">IFERROR(SUMPRODUCT((Indicators!$B$5:$B$35=F$4)*Indicators!$P$5:$P$35*'Indicator Scores'!$Z$5:$Z$35)/SUMPRODUCT((Indicators!$B$5:$B$35=F$4)*Indicators!$P$5:$P$35*('Indicator Scores'!$Z$5:$Z$35&gt;0)),0)</f>
        <v>2</v>
      </c>
      <c r="G164" s="28" t="n">
        <f aca="false">IFERROR(SUMPRODUCT((Indicators!$B$5:$B$35=G$4)*Indicators!$P$5:$P$35*'Indicator Scores'!$Z$5:$Z$35)/SUMPRODUCT((Indicators!$B$5:$B$35=G$4)*Indicators!$P$5:$P$35*('Indicator Scores'!$Z$5:$Z$35&gt;0)),0)</f>
        <v>2</v>
      </c>
      <c r="H164" s="28" t="n">
        <f aca="false">IFERROR(SUMPRODUCT((Indicators!$B$5:$B$35=H$4)*Indicators!$P$5:$P$35*'Indicator Scores'!$Z$5:$Z$35)/SUMPRODUCT((Indicators!$B$5:$B$35=H$4)*Indicators!$P$5:$P$35*('Indicator Scores'!$Z$5:$Z$35&gt;0)),0)</f>
        <v>1.8</v>
      </c>
      <c r="I164" s="28" t="n">
        <f aca="false">IFERROR(SUMPRODUCT((Indicators!$B$5:$B$35=I$4)*Indicators!$P$5:$P$35*'Indicator Scores'!$Z$5:$Z$35)/SUMPRODUCT((Indicators!$B$5:$B$35=I$4)*Indicators!$P$5:$P$35*('Indicator Scores'!$Z$5:$Z$35&gt;0)),0)</f>
        <v>1.77777777777778</v>
      </c>
      <c r="J164" s="28" t="n">
        <f aca="false">IFERROR(SUMPRODUCT((Indicators!$B$5:$B$35=J$4)*Indicators!$P$5:$P$35*'Indicator Scores'!$Z$5:$Z$35)/SUMPRODUCT((Indicators!$B$5:$B$35=J$4)*Indicators!$P$5:$P$35*('Indicator Scores'!$Z$5:$Z$35&gt;0)),0)</f>
        <v>2</v>
      </c>
      <c r="K164" s="28" t="n">
        <f aca="false">IFERROR(SUMPRODUCT(F164:J164,INDEX('Factor Weights'!$C$5:$G$11,MATCH(D164,'Factor Weights'!$A$5:$A$11,0),0))/SUMPRODUCT((F164:J164&gt;0)*INDEX('Factor Weights'!$C$5:$G$11,MATCH(D164,'Factor Weights'!$A$5:$A$11,0),0)),0)</f>
        <v>1.89333333333333</v>
      </c>
      <c r="L164" s="29" t="n">
        <f aca="false">MAX(F164:J164)</f>
        <v>2</v>
      </c>
      <c r="M164" s="28" t="n">
        <f aca="false">IF(L164&gt;=Config!$C$13,MAX(K164,Config!$C$14),K164)</f>
        <v>1.89333333333333</v>
      </c>
      <c r="N164" s="30" t="n">
        <f aca="false">IF(Config!$C$12="Weighted average",K164,IF(Config!$C$12="Weighted with floor",M164,L164))</f>
        <v>1.89333333333333</v>
      </c>
      <c r="O164" s="31" t="n">
        <f aca="false">IF(N164&lt;Config!$D$5,"",MATCH(N164,Config!$D$5:$D$9,1))</f>
        <v>2</v>
      </c>
      <c r="P164" s="7" t="str">
        <f aca="false">IF(O164="","No data",INDEX(Config!$B$5:$B$9,O164))</f>
        <v>Medium-Low</v>
      </c>
      <c r="Q164" s="32" t="n">
        <v>0</v>
      </c>
      <c r="R164" s="8"/>
      <c r="S164" s="33"/>
      <c r="T164" s="34" t="n">
        <f aca="false">IF(O164="","",IF(AND(S164="Y",Q164&lt;&gt;0),MAX(1,MIN(5,O164+MAX(-Config!$C$27,MIN(Config!$C$27,Q164)))),O164))</f>
        <v>2</v>
      </c>
      <c r="U164" s="35" t="str">
        <f aca="false">IF(T164="","No data",INDEX(Config!$B$5:$B$9,T164))</f>
        <v>Medium-Low</v>
      </c>
      <c r="V164" s="7" t="str">
        <f aca="false">IF(Q164=0,"None",IF(S164="Y","Applied","Pending HO approval"))</f>
        <v>None</v>
      </c>
      <c r="W164" s="36" t="n">
        <f aca="false">SUMPRODUCT((Indicators!$P$5:$P$35&gt;0)*('Indicator Data'!$Z$5:$Z$35&lt;&gt;""))/SUMPRODUCT(--(Indicators!$P$5:$P$35&gt;0))</f>
        <v>1</v>
      </c>
    </row>
    <row r="165" customFormat="false" ht="15" hidden="false" customHeight="false" outlineLevel="0" collapsed="false">
      <c r="A165" s="26" t="str">
        <f aca="false">Entities!$A$27</f>
        <v>FR</v>
      </c>
      <c r="B165" s="12" t="str">
        <f aca="false">INDEX(Entities!$B$5:$B$34,MATCH(A165,Entities!$A$5:$A$34,0))</f>
        <v>Arab Bank – France</v>
      </c>
      <c r="C165" s="12" t="str">
        <f aca="false">INDEX(Entities!$D$5:$D$34,MATCH(A165,Entities!$A$5:$A$34,0))</f>
        <v>Europe</v>
      </c>
      <c r="D165" s="12" t="s">
        <v>254</v>
      </c>
      <c r="E165" s="12" t="str">
        <f aca="false">INDEX('Risk Taxonomy'!$B$5:$B$24,MATCH(D165,'Risk Taxonomy'!$A$5:$A$24,0))</f>
        <v>Tax evasion and tax transparency</v>
      </c>
      <c r="F165" s="28" t="n">
        <f aca="false">IFERROR(SUMPRODUCT((Indicators!$B$5:$B$35=F$4)*Indicators!$Q$5:$Q$35*'Indicator Scores'!$Z$5:$Z$35)/SUMPRODUCT((Indicators!$B$5:$B$35=F$4)*Indicators!$Q$5:$Q$35*('Indicator Scores'!$Z$5:$Z$35&gt;0)),0)</f>
        <v>1.55555555555556</v>
      </c>
      <c r="G165" s="28" t="n">
        <f aca="false">IFERROR(SUMPRODUCT((Indicators!$B$5:$B$35=G$4)*Indicators!$Q$5:$Q$35*'Indicator Scores'!$Z$5:$Z$35)/SUMPRODUCT((Indicators!$B$5:$B$35=G$4)*Indicators!$Q$5:$Q$35*('Indicator Scores'!$Z$5:$Z$35&gt;0)),0)</f>
        <v>2.5</v>
      </c>
      <c r="H165" s="28" t="n">
        <f aca="false">IFERROR(SUMPRODUCT((Indicators!$B$5:$B$35=H$4)*Indicators!$Q$5:$Q$35*'Indicator Scores'!$Z$5:$Z$35)/SUMPRODUCT((Indicators!$B$5:$B$35=H$4)*Indicators!$Q$5:$Q$35*('Indicator Scores'!$Z$5:$Z$35&gt;0)),0)</f>
        <v>2.33333333333333</v>
      </c>
      <c r="I165" s="28" t="n">
        <f aca="false">IFERROR(SUMPRODUCT((Indicators!$B$5:$B$35=I$4)*Indicators!$Q$5:$Q$35*'Indicator Scores'!$Z$5:$Z$35)/SUMPRODUCT((Indicators!$B$5:$B$35=I$4)*Indicators!$Q$5:$Q$35*('Indicator Scores'!$Z$5:$Z$35&gt;0)),0)</f>
        <v>2</v>
      </c>
      <c r="J165" s="28" t="n">
        <f aca="false">IFERROR(SUMPRODUCT((Indicators!$B$5:$B$35=J$4)*Indicators!$Q$5:$Q$35*'Indicator Scores'!$Z$5:$Z$35)/SUMPRODUCT((Indicators!$B$5:$B$35=J$4)*Indicators!$Q$5:$Q$35*('Indicator Scores'!$Z$5:$Z$35&gt;0)),0)</f>
        <v>1.4</v>
      </c>
      <c r="K165" s="28" t="n">
        <f aca="false">IFERROR(SUMPRODUCT(F165:J165,INDEX('Factor Weights'!$C$5:$G$11,MATCH(D165,'Factor Weights'!$A$5:$A$11,0),0))/SUMPRODUCT((F165:J165&gt;0)*INDEX('Factor Weights'!$C$5:$G$11,MATCH(D165,'Factor Weights'!$A$5:$A$11,0),0)),0)</f>
        <v>1.97611111111111</v>
      </c>
      <c r="L165" s="29" t="n">
        <f aca="false">MAX(F165:J165)</f>
        <v>2.5</v>
      </c>
      <c r="M165" s="28" t="n">
        <f aca="false">IF(L165&gt;=Config!$C$13,MAX(K165,Config!$C$14),K165)</f>
        <v>1.97611111111111</v>
      </c>
      <c r="N165" s="30" t="n">
        <f aca="false">IF(Config!$C$12="Weighted average",K165,IF(Config!$C$12="Weighted with floor",M165,L165))</f>
        <v>1.97611111111111</v>
      </c>
      <c r="O165" s="31" t="n">
        <f aca="false">IF(N165&lt;Config!$D$5,"",MATCH(N165,Config!$D$5:$D$9,1))</f>
        <v>2</v>
      </c>
      <c r="P165" s="7" t="str">
        <f aca="false">IF(O165="","No data",INDEX(Config!$B$5:$B$9,O165))</f>
        <v>Medium-Low</v>
      </c>
      <c r="Q165" s="32" t="n">
        <v>0</v>
      </c>
      <c r="R165" s="8"/>
      <c r="S165" s="33"/>
      <c r="T165" s="34" t="n">
        <f aca="false">IF(O165="","",IF(AND(S165="Y",Q165&lt;&gt;0),MAX(1,MIN(5,O165+MAX(-Config!$C$27,MIN(Config!$C$27,Q165)))),O165))</f>
        <v>2</v>
      </c>
      <c r="U165" s="35" t="str">
        <f aca="false">IF(T165="","No data",INDEX(Config!$B$5:$B$9,T165))</f>
        <v>Medium-Low</v>
      </c>
      <c r="V165" s="7" t="str">
        <f aca="false">IF(Q165=0,"None",IF(S165="Y","Applied","Pending HO approval"))</f>
        <v>None</v>
      </c>
      <c r="W165" s="36" t="n">
        <f aca="false">SUMPRODUCT((Indicators!$Q$5:$Q$35&gt;0)*('Indicator Data'!$Z$5:$Z$35&lt;&gt;""))/SUMPRODUCT(--(Indicators!$Q$5:$Q$35&gt;0))</f>
        <v>1</v>
      </c>
    </row>
    <row r="166" customFormat="false" ht="15" hidden="false" customHeight="false" outlineLevel="0" collapsed="false">
      <c r="A166" s="26" t="str">
        <f aca="false">Entities!$A$28</f>
        <v>DE</v>
      </c>
      <c r="B166" s="12" t="str">
        <f aca="false">INDEX(Entities!$B$5:$B$34,MATCH(A166,Entities!$A$5:$A$34,0))</f>
        <v>Arab Bank – Germany</v>
      </c>
      <c r="C166" s="12" t="str">
        <f aca="false">INDEX(Entities!$D$5:$D$34,MATCH(A166,Entities!$A$5:$A$34,0))</f>
        <v>Europe</v>
      </c>
      <c r="D166" s="12" t="s">
        <v>233</v>
      </c>
      <c r="E166" s="12" t="str">
        <f aca="false">INDEX('Risk Taxonomy'!$B$5:$B$24,MATCH(D166,'Risk Taxonomy'!$A$5:$A$24,0))</f>
        <v>Money laundering</v>
      </c>
      <c r="F166" s="28" t="n">
        <f aca="false">IFERROR(SUMPRODUCT((Indicators!$B$5:$B$35=F$4)*Indicators!$K$5:$K$35*'Indicator Scores'!$AA$5:$AA$35)/SUMPRODUCT((Indicators!$B$5:$B$35=F$4)*Indicators!$K$5:$K$35*('Indicator Scores'!$AA$5:$AA$35&gt;0)),0)</f>
        <v>1.5</v>
      </c>
      <c r="G166" s="28" t="n">
        <f aca="false">IFERROR(SUMPRODUCT((Indicators!$B$5:$B$35=G$4)*Indicators!$K$5:$K$35*'Indicator Scores'!$AA$5:$AA$35)/SUMPRODUCT((Indicators!$B$5:$B$35=G$4)*Indicators!$K$5:$K$35*('Indicator Scores'!$AA$5:$AA$35&gt;0)),0)</f>
        <v>1.77777777777778</v>
      </c>
      <c r="H166" s="28" t="n">
        <f aca="false">IFERROR(SUMPRODUCT((Indicators!$B$5:$B$35=H$4)*Indicators!$K$5:$K$35*'Indicator Scores'!$AA$5:$AA$35)/SUMPRODUCT((Indicators!$B$5:$B$35=H$4)*Indicators!$K$5:$K$35*('Indicator Scores'!$AA$5:$AA$35&gt;0)),0)</f>
        <v>2.2</v>
      </c>
      <c r="I166" s="28" t="n">
        <f aca="false">IFERROR(SUMPRODUCT((Indicators!$B$5:$B$35=I$4)*Indicators!$K$5:$K$35*'Indicator Scores'!$AA$5:$AA$35)/SUMPRODUCT((Indicators!$B$5:$B$35=I$4)*Indicators!$K$5:$K$35*('Indicator Scores'!$AA$5:$AA$35&gt;0)),0)</f>
        <v>1.57142857142857</v>
      </c>
      <c r="J166" s="28" t="n">
        <f aca="false">IFERROR(SUMPRODUCT((Indicators!$B$5:$B$35=J$4)*Indicators!$K$5:$K$35*'Indicator Scores'!$AA$5:$AA$35)/SUMPRODUCT((Indicators!$B$5:$B$35=J$4)*Indicators!$K$5:$K$35*('Indicator Scores'!$AA$5:$AA$35&gt;0)),0)</f>
        <v>2.2</v>
      </c>
      <c r="K166" s="28" t="n">
        <f aca="false">IFERROR(SUMPRODUCT(F166:J166,INDEX('Factor Weights'!$C$5:$G$11,MATCH(D166,'Factor Weights'!$A$5:$A$11,0),0))/SUMPRODUCT((F166:J166&gt;0)*INDEX('Factor Weights'!$C$5:$G$11,MATCH(D166,'Factor Weights'!$A$5:$A$11,0),0)),0)</f>
        <v>1.79015873015873</v>
      </c>
      <c r="L166" s="29" t="n">
        <f aca="false">MAX(F166:J166)</f>
        <v>2.2</v>
      </c>
      <c r="M166" s="28" t="n">
        <f aca="false">IF(L166&gt;=Config!$C$13,MAX(K166,Config!$C$14),K166)</f>
        <v>1.79015873015873</v>
      </c>
      <c r="N166" s="30" t="n">
        <f aca="false">IF(Config!$C$12="Weighted average",K166,IF(Config!$C$12="Weighted with floor",M166,L166))</f>
        <v>1.79015873015873</v>
      </c>
      <c r="O166" s="31" t="n">
        <f aca="false">IF(N166&lt;Config!$D$5,"",MATCH(N166,Config!$D$5:$D$9,1))</f>
        <v>1</v>
      </c>
      <c r="P166" s="7" t="str">
        <f aca="false">IF(O166="","No data",INDEX(Config!$B$5:$B$9,O166))</f>
        <v>Low</v>
      </c>
      <c r="Q166" s="32" t="n">
        <v>0</v>
      </c>
      <c r="R166" s="8"/>
      <c r="S166" s="33"/>
      <c r="T166" s="34" t="n">
        <f aca="false">IF(O166="","",IF(AND(S166="Y",Q166&lt;&gt;0),MAX(1,MIN(5,O166+MAX(-Config!$C$27,MIN(Config!$C$27,Q166)))),O166))</f>
        <v>1</v>
      </c>
      <c r="U166" s="35" t="str">
        <f aca="false">IF(T166="","No data",INDEX(Config!$B$5:$B$9,T166))</f>
        <v>Low</v>
      </c>
      <c r="V166" s="7" t="str">
        <f aca="false">IF(Q166=0,"None",IF(S166="Y","Applied","Pending HO approval"))</f>
        <v>None</v>
      </c>
      <c r="W166" s="36" t="n">
        <f aca="false">SUMPRODUCT((Indicators!$K$5:$K$35&gt;0)*('Indicator Data'!$AA$5:$AA$35&lt;&gt;""))/SUMPRODUCT(--(Indicators!$K$5:$K$35&gt;0))</f>
        <v>1</v>
      </c>
    </row>
    <row r="167" customFormat="false" ht="15" hidden="false" customHeight="false" outlineLevel="0" collapsed="false">
      <c r="A167" s="26" t="str">
        <f aca="false">Entities!$A$28</f>
        <v>DE</v>
      </c>
      <c r="B167" s="12" t="str">
        <f aca="false">INDEX(Entities!$B$5:$B$34,MATCH(A167,Entities!$A$5:$A$34,0))</f>
        <v>Arab Bank – Germany</v>
      </c>
      <c r="C167" s="12" t="str">
        <f aca="false">INDEX(Entities!$D$5:$D$34,MATCH(A167,Entities!$A$5:$A$34,0))</f>
        <v>Europe</v>
      </c>
      <c r="D167" s="12" t="s">
        <v>240</v>
      </c>
      <c r="E167" s="12" t="str">
        <f aca="false">INDEX('Risk Taxonomy'!$B$5:$B$24,MATCH(D167,'Risk Taxonomy'!$A$5:$A$24,0))</f>
        <v>Terrorist financing</v>
      </c>
      <c r="F167" s="28" t="n">
        <f aca="false">IFERROR(SUMPRODUCT((Indicators!$B$5:$B$35=F$4)*Indicators!$L$5:$L$35*'Indicator Scores'!$AA$5:$AA$35)/SUMPRODUCT((Indicators!$B$5:$B$35=F$4)*Indicators!$L$5:$L$35*('Indicator Scores'!$AA$5:$AA$35&gt;0)),0)</f>
        <v>1.4</v>
      </c>
      <c r="G167" s="28" t="n">
        <f aca="false">IFERROR(SUMPRODUCT((Indicators!$B$5:$B$35=G$4)*Indicators!$L$5:$L$35*'Indicator Scores'!$AA$5:$AA$35)/SUMPRODUCT((Indicators!$B$5:$B$35=G$4)*Indicators!$L$5:$L$35*('Indicator Scores'!$AA$5:$AA$35&gt;0)),0)</f>
        <v>1.66666666666667</v>
      </c>
      <c r="H167" s="28" t="n">
        <f aca="false">IFERROR(SUMPRODUCT((Indicators!$B$5:$B$35=H$4)*Indicators!$L$5:$L$35*'Indicator Scores'!$AA$5:$AA$35)/SUMPRODUCT((Indicators!$B$5:$B$35=H$4)*Indicators!$L$5:$L$35*('Indicator Scores'!$AA$5:$AA$35&gt;0)),0)</f>
        <v>2.33333333333333</v>
      </c>
      <c r="I167" s="28" t="n">
        <f aca="false">IFERROR(SUMPRODUCT((Indicators!$B$5:$B$35=I$4)*Indicators!$L$5:$L$35*'Indicator Scores'!$AA$5:$AA$35)/SUMPRODUCT((Indicators!$B$5:$B$35=I$4)*Indicators!$L$5:$L$35*('Indicator Scores'!$AA$5:$AA$35&gt;0)),0)</f>
        <v>1.66666666666667</v>
      </c>
      <c r="J167" s="28" t="n">
        <f aca="false">IFERROR(SUMPRODUCT((Indicators!$B$5:$B$35=J$4)*Indicators!$L$5:$L$35*'Indicator Scores'!$AA$5:$AA$35)/SUMPRODUCT((Indicators!$B$5:$B$35=J$4)*Indicators!$L$5:$L$35*('Indicator Scores'!$AA$5:$AA$35&gt;0)),0)</f>
        <v>2</v>
      </c>
      <c r="K167" s="28" t="n">
        <f aca="false">IFERROR(SUMPRODUCT(F167:J167,INDEX('Factor Weights'!$C$5:$G$11,MATCH(D167,'Factor Weights'!$A$5:$A$11,0),0))/SUMPRODUCT((F167:J167&gt;0)*INDEX('Factor Weights'!$C$5:$G$11,MATCH(D167,'Factor Weights'!$A$5:$A$11,0),0)),0)</f>
        <v>1.76666666666667</v>
      </c>
      <c r="L167" s="29" t="n">
        <f aca="false">MAX(F167:J167)</f>
        <v>2.33333333333333</v>
      </c>
      <c r="M167" s="28" t="n">
        <f aca="false">IF(L167&gt;=Config!$C$13,MAX(K167,Config!$C$14),K167)</f>
        <v>1.76666666666667</v>
      </c>
      <c r="N167" s="30" t="n">
        <f aca="false">IF(Config!$C$12="Weighted average",K167,IF(Config!$C$12="Weighted with floor",M167,L167))</f>
        <v>1.76666666666667</v>
      </c>
      <c r="O167" s="31" t="n">
        <f aca="false">IF(N167&lt;Config!$D$5,"",MATCH(N167,Config!$D$5:$D$9,1))</f>
        <v>1</v>
      </c>
      <c r="P167" s="7" t="str">
        <f aca="false">IF(O167="","No data",INDEX(Config!$B$5:$B$9,O167))</f>
        <v>Low</v>
      </c>
      <c r="Q167" s="32" t="n">
        <v>0</v>
      </c>
      <c r="R167" s="8"/>
      <c r="S167" s="33"/>
      <c r="T167" s="34" t="n">
        <f aca="false">IF(O167="","",IF(AND(S167="Y",Q167&lt;&gt;0),MAX(1,MIN(5,O167+MAX(-Config!$C$27,MIN(Config!$C$27,Q167)))),O167))</f>
        <v>1</v>
      </c>
      <c r="U167" s="35" t="str">
        <f aca="false">IF(T167="","No data",INDEX(Config!$B$5:$B$9,T167))</f>
        <v>Low</v>
      </c>
      <c r="V167" s="7" t="str">
        <f aca="false">IF(Q167=0,"None",IF(S167="Y","Applied","Pending HO approval"))</f>
        <v>None</v>
      </c>
      <c r="W167" s="36" t="n">
        <f aca="false">SUMPRODUCT((Indicators!$L$5:$L$35&gt;0)*('Indicator Data'!$AA$5:$AA$35&lt;&gt;""))/SUMPRODUCT(--(Indicators!$L$5:$L$35&gt;0))</f>
        <v>1</v>
      </c>
    </row>
    <row r="168" customFormat="false" ht="15" hidden="false" customHeight="false" outlineLevel="0" collapsed="false">
      <c r="A168" s="26" t="str">
        <f aca="false">Entities!$A$28</f>
        <v>DE</v>
      </c>
      <c r="B168" s="12" t="str">
        <f aca="false">INDEX(Entities!$B$5:$B$34,MATCH(A168,Entities!$A$5:$A$34,0))</f>
        <v>Arab Bank – Germany</v>
      </c>
      <c r="C168" s="12" t="str">
        <f aca="false">INDEX(Entities!$D$5:$D$34,MATCH(A168,Entities!$A$5:$A$34,0))</f>
        <v>Europe</v>
      </c>
      <c r="D168" s="12" t="s">
        <v>243</v>
      </c>
      <c r="E168" s="12" t="str">
        <f aca="false">INDEX('Risk Taxonomy'!$B$5:$B$24,MATCH(D168,'Risk Taxonomy'!$A$5:$A$24,0))</f>
        <v>Proliferation financing</v>
      </c>
      <c r="F168" s="28" t="n">
        <f aca="false">IFERROR(SUMPRODUCT((Indicators!$B$5:$B$35=F$4)*Indicators!$M$5:$M$35*'Indicator Scores'!$AA$5:$AA$35)/SUMPRODUCT((Indicators!$B$5:$B$35=F$4)*Indicators!$M$5:$M$35*('Indicator Scores'!$AA$5:$AA$35&gt;0)),0)</f>
        <v>1.25</v>
      </c>
      <c r="G168" s="28" t="n">
        <f aca="false">IFERROR(SUMPRODUCT((Indicators!$B$5:$B$35=G$4)*Indicators!$M$5:$M$35*'Indicator Scores'!$AA$5:$AA$35)/SUMPRODUCT((Indicators!$B$5:$B$35=G$4)*Indicators!$M$5:$M$35*('Indicator Scores'!$AA$5:$AA$35&gt;0)),0)</f>
        <v>1.875</v>
      </c>
      <c r="H168" s="28" t="n">
        <f aca="false">IFERROR(SUMPRODUCT((Indicators!$B$5:$B$35=H$4)*Indicators!$M$5:$M$35*'Indicator Scores'!$AA$5:$AA$35)/SUMPRODUCT((Indicators!$B$5:$B$35=H$4)*Indicators!$M$5:$M$35*('Indicator Scores'!$AA$5:$AA$35&gt;0)),0)</f>
        <v>2.33333333333333</v>
      </c>
      <c r="I168" s="28" t="n">
        <f aca="false">IFERROR(SUMPRODUCT((Indicators!$B$5:$B$35=I$4)*Indicators!$M$5:$M$35*'Indicator Scores'!$AA$5:$AA$35)/SUMPRODUCT((Indicators!$B$5:$B$35=I$4)*Indicators!$M$5:$M$35*('Indicator Scores'!$AA$5:$AA$35&gt;0)),0)</f>
        <v>2</v>
      </c>
      <c r="J168" s="28" t="n">
        <f aca="false">IFERROR(SUMPRODUCT((Indicators!$B$5:$B$35=J$4)*Indicators!$M$5:$M$35*'Indicator Scores'!$AA$5:$AA$35)/SUMPRODUCT((Indicators!$B$5:$B$35=J$4)*Indicators!$M$5:$M$35*('Indicator Scores'!$AA$5:$AA$35&gt;0)),0)</f>
        <v>1.5</v>
      </c>
      <c r="K168" s="28" t="n">
        <f aca="false">IFERROR(SUMPRODUCT(F168:J168,INDEX('Factor Weights'!$C$5:$G$11,MATCH(D168,'Factor Weights'!$A$5:$A$11,0),0))/SUMPRODUCT((F168:J168&gt;0)*INDEX('Factor Weights'!$C$5:$G$11,MATCH(D168,'Factor Weights'!$A$5:$A$11,0),0)),0)</f>
        <v>1.85</v>
      </c>
      <c r="L168" s="29" t="n">
        <f aca="false">MAX(F168:J168)</f>
        <v>2.33333333333333</v>
      </c>
      <c r="M168" s="28" t="n">
        <f aca="false">IF(L168&gt;=Config!$C$13,MAX(K168,Config!$C$14),K168)</f>
        <v>1.85</v>
      </c>
      <c r="N168" s="30" t="n">
        <f aca="false">IF(Config!$C$12="Weighted average",K168,IF(Config!$C$12="Weighted with floor",M168,L168))</f>
        <v>1.85</v>
      </c>
      <c r="O168" s="31" t="n">
        <f aca="false">IF(N168&lt;Config!$D$5,"",MATCH(N168,Config!$D$5:$D$9,1))</f>
        <v>2</v>
      </c>
      <c r="P168" s="7" t="str">
        <f aca="false">IF(O168="","No data",INDEX(Config!$B$5:$B$9,O168))</f>
        <v>Medium-Low</v>
      </c>
      <c r="Q168" s="32" t="n">
        <v>0</v>
      </c>
      <c r="R168" s="8"/>
      <c r="S168" s="33"/>
      <c r="T168" s="34" t="n">
        <f aca="false">IF(O168="","",IF(AND(S168="Y",Q168&lt;&gt;0),MAX(1,MIN(5,O168+MAX(-Config!$C$27,MIN(Config!$C$27,Q168)))),O168))</f>
        <v>2</v>
      </c>
      <c r="U168" s="35" t="str">
        <f aca="false">IF(T168="","No data",INDEX(Config!$B$5:$B$9,T168))</f>
        <v>Medium-Low</v>
      </c>
      <c r="V168" s="7" t="str">
        <f aca="false">IF(Q168=0,"None",IF(S168="Y","Applied","Pending HO approval"))</f>
        <v>None</v>
      </c>
      <c r="W168" s="36" t="n">
        <f aca="false">SUMPRODUCT((Indicators!$M$5:$M$35&gt;0)*('Indicator Data'!$AA$5:$AA$35&lt;&gt;""))/SUMPRODUCT(--(Indicators!$M$5:$M$35&gt;0))</f>
        <v>1</v>
      </c>
    </row>
    <row r="169" customFormat="false" ht="15" hidden="false" customHeight="false" outlineLevel="0" collapsed="false">
      <c r="A169" s="26" t="str">
        <f aca="false">Entities!$A$28</f>
        <v>DE</v>
      </c>
      <c r="B169" s="12" t="str">
        <f aca="false">INDEX(Entities!$B$5:$B$34,MATCH(A169,Entities!$A$5:$A$34,0))</f>
        <v>Arab Bank – Germany</v>
      </c>
      <c r="C169" s="12" t="str">
        <f aca="false">INDEX(Entities!$D$5:$D$34,MATCH(A169,Entities!$A$5:$A$34,0))</f>
        <v>Europe</v>
      </c>
      <c r="D169" s="12" t="s">
        <v>245</v>
      </c>
      <c r="E169" s="12" t="str">
        <f aca="false">INDEX('Risk Taxonomy'!$B$5:$B$24,MATCH(D169,'Risk Taxonomy'!$A$5:$A$24,0))</f>
        <v>Sanctions</v>
      </c>
      <c r="F169" s="28" t="n">
        <f aca="false">IFERROR(SUMPRODUCT((Indicators!$B$5:$B$35=F$4)*Indicators!$N$5:$N$35*'Indicator Scores'!$AA$5:$AA$35)/SUMPRODUCT((Indicators!$B$5:$B$35=F$4)*Indicators!$N$5:$N$35*('Indicator Scores'!$AA$5:$AA$35&gt;0)),0)</f>
        <v>1.42857142857143</v>
      </c>
      <c r="G169" s="28" t="n">
        <f aca="false">IFERROR(SUMPRODUCT((Indicators!$B$5:$B$35=G$4)*Indicators!$N$5:$N$35*'Indicator Scores'!$AA$5:$AA$35)/SUMPRODUCT((Indicators!$B$5:$B$35=G$4)*Indicators!$N$5:$N$35*('Indicator Scores'!$AA$5:$AA$35&gt;0)),0)</f>
        <v>1.85714285714286</v>
      </c>
      <c r="H169" s="28" t="n">
        <f aca="false">IFERROR(SUMPRODUCT((Indicators!$B$5:$B$35=H$4)*Indicators!$N$5:$N$35*'Indicator Scores'!$AA$5:$AA$35)/SUMPRODUCT((Indicators!$B$5:$B$35=H$4)*Indicators!$N$5:$N$35*('Indicator Scores'!$AA$5:$AA$35&gt;0)),0)</f>
        <v>2.25</v>
      </c>
      <c r="I169" s="28" t="n">
        <f aca="false">IFERROR(SUMPRODUCT((Indicators!$B$5:$B$35=I$4)*Indicators!$N$5:$N$35*'Indicator Scores'!$AA$5:$AA$35)/SUMPRODUCT((Indicators!$B$5:$B$35=I$4)*Indicators!$N$5:$N$35*('Indicator Scores'!$AA$5:$AA$35&gt;0)),0)</f>
        <v>2</v>
      </c>
      <c r="J169" s="28" t="n">
        <f aca="false">IFERROR(SUMPRODUCT((Indicators!$B$5:$B$35=J$4)*Indicators!$N$5:$N$35*'Indicator Scores'!$AA$5:$AA$35)/SUMPRODUCT((Indicators!$B$5:$B$35=J$4)*Indicators!$N$5:$N$35*('Indicator Scores'!$AA$5:$AA$35&gt;0)),0)</f>
        <v>1.4</v>
      </c>
      <c r="K169" s="28" t="n">
        <f aca="false">IFERROR(SUMPRODUCT(F169:J169,INDEX('Factor Weights'!$C$5:$G$11,MATCH(D169,'Factor Weights'!$A$5:$A$11,0),0))/SUMPRODUCT((F169:J169&gt;0)*INDEX('Factor Weights'!$C$5:$G$11,MATCH(D169,'Factor Weights'!$A$5:$A$11,0),0)),0)</f>
        <v>1.78714285714286</v>
      </c>
      <c r="L169" s="29" t="n">
        <f aca="false">MAX(F169:J169)</f>
        <v>2.25</v>
      </c>
      <c r="M169" s="28" t="n">
        <f aca="false">IF(L169&gt;=Config!$C$13,MAX(K169,Config!$C$14),K169)</f>
        <v>1.78714285714286</v>
      </c>
      <c r="N169" s="30" t="n">
        <f aca="false">IF(Config!$C$12="Weighted average",K169,IF(Config!$C$12="Weighted with floor",M169,L169))</f>
        <v>1.78714285714286</v>
      </c>
      <c r="O169" s="31" t="n">
        <f aca="false">IF(N169&lt;Config!$D$5,"",MATCH(N169,Config!$D$5:$D$9,1))</f>
        <v>1</v>
      </c>
      <c r="P169" s="7" t="str">
        <f aca="false">IF(O169="","No data",INDEX(Config!$B$5:$B$9,O169))</f>
        <v>Low</v>
      </c>
      <c r="Q169" s="32" t="n">
        <v>0</v>
      </c>
      <c r="R169" s="8"/>
      <c r="S169" s="33"/>
      <c r="T169" s="34" t="n">
        <f aca="false">IF(O169="","",IF(AND(S169="Y",Q169&lt;&gt;0),MAX(1,MIN(5,O169+MAX(-Config!$C$27,MIN(Config!$C$27,Q169)))),O169))</f>
        <v>1</v>
      </c>
      <c r="U169" s="35" t="str">
        <f aca="false">IF(T169="","No data",INDEX(Config!$B$5:$B$9,T169))</f>
        <v>Low</v>
      </c>
      <c r="V169" s="7" t="str">
        <f aca="false">IF(Q169=0,"None",IF(S169="Y","Applied","Pending HO approval"))</f>
        <v>None</v>
      </c>
      <c r="W169" s="36" t="n">
        <f aca="false">SUMPRODUCT((Indicators!$N$5:$N$35&gt;0)*('Indicator Data'!$AA$5:$AA$35&lt;&gt;""))/SUMPRODUCT(--(Indicators!$N$5:$N$35&gt;0))</f>
        <v>1</v>
      </c>
    </row>
    <row r="170" customFormat="false" ht="15" hidden="false" customHeight="false" outlineLevel="0" collapsed="false">
      <c r="A170" s="26" t="str">
        <f aca="false">Entities!$A$28</f>
        <v>DE</v>
      </c>
      <c r="B170" s="12" t="str">
        <f aca="false">INDEX(Entities!$B$5:$B$34,MATCH(A170,Entities!$A$5:$A$34,0))</f>
        <v>Arab Bank – Germany</v>
      </c>
      <c r="C170" s="12" t="str">
        <f aca="false">INDEX(Entities!$D$5:$D$34,MATCH(A170,Entities!$A$5:$A$34,0))</f>
        <v>Europe</v>
      </c>
      <c r="D170" s="12" t="s">
        <v>248</v>
      </c>
      <c r="E170" s="12" t="str">
        <f aca="false">INDEX('Risk Taxonomy'!$B$5:$B$24,MATCH(D170,'Risk Taxonomy'!$A$5:$A$24,0))</f>
        <v>Bribery and corruption</v>
      </c>
      <c r="F170" s="28" t="n">
        <f aca="false">IFERROR(SUMPRODUCT((Indicators!$B$5:$B$35=F$4)*Indicators!$O$5:$O$35*'Indicator Scores'!$AA$5:$AA$35)/SUMPRODUCT((Indicators!$B$5:$B$35=F$4)*Indicators!$O$5:$O$35*('Indicator Scores'!$AA$5:$AA$35&gt;0)),0)</f>
        <v>1.33333333333333</v>
      </c>
      <c r="G170" s="28" t="n">
        <f aca="false">IFERROR(SUMPRODUCT((Indicators!$B$5:$B$35=G$4)*Indicators!$O$5:$O$35*'Indicator Scores'!$AA$5:$AA$35)/SUMPRODUCT((Indicators!$B$5:$B$35=G$4)*Indicators!$O$5:$O$35*('Indicator Scores'!$AA$5:$AA$35&gt;0)),0)</f>
        <v>2</v>
      </c>
      <c r="H170" s="28" t="n">
        <f aca="false">IFERROR(SUMPRODUCT((Indicators!$B$5:$B$35=H$4)*Indicators!$O$5:$O$35*'Indicator Scores'!$AA$5:$AA$35)/SUMPRODUCT((Indicators!$B$5:$B$35=H$4)*Indicators!$O$5:$O$35*('Indicator Scores'!$AA$5:$AA$35&gt;0)),0)</f>
        <v>2</v>
      </c>
      <c r="I170" s="28" t="n">
        <f aca="false">IFERROR(SUMPRODUCT((Indicators!$B$5:$B$35=I$4)*Indicators!$O$5:$O$35*'Indicator Scores'!$AA$5:$AA$35)/SUMPRODUCT((Indicators!$B$5:$B$35=I$4)*Indicators!$O$5:$O$35*('Indicator Scores'!$AA$5:$AA$35&gt;0)),0)</f>
        <v>1.4</v>
      </c>
      <c r="J170" s="28" t="n">
        <f aca="false">IFERROR(SUMPRODUCT((Indicators!$B$5:$B$35=J$4)*Indicators!$O$5:$O$35*'Indicator Scores'!$AA$5:$AA$35)/SUMPRODUCT((Indicators!$B$5:$B$35=J$4)*Indicators!$O$5:$O$35*('Indicator Scores'!$AA$5:$AA$35&gt;0)),0)</f>
        <v>2</v>
      </c>
      <c r="K170" s="28" t="n">
        <f aca="false">IFERROR(SUMPRODUCT(F170:J170,INDEX('Factor Weights'!$C$5:$G$11,MATCH(D170,'Factor Weights'!$A$5:$A$11,0),0))/SUMPRODUCT((F170:J170&gt;0)*INDEX('Factor Weights'!$C$5:$G$11,MATCH(D170,'Factor Weights'!$A$5:$A$11,0),0)),0)</f>
        <v>1.68</v>
      </c>
      <c r="L170" s="29" t="n">
        <f aca="false">MAX(F170:J170)</f>
        <v>2</v>
      </c>
      <c r="M170" s="28" t="n">
        <f aca="false">IF(L170&gt;=Config!$C$13,MAX(K170,Config!$C$14),K170)</f>
        <v>1.68</v>
      </c>
      <c r="N170" s="30" t="n">
        <f aca="false">IF(Config!$C$12="Weighted average",K170,IF(Config!$C$12="Weighted with floor",M170,L170))</f>
        <v>1.68</v>
      </c>
      <c r="O170" s="31" t="n">
        <f aca="false">IF(N170&lt;Config!$D$5,"",MATCH(N170,Config!$D$5:$D$9,1))</f>
        <v>1</v>
      </c>
      <c r="P170" s="7" t="str">
        <f aca="false">IF(O170="","No data",INDEX(Config!$B$5:$B$9,O170))</f>
        <v>Low</v>
      </c>
      <c r="Q170" s="32" t="n">
        <v>0</v>
      </c>
      <c r="R170" s="8"/>
      <c r="S170" s="33"/>
      <c r="T170" s="34" t="n">
        <f aca="false">IF(O170="","",IF(AND(S170="Y",Q170&lt;&gt;0),MAX(1,MIN(5,O170+MAX(-Config!$C$27,MIN(Config!$C$27,Q170)))),O170))</f>
        <v>1</v>
      </c>
      <c r="U170" s="35" t="str">
        <f aca="false">IF(T170="","No data",INDEX(Config!$B$5:$B$9,T170))</f>
        <v>Low</v>
      </c>
      <c r="V170" s="7" t="str">
        <f aca="false">IF(Q170=0,"None",IF(S170="Y","Applied","Pending HO approval"))</f>
        <v>None</v>
      </c>
      <c r="W170" s="36" t="n">
        <f aca="false">SUMPRODUCT((Indicators!$O$5:$O$35&gt;0)*('Indicator Data'!$AA$5:$AA$35&lt;&gt;""))/SUMPRODUCT(--(Indicators!$O$5:$O$35&gt;0))</f>
        <v>1</v>
      </c>
    </row>
    <row r="171" customFormat="false" ht="15" hidden="false" customHeight="false" outlineLevel="0" collapsed="false">
      <c r="A171" s="26" t="str">
        <f aca="false">Entities!$A$28</f>
        <v>DE</v>
      </c>
      <c r="B171" s="12" t="str">
        <f aca="false">INDEX(Entities!$B$5:$B$34,MATCH(A171,Entities!$A$5:$A$34,0))</f>
        <v>Arab Bank – Germany</v>
      </c>
      <c r="C171" s="12" t="str">
        <f aca="false">INDEX(Entities!$D$5:$D$34,MATCH(A171,Entities!$A$5:$A$34,0))</f>
        <v>Europe</v>
      </c>
      <c r="D171" s="12" t="s">
        <v>251</v>
      </c>
      <c r="E171" s="12" t="str">
        <f aca="false">INDEX('Risk Taxonomy'!$B$5:$B$24,MATCH(D171,'Risk Taxonomy'!$A$5:$A$24,0))</f>
        <v>Fraud</v>
      </c>
      <c r="F171" s="28" t="n">
        <f aca="false">IFERROR(SUMPRODUCT((Indicators!$B$5:$B$35=F$4)*Indicators!$P$5:$P$35*'Indicator Scores'!$AA$5:$AA$35)/SUMPRODUCT((Indicators!$B$5:$B$35=F$4)*Indicators!$P$5:$P$35*('Indicator Scores'!$AA$5:$AA$35&gt;0)),0)</f>
        <v>1.66666666666667</v>
      </c>
      <c r="G171" s="28" t="n">
        <f aca="false">IFERROR(SUMPRODUCT((Indicators!$B$5:$B$35=G$4)*Indicators!$P$5:$P$35*'Indicator Scores'!$AA$5:$AA$35)/SUMPRODUCT((Indicators!$B$5:$B$35=G$4)*Indicators!$P$5:$P$35*('Indicator Scores'!$AA$5:$AA$35&gt;0)),0)</f>
        <v>1.75</v>
      </c>
      <c r="H171" s="28" t="n">
        <f aca="false">IFERROR(SUMPRODUCT((Indicators!$B$5:$B$35=H$4)*Indicators!$P$5:$P$35*'Indicator Scores'!$AA$5:$AA$35)/SUMPRODUCT((Indicators!$B$5:$B$35=H$4)*Indicators!$P$5:$P$35*('Indicator Scores'!$AA$5:$AA$35&gt;0)),0)</f>
        <v>2.4</v>
      </c>
      <c r="I171" s="28" t="n">
        <f aca="false">IFERROR(SUMPRODUCT((Indicators!$B$5:$B$35=I$4)*Indicators!$P$5:$P$35*'Indicator Scores'!$AA$5:$AA$35)/SUMPRODUCT((Indicators!$B$5:$B$35=I$4)*Indicators!$P$5:$P$35*('Indicator Scores'!$AA$5:$AA$35&gt;0)),0)</f>
        <v>1.44444444444444</v>
      </c>
      <c r="J171" s="28" t="n">
        <f aca="false">IFERROR(SUMPRODUCT((Indicators!$B$5:$B$35=J$4)*Indicators!$P$5:$P$35*'Indicator Scores'!$AA$5:$AA$35)/SUMPRODUCT((Indicators!$B$5:$B$35=J$4)*Indicators!$P$5:$P$35*('Indicator Scores'!$AA$5:$AA$35&gt;0)),0)</f>
        <v>1.2</v>
      </c>
      <c r="K171" s="28" t="n">
        <f aca="false">IFERROR(SUMPRODUCT(F171:J171,INDEX('Factor Weights'!$C$5:$G$11,MATCH(D171,'Factor Weights'!$A$5:$A$11,0),0))/SUMPRODUCT((F171:J171&gt;0)*INDEX('Factor Weights'!$C$5:$G$11,MATCH(D171,'Factor Weights'!$A$5:$A$11,0),0)),0)</f>
        <v>1.66166666666667</v>
      </c>
      <c r="L171" s="29" t="n">
        <f aca="false">MAX(F171:J171)</f>
        <v>2.4</v>
      </c>
      <c r="M171" s="28" t="n">
        <f aca="false">IF(L171&gt;=Config!$C$13,MAX(K171,Config!$C$14),K171)</f>
        <v>1.66166666666667</v>
      </c>
      <c r="N171" s="30" t="n">
        <f aca="false">IF(Config!$C$12="Weighted average",K171,IF(Config!$C$12="Weighted with floor",M171,L171))</f>
        <v>1.66166666666667</v>
      </c>
      <c r="O171" s="31" t="n">
        <f aca="false">IF(N171&lt;Config!$D$5,"",MATCH(N171,Config!$D$5:$D$9,1))</f>
        <v>1</v>
      </c>
      <c r="P171" s="7" t="str">
        <f aca="false">IF(O171="","No data",INDEX(Config!$B$5:$B$9,O171))</f>
        <v>Low</v>
      </c>
      <c r="Q171" s="32" t="n">
        <v>0</v>
      </c>
      <c r="R171" s="8"/>
      <c r="S171" s="33"/>
      <c r="T171" s="34" t="n">
        <f aca="false">IF(O171="","",IF(AND(S171="Y",Q171&lt;&gt;0),MAX(1,MIN(5,O171+MAX(-Config!$C$27,MIN(Config!$C$27,Q171)))),O171))</f>
        <v>1</v>
      </c>
      <c r="U171" s="35" t="str">
        <f aca="false">IF(T171="","No data",INDEX(Config!$B$5:$B$9,T171))</f>
        <v>Low</v>
      </c>
      <c r="V171" s="7" t="str">
        <f aca="false">IF(Q171=0,"None",IF(S171="Y","Applied","Pending HO approval"))</f>
        <v>None</v>
      </c>
      <c r="W171" s="36" t="n">
        <f aca="false">SUMPRODUCT((Indicators!$P$5:$P$35&gt;0)*('Indicator Data'!$AA$5:$AA$35&lt;&gt;""))/SUMPRODUCT(--(Indicators!$P$5:$P$35&gt;0))</f>
        <v>1</v>
      </c>
    </row>
    <row r="172" customFormat="false" ht="15" hidden="false" customHeight="false" outlineLevel="0" collapsed="false">
      <c r="A172" s="26" t="str">
        <f aca="false">Entities!$A$28</f>
        <v>DE</v>
      </c>
      <c r="B172" s="12" t="str">
        <f aca="false">INDEX(Entities!$B$5:$B$34,MATCH(A172,Entities!$A$5:$A$34,0))</f>
        <v>Arab Bank – Germany</v>
      </c>
      <c r="C172" s="12" t="str">
        <f aca="false">INDEX(Entities!$D$5:$D$34,MATCH(A172,Entities!$A$5:$A$34,0))</f>
        <v>Europe</v>
      </c>
      <c r="D172" s="12" t="s">
        <v>254</v>
      </c>
      <c r="E172" s="12" t="str">
        <f aca="false">INDEX('Risk Taxonomy'!$B$5:$B$24,MATCH(D172,'Risk Taxonomy'!$A$5:$A$24,0))</f>
        <v>Tax evasion and tax transparency</v>
      </c>
      <c r="F172" s="28" t="n">
        <f aca="false">IFERROR(SUMPRODUCT((Indicators!$B$5:$B$35=F$4)*Indicators!$Q$5:$Q$35*'Indicator Scores'!$AA$5:$AA$35)/SUMPRODUCT((Indicators!$B$5:$B$35=F$4)*Indicators!$Q$5:$Q$35*('Indicator Scores'!$AA$5:$AA$35&gt;0)),0)</f>
        <v>1.55555555555556</v>
      </c>
      <c r="G172" s="28" t="n">
        <f aca="false">IFERROR(SUMPRODUCT((Indicators!$B$5:$B$35=G$4)*Indicators!$Q$5:$Q$35*'Indicator Scores'!$AA$5:$AA$35)/SUMPRODUCT((Indicators!$B$5:$B$35=G$4)*Indicators!$Q$5:$Q$35*('Indicator Scores'!$AA$5:$AA$35&gt;0)),0)</f>
        <v>1.5</v>
      </c>
      <c r="H172" s="28" t="n">
        <f aca="false">IFERROR(SUMPRODUCT((Indicators!$B$5:$B$35=H$4)*Indicators!$Q$5:$Q$35*'Indicator Scores'!$AA$5:$AA$35)/SUMPRODUCT((Indicators!$B$5:$B$35=H$4)*Indicators!$Q$5:$Q$35*('Indicator Scores'!$AA$5:$AA$35&gt;0)),0)</f>
        <v>2</v>
      </c>
      <c r="I172" s="28" t="n">
        <f aca="false">IFERROR(SUMPRODUCT((Indicators!$B$5:$B$35=I$4)*Indicators!$Q$5:$Q$35*'Indicator Scores'!$AA$5:$AA$35)/SUMPRODUCT((Indicators!$B$5:$B$35=I$4)*Indicators!$Q$5:$Q$35*('Indicator Scores'!$AA$5:$AA$35&gt;0)),0)</f>
        <v>1.5</v>
      </c>
      <c r="J172" s="28" t="n">
        <f aca="false">IFERROR(SUMPRODUCT((Indicators!$B$5:$B$35=J$4)*Indicators!$Q$5:$Q$35*'Indicator Scores'!$AA$5:$AA$35)/SUMPRODUCT((Indicators!$B$5:$B$35=J$4)*Indicators!$Q$5:$Q$35*('Indicator Scores'!$AA$5:$AA$35&gt;0)),0)</f>
        <v>1.8</v>
      </c>
      <c r="K172" s="28" t="n">
        <f aca="false">IFERROR(SUMPRODUCT(F172:J172,INDEX('Factor Weights'!$C$5:$G$11,MATCH(D172,'Factor Weights'!$A$5:$A$11,0),0))/SUMPRODUCT((F172:J172&gt;0)*INDEX('Factor Weights'!$C$5:$G$11,MATCH(D172,'Factor Weights'!$A$5:$A$11,0),0)),0)</f>
        <v>1.64944444444444</v>
      </c>
      <c r="L172" s="29" t="n">
        <f aca="false">MAX(F172:J172)</f>
        <v>2</v>
      </c>
      <c r="M172" s="28" t="n">
        <f aca="false">IF(L172&gt;=Config!$C$13,MAX(K172,Config!$C$14),K172)</f>
        <v>1.64944444444444</v>
      </c>
      <c r="N172" s="30" t="n">
        <f aca="false">IF(Config!$C$12="Weighted average",K172,IF(Config!$C$12="Weighted with floor",M172,L172))</f>
        <v>1.64944444444444</v>
      </c>
      <c r="O172" s="31" t="n">
        <f aca="false">IF(N172&lt;Config!$D$5,"",MATCH(N172,Config!$D$5:$D$9,1))</f>
        <v>1</v>
      </c>
      <c r="P172" s="7" t="str">
        <f aca="false">IF(O172="","No data",INDEX(Config!$B$5:$B$9,O172))</f>
        <v>Low</v>
      </c>
      <c r="Q172" s="32" t="n">
        <v>0</v>
      </c>
      <c r="R172" s="8"/>
      <c r="S172" s="33"/>
      <c r="T172" s="34" t="n">
        <f aca="false">IF(O172="","",IF(AND(S172="Y",Q172&lt;&gt;0),MAX(1,MIN(5,O172+MAX(-Config!$C$27,MIN(Config!$C$27,Q172)))),O172))</f>
        <v>1</v>
      </c>
      <c r="U172" s="35" t="str">
        <f aca="false">IF(T172="","No data",INDEX(Config!$B$5:$B$9,T172))</f>
        <v>Low</v>
      </c>
      <c r="V172" s="7" t="str">
        <f aca="false">IF(Q172=0,"None",IF(S172="Y","Applied","Pending HO approval"))</f>
        <v>None</v>
      </c>
      <c r="W172" s="36" t="n">
        <f aca="false">SUMPRODUCT((Indicators!$Q$5:$Q$35&gt;0)*('Indicator Data'!$AA$5:$AA$35&lt;&gt;""))/SUMPRODUCT(--(Indicators!$Q$5:$Q$35&gt;0))</f>
        <v>1</v>
      </c>
    </row>
    <row r="173" customFormat="false" ht="15" hidden="false" customHeight="false" outlineLevel="0" collapsed="false">
      <c r="A173" s="26" t="str">
        <f aca="false">Entities!$A$29</f>
        <v>IT</v>
      </c>
      <c r="B173" s="12" t="str">
        <f aca="false">INDEX(Entities!$B$5:$B$34,MATCH(A173,Entities!$A$5:$A$34,0))</f>
        <v>Arab Bank – Italy</v>
      </c>
      <c r="C173" s="12" t="str">
        <f aca="false">INDEX(Entities!$D$5:$D$34,MATCH(A173,Entities!$A$5:$A$34,0))</f>
        <v>Europe</v>
      </c>
      <c r="D173" s="12" t="s">
        <v>233</v>
      </c>
      <c r="E173" s="12" t="str">
        <f aca="false">INDEX('Risk Taxonomy'!$B$5:$B$24,MATCH(D173,'Risk Taxonomy'!$A$5:$A$24,0))</f>
        <v>Money laundering</v>
      </c>
      <c r="F173" s="28" t="n">
        <f aca="false">IFERROR(SUMPRODUCT((Indicators!$B$5:$B$35=F$4)*Indicators!$K$5:$K$35*'Indicator Scores'!$AB$5:$AB$35)/SUMPRODUCT((Indicators!$B$5:$B$35=F$4)*Indicators!$K$5:$K$35*('Indicator Scores'!$AB$5:$AB$35&gt;0)),0)</f>
        <v>2.5</v>
      </c>
      <c r="G173" s="28" t="n">
        <f aca="false">IFERROR(SUMPRODUCT((Indicators!$B$5:$B$35=G$4)*Indicators!$K$5:$K$35*'Indicator Scores'!$AB$5:$AB$35)/SUMPRODUCT((Indicators!$B$5:$B$35=G$4)*Indicators!$K$5:$K$35*('Indicator Scores'!$AB$5:$AB$35&gt;0)),0)</f>
        <v>2</v>
      </c>
      <c r="H173" s="28" t="n">
        <f aca="false">IFERROR(SUMPRODUCT((Indicators!$B$5:$B$35=H$4)*Indicators!$K$5:$K$35*'Indicator Scores'!$AB$5:$AB$35)/SUMPRODUCT((Indicators!$B$5:$B$35=H$4)*Indicators!$K$5:$K$35*('Indicator Scores'!$AB$5:$AB$35&gt;0)),0)</f>
        <v>1.6</v>
      </c>
      <c r="I173" s="28" t="n">
        <f aca="false">IFERROR(SUMPRODUCT((Indicators!$B$5:$B$35=I$4)*Indicators!$K$5:$K$35*'Indicator Scores'!$AB$5:$AB$35)/SUMPRODUCT((Indicators!$B$5:$B$35=I$4)*Indicators!$K$5:$K$35*('Indicator Scores'!$AB$5:$AB$35&gt;0)),0)</f>
        <v>1.85714285714286</v>
      </c>
      <c r="J173" s="28" t="n">
        <f aca="false">IFERROR(SUMPRODUCT((Indicators!$B$5:$B$35=J$4)*Indicators!$K$5:$K$35*'Indicator Scores'!$AB$5:$AB$35)/SUMPRODUCT((Indicators!$B$5:$B$35=J$4)*Indicators!$K$5:$K$35*('Indicator Scores'!$AB$5:$AB$35&gt;0)),0)</f>
        <v>1.3</v>
      </c>
      <c r="K173" s="28" t="n">
        <f aca="false">IFERROR(SUMPRODUCT(F173:J173,INDEX('Factor Weights'!$C$5:$G$11,MATCH(D173,'Factor Weights'!$A$5:$A$11,0),0))/SUMPRODUCT((F173:J173&gt;0)*INDEX('Factor Weights'!$C$5:$G$11,MATCH(D173,'Factor Weights'!$A$5:$A$11,0),0)),0)</f>
        <v>1.97857142857143</v>
      </c>
      <c r="L173" s="29" t="n">
        <f aca="false">MAX(F173:J173)</f>
        <v>2.5</v>
      </c>
      <c r="M173" s="28" t="n">
        <f aca="false">IF(L173&gt;=Config!$C$13,MAX(K173,Config!$C$14),K173)</f>
        <v>1.97857142857143</v>
      </c>
      <c r="N173" s="30" t="n">
        <f aca="false">IF(Config!$C$12="Weighted average",K173,IF(Config!$C$12="Weighted with floor",M173,L173))</f>
        <v>1.97857142857143</v>
      </c>
      <c r="O173" s="31" t="n">
        <f aca="false">IF(N173&lt;Config!$D$5,"",MATCH(N173,Config!$D$5:$D$9,1))</f>
        <v>2</v>
      </c>
      <c r="P173" s="7" t="str">
        <f aca="false">IF(O173="","No data",INDEX(Config!$B$5:$B$9,O173))</f>
        <v>Medium-Low</v>
      </c>
      <c r="Q173" s="32" t="n">
        <v>0</v>
      </c>
      <c r="R173" s="8"/>
      <c r="S173" s="33"/>
      <c r="T173" s="34" t="n">
        <f aca="false">IF(O173="","",IF(AND(S173="Y",Q173&lt;&gt;0),MAX(1,MIN(5,O173+MAX(-Config!$C$27,MIN(Config!$C$27,Q173)))),O173))</f>
        <v>2</v>
      </c>
      <c r="U173" s="35" t="str">
        <f aca="false">IF(T173="","No data",INDEX(Config!$B$5:$B$9,T173))</f>
        <v>Medium-Low</v>
      </c>
      <c r="V173" s="7" t="str">
        <f aca="false">IF(Q173=0,"None",IF(S173="Y","Applied","Pending HO approval"))</f>
        <v>None</v>
      </c>
      <c r="W173" s="36" t="n">
        <f aca="false">SUMPRODUCT((Indicators!$K$5:$K$35&gt;0)*('Indicator Data'!$AB$5:$AB$35&lt;&gt;""))/SUMPRODUCT(--(Indicators!$K$5:$K$35&gt;0))</f>
        <v>1</v>
      </c>
    </row>
    <row r="174" customFormat="false" ht="15" hidden="false" customHeight="false" outlineLevel="0" collapsed="false">
      <c r="A174" s="26" t="str">
        <f aca="false">Entities!$A$29</f>
        <v>IT</v>
      </c>
      <c r="B174" s="12" t="str">
        <f aca="false">INDEX(Entities!$B$5:$B$34,MATCH(A174,Entities!$A$5:$A$34,0))</f>
        <v>Arab Bank – Italy</v>
      </c>
      <c r="C174" s="12" t="str">
        <f aca="false">INDEX(Entities!$D$5:$D$34,MATCH(A174,Entities!$A$5:$A$34,0))</f>
        <v>Europe</v>
      </c>
      <c r="D174" s="12" t="s">
        <v>240</v>
      </c>
      <c r="E174" s="12" t="str">
        <f aca="false">INDEX('Risk Taxonomy'!$B$5:$B$24,MATCH(D174,'Risk Taxonomy'!$A$5:$A$24,0))</f>
        <v>Terrorist financing</v>
      </c>
      <c r="F174" s="28" t="n">
        <f aca="false">IFERROR(SUMPRODUCT((Indicators!$B$5:$B$35=F$4)*Indicators!$L$5:$L$35*'Indicator Scores'!$AB$5:$AB$35)/SUMPRODUCT((Indicators!$B$5:$B$35=F$4)*Indicators!$L$5:$L$35*('Indicator Scores'!$AB$5:$AB$35&gt;0)),0)</f>
        <v>2.3</v>
      </c>
      <c r="G174" s="28" t="n">
        <f aca="false">IFERROR(SUMPRODUCT((Indicators!$B$5:$B$35=G$4)*Indicators!$L$5:$L$35*'Indicator Scores'!$AB$5:$AB$35)/SUMPRODUCT((Indicators!$B$5:$B$35=G$4)*Indicators!$L$5:$L$35*('Indicator Scores'!$AB$5:$AB$35&gt;0)),0)</f>
        <v>1.66666666666667</v>
      </c>
      <c r="H174" s="28" t="n">
        <f aca="false">IFERROR(SUMPRODUCT((Indicators!$B$5:$B$35=H$4)*Indicators!$L$5:$L$35*'Indicator Scores'!$AB$5:$AB$35)/SUMPRODUCT((Indicators!$B$5:$B$35=H$4)*Indicators!$L$5:$L$35*('Indicator Scores'!$AB$5:$AB$35&gt;0)),0)</f>
        <v>1.66666666666667</v>
      </c>
      <c r="I174" s="28" t="n">
        <f aca="false">IFERROR(SUMPRODUCT((Indicators!$B$5:$B$35=I$4)*Indicators!$L$5:$L$35*'Indicator Scores'!$AB$5:$AB$35)/SUMPRODUCT((Indicators!$B$5:$B$35=I$4)*Indicators!$L$5:$L$35*('Indicator Scores'!$AB$5:$AB$35&gt;0)),0)</f>
        <v>1.66666666666667</v>
      </c>
      <c r="J174" s="28" t="n">
        <f aca="false">IFERROR(SUMPRODUCT((Indicators!$B$5:$B$35=J$4)*Indicators!$L$5:$L$35*'Indicator Scores'!$AB$5:$AB$35)/SUMPRODUCT((Indicators!$B$5:$B$35=J$4)*Indicators!$L$5:$L$35*('Indicator Scores'!$AB$5:$AB$35&gt;0)),0)</f>
        <v>1.28571428571429</v>
      </c>
      <c r="K174" s="28" t="n">
        <f aca="false">IFERROR(SUMPRODUCT(F174:J174,INDEX('Factor Weights'!$C$5:$G$11,MATCH(D174,'Factor Weights'!$A$5:$A$11,0),0))/SUMPRODUCT((F174:J174&gt;0)*INDEX('Factor Weights'!$C$5:$G$11,MATCH(D174,'Factor Weights'!$A$5:$A$11,0),0)),0)</f>
        <v>1.74880952380952</v>
      </c>
      <c r="L174" s="29" t="n">
        <f aca="false">MAX(F174:J174)</f>
        <v>2.3</v>
      </c>
      <c r="M174" s="28" t="n">
        <f aca="false">IF(L174&gt;=Config!$C$13,MAX(K174,Config!$C$14),K174)</f>
        <v>1.74880952380952</v>
      </c>
      <c r="N174" s="30" t="n">
        <f aca="false">IF(Config!$C$12="Weighted average",K174,IF(Config!$C$12="Weighted with floor",M174,L174))</f>
        <v>1.74880952380952</v>
      </c>
      <c r="O174" s="31" t="n">
        <f aca="false">IF(N174&lt;Config!$D$5,"",MATCH(N174,Config!$D$5:$D$9,1))</f>
        <v>1</v>
      </c>
      <c r="P174" s="7" t="str">
        <f aca="false">IF(O174="","No data",INDEX(Config!$B$5:$B$9,O174))</f>
        <v>Low</v>
      </c>
      <c r="Q174" s="32" t="n">
        <v>0</v>
      </c>
      <c r="R174" s="8"/>
      <c r="S174" s="33"/>
      <c r="T174" s="34" t="n">
        <f aca="false">IF(O174="","",IF(AND(S174="Y",Q174&lt;&gt;0),MAX(1,MIN(5,O174+MAX(-Config!$C$27,MIN(Config!$C$27,Q174)))),O174))</f>
        <v>1</v>
      </c>
      <c r="U174" s="35" t="str">
        <f aca="false">IF(T174="","No data",INDEX(Config!$B$5:$B$9,T174))</f>
        <v>Low</v>
      </c>
      <c r="V174" s="7" t="str">
        <f aca="false">IF(Q174=0,"None",IF(S174="Y","Applied","Pending HO approval"))</f>
        <v>None</v>
      </c>
      <c r="W174" s="36" t="n">
        <f aca="false">SUMPRODUCT((Indicators!$L$5:$L$35&gt;0)*('Indicator Data'!$AB$5:$AB$35&lt;&gt;""))/SUMPRODUCT(--(Indicators!$L$5:$L$35&gt;0))</f>
        <v>1</v>
      </c>
    </row>
    <row r="175" customFormat="false" ht="15" hidden="false" customHeight="false" outlineLevel="0" collapsed="false">
      <c r="A175" s="26" t="str">
        <f aca="false">Entities!$A$29</f>
        <v>IT</v>
      </c>
      <c r="B175" s="12" t="str">
        <f aca="false">INDEX(Entities!$B$5:$B$34,MATCH(A175,Entities!$A$5:$A$34,0))</f>
        <v>Arab Bank – Italy</v>
      </c>
      <c r="C175" s="12" t="str">
        <f aca="false">INDEX(Entities!$D$5:$D$34,MATCH(A175,Entities!$A$5:$A$34,0))</f>
        <v>Europe</v>
      </c>
      <c r="D175" s="12" t="s">
        <v>243</v>
      </c>
      <c r="E175" s="12" t="str">
        <f aca="false">INDEX('Risk Taxonomy'!$B$5:$B$24,MATCH(D175,'Risk Taxonomy'!$A$5:$A$24,0))</f>
        <v>Proliferation financing</v>
      </c>
      <c r="F175" s="28" t="n">
        <f aca="false">IFERROR(SUMPRODUCT((Indicators!$B$5:$B$35=F$4)*Indicators!$M$5:$M$35*'Indicator Scores'!$AB$5:$AB$35)/SUMPRODUCT((Indicators!$B$5:$B$35=F$4)*Indicators!$M$5:$M$35*('Indicator Scores'!$AB$5:$AB$35&gt;0)),0)</f>
        <v>2.75</v>
      </c>
      <c r="G175" s="28" t="n">
        <f aca="false">IFERROR(SUMPRODUCT((Indicators!$B$5:$B$35=G$4)*Indicators!$M$5:$M$35*'Indicator Scores'!$AB$5:$AB$35)/SUMPRODUCT((Indicators!$B$5:$B$35=G$4)*Indicators!$M$5:$M$35*('Indicator Scores'!$AB$5:$AB$35&gt;0)),0)</f>
        <v>1.875</v>
      </c>
      <c r="H175" s="28" t="n">
        <f aca="false">IFERROR(SUMPRODUCT((Indicators!$B$5:$B$35=H$4)*Indicators!$M$5:$M$35*'Indicator Scores'!$AB$5:$AB$35)/SUMPRODUCT((Indicators!$B$5:$B$35=H$4)*Indicators!$M$5:$M$35*('Indicator Scores'!$AB$5:$AB$35&gt;0)),0)</f>
        <v>1.77777777777778</v>
      </c>
      <c r="I175" s="28" t="n">
        <f aca="false">IFERROR(SUMPRODUCT((Indicators!$B$5:$B$35=I$4)*Indicators!$M$5:$M$35*'Indicator Scores'!$AB$5:$AB$35)/SUMPRODUCT((Indicators!$B$5:$B$35=I$4)*Indicators!$M$5:$M$35*('Indicator Scores'!$AB$5:$AB$35&gt;0)),0)</f>
        <v>1.33333333333333</v>
      </c>
      <c r="J175" s="28" t="n">
        <f aca="false">IFERROR(SUMPRODUCT((Indicators!$B$5:$B$35=J$4)*Indicators!$M$5:$M$35*'Indicator Scores'!$AB$5:$AB$35)/SUMPRODUCT((Indicators!$B$5:$B$35=J$4)*Indicators!$M$5:$M$35*('Indicator Scores'!$AB$5:$AB$35&gt;0)),0)</f>
        <v>2</v>
      </c>
      <c r="K175" s="28" t="n">
        <f aca="false">IFERROR(SUMPRODUCT(F175:J175,INDEX('Factor Weights'!$C$5:$G$11,MATCH(D175,'Factor Weights'!$A$5:$A$11,0),0))/SUMPRODUCT((F175:J175&gt;0)*INDEX('Factor Weights'!$C$5:$G$11,MATCH(D175,'Factor Weights'!$A$5:$A$11,0),0)),0)</f>
        <v>1.975</v>
      </c>
      <c r="L175" s="29" t="n">
        <f aca="false">MAX(F175:J175)</f>
        <v>2.75</v>
      </c>
      <c r="M175" s="28" t="n">
        <f aca="false">IF(L175&gt;=Config!$C$13,MAX(K175,Config!$C$14),K175)</f>
        <v>1.975</v>
      </c>
      <c r="N175" s="30" t="n">
        <f aca="false">IF(Config!$C$12="Weighted average",K175,IF(Config!$C$12="Weighted with floor",M175,L175))</f>
        <v>1.975</v>
      </c>
      <c r="O175" s="31" t="n">
        <f aca="false">IF(N175&lt;Config!$D$5,"",MATCH(N175,Config!$D$5:$D$9,1))</f>
        <v>2</v>
      </c>
      <c r="P175" s="7" t="str">
        <f aca="false">IF(O175="","No data",INDEX(Config!$B$5:$B$9,O175))</f>
        <v>Medium-Low</v>
      </c>
      <c r="Q175" s="32" t="n">
        <v>0</v>
      </c>
      <c r="R175" s="8"/>
      <c r="S175" s="33"/>
      <c r="T175" s="34" t="n">
        <f aca="false">IF(O175="","",IF(AND(S175="Y",Q175&lt;&gt;0),MAX(1,MIN(5,O175+MAX(-Config!$C$27,MIN(Config!$C$27,Q175)))),O175))</f>
        <v>2</v>
      </c>
      <c r="U175" s="35" t="str">
        <f aca="false">IF(T175="","No data",INDEX(Config!$B$5:$B$9,T175))</f>
        <v>Medium-Low</v>
      </c>
      <c r="V175" s="7" t="str">
        <f aca="false">IF(Q175=0,"None",IF(S175="Y","Applied","Pending HO approval"))</f>
        <v>None</v>
      </c>
      <c r="W175" s="36" t="n">
        <f aca="false">SUMPRODUCT((Indicators!$M$5:$M$35&gt;0)*('Indicator Data'!$AB$5:$AB$35&lt;&gt;""))/SUMPRODUCT(--(Indicators!$M$5:$M$35&gt;0))</f>
        <v>1</v>
      </c>
    </row>
    <row r="176" customFormat="false" ht="15" hidden="false" customHeight="false" outlineLevel="0" collapsed="false">
      <c r="A176" s="26" t="str">
        <f aca="false">Entities!$A$29</f>
        <v>IT</v>
      </c>
      <c r="B176" s="12" t="str">
        <f aca="false">INDEX(Entities!$B$5:$B$34,MATCH(A176,Entities!$A$5:$A$34,0))</f>
        <v>Arab Bank – Italy</v>
      </c>
      <c r="C176" s="12" t="str">
        <f aca="false">INDEX(Entities!$D$5:$D$34,MATCH(A176,Entities!$A$5:$A$34,0))</f>
        <v>Europe</v>
      </c>
      <c r="D176" s="12" t="s">
        <v>245</v>
      </c>
      <c r="E176" s="12" t="str">
        <f aca="false">INDEX('Risk Taxonomy'!$B$5:$B$24,MATCH(D176,'Risk Taxonomy'!$A$5:$A$24,0))</f>
        <v>Sanctions</v>
      </c>
      <c r="F176" s="28" t="n">
        <f aca="false">IFERROR(SUMPRODUCT((Indicators!$B$5:$B$35=F$4)*Indicators!$N$5:$N$35*'Indicator Scores'!$AB$5:$AB$35)/SUMPRODUCT((Indicators!$B$5:$B$35=F$4)*Indicators!$N$5:$N$35*('Indicator Scores'!$AB$5:$AB$35&gt;0)),0)</f>
        <v>2.42857142857143</v>
      </c>
      <c r="G176" s="28" t="n">
        <f aca="false">IFERROR(SUMPRODUCT((Indicators!$B$5:$B$35=G$4)*Indicators!$N$5:$N$35*'Indicator Scores'!$AB$5:$AB$35)/SUMPRODUCT((Indicators!$B$5:$B$35=G$4)*Indicators!$N$5:$N$35*('Indicator Scores'!$AB$5:$AB$35&gt;0)),0)</f>
        <v>1.85714285714286</v>
      </c>
      <c r="H176" s="28" t="n">
        <f aca="false">IFERROR(SUMPRODUCT((Indicators!$B$5:$B$35=H$4)*Indicators!$N$5:$N$35*'Indicator Scores'!$AB$5:$AB$35)/SUMPRODUCT((Indicators!$B$5:$B$35=H$4)*Indicators!$N$5:$N$35*('Indicator Scores'!$AB$5:$AB$35&gt;0)),0)</f>
        <v>1.625</v>
      </c>
      <c r="I176" s="28" t="n">
        <f aca="false">IFERROR(SUMPRODUCT((Indicators!$B$5:$B$35=I$4)*Indicators!$N$5:$N$35*'Indicator Scores'!$AB$5:$AB$35)/SUMPRODUCT((Indicators!$B$5:$B$35=I$4)*Indicators!$N$5:$N$35*('Indicator Scores'!$AB$5:$AB$35&gt;0)),0)</f>
        <v>1.66666666666667</v>
      </c>
      <c r="J176" s="28" t="n">
        <f aca="false">IFERROR(SUMPRODUCT((Indicators!$B$5:$B$35=J$4)*Indicators!$N$5:$N$35*'Indicator Scores'!$AB$5:$AB$35)/SUMPRODUCT((Indicators!$B$5:$B$35=J$4)*Indicators!$N$5:$N$35*('Indicator Scores'!$AB$5:$AB$35&gt;0)),0)</f>
        <v>2</v>
      </c>
      <c r="K176" s="28" t="n">
        <f aca="false">IFERROR(SUMPRODUCT(F176:J176,INDEX('Factor Weights'!$C$5:$G$11,MATCH(D176,'Factor Weights'!$A$5:$A$11,0),0))/SUMPRODUCT((F176:J176&gt;0)*INDEX('Factor Weights'!$C$5:$G$11,MATCH(D176,'Factor Weights'!$A$5:$A$11,0),0)),0)</f>
        <v>1.91547619047619</v>
      </c>
      <c r="L176" s="29" t="n">
        <f aca="false">MAX(F176:J176)</f>
        <v>2.42857142857143</v>
      </c>
      <c r="M176" s="28" t="n">
        <f aca="false">IF(L176&gt;=Config!$C$13,MAX(K176,Config!$C$14),K176)</f>
        <v>1.91547619047619</v>
      </c>
      <c r="N176" s="30" t="n">
        <f aca="false">IF(Config!$C$12="Weighted average",K176,IF(Config!$C$12="Weighted with floor",M176,L176))</f>
        <v>1.91547619047619</v>
      </c>
      <c r="O176" s="31" t="n">
        <f aca="false">IF(N176&lt;Config!$D$5,"",MATCH(N176,Config!$D$5:$D$9,1))</f>
        <v>2</v>
      </c>
      <c r="P176" s="7" t="str">
        <f aca="false">IF(O176="","No data",INDEX(Config!$B$5:$B$9,O176))</f>
        <v>Medium-Low</v>
      </c>
      <c r="Q176" s="32" t="n">
        <v>0</v>
      </c>
      <c r="R176" s="8"/>
      <c r="S176" s="33"/>
      <c r="T176" s="34" t="n">
        <f aca="false">IF(O176="","",IF(AND(S176="Y",Q176&lt;&gt;0),MAX(1,MIN(5,O176+MAX(-Config!$C$27,MIN(Config!$C$27,Q176)))),O176))</f>
        <v>2</v>
      </c>
      <c r="U176" s="35" t="str">
        <f aca="false">IF(T176="","No data",INDEX(Config!$B$5:$B$9,T176))</f>
        <v>Medium-Low</v>
      </c>
      <c r="V176" s="7" t="str">
        <f aca="false">IF(Q176=0,"None",IF(S176="Y","Applied","Pending HO approval"))</f>
        <v>None</v>
      </c>
      <c r="W176" s="36" t="n">
        <f aca="false">SUMPRODUCT((Indicators!$N$5:$N$35&gt;0)*('Indicator Data'!$AB$5:$AB$35&lt;&gt;""))/SUMPRODUCT(--(Indicators!$N$5:$N$35&gt;0))</f>
        <v>1</v>
      </c>
    </row>
    <row r="177" customFormat="false" ht="15" hidden="false" customHeight="false" outlineLevel="0" collapsed="false">
      <c r="A177" s="26" t="str">
        <f aca="false">Entities!$A$29</f>
        <v>IT</v>
      </c>
      <c r="B177" s="12" t="str">
        <f aca="false">INDEX(Entities!$B$5:$B$34,MATCH(A177,Entities!$A$5:$A$34,0))</f>
        <v>Arab Bank – Italy</v>
      </c>
      <c r="C177" s="12" t="str">
        <f aca="false">INDEX(Entities!$D$5:$D$34,MATCH(A177,Entities!$A$5:$A$34,0))</f>
        <v>Europe</v>
      </c>
      <c r="D177" s="12" t="s">
        <v>248</v>
      </c>
      <c r="E177" s="12" t="str">
        <f aca="false">INDEX('Risk Taxonomy'!$B$5:$B$24,MATCH(D177,'Risk Taxonomy'!$A$5:$A$24,0))</f>
        <v>Bribery and corruption</v>
      </c>
      <c r="F177" s="28" t="n">
        <f aca="false">IFERROR(SUMPRODUCT((Indicators!$B$5:$B$35=F$4)*Indicators!$O$5:$O$35*'Indicator Scores'!$AB$5:$AB$35)/SUMPRODUCT((Indicators!$B$5:$B$35=F$4)*Indicators!$O$5:$O$35*('Indicator Scores'!$AB$5:$AB$35&gt;0)),0)</f>
        <v>2.66666666666667</v>
      </c>
      <c r="G177" s="28" t="n">
        <f aca="false">IFERROR(SUMPRODUCT((Indicators!$B$5:$B$35=G$4)*Indicators!$O$5:$O$35*'Indicator Scores'!$AB$5:$AB$35)/SUMPRODUCT((Indicators!$B$5:$B$35=G$4)*Indicators!$O$5:$O$35*('Indicator Scores'!$AB$5:$AB$35&gt;0)),0)</f>
        <v>2.6</v>
      </c>
      <c r="H177" s="28" t="n">
        <f aca="false">IFERROR(SUMPRODUCT((Indicators!$B$5:$B$35=H$4)*Indicators!$O$5:$O$35*'Indicator Scores'!$AB$5:$AB$35)/SUMPRODUCT((Indicators!$B$5:$B$35=H$4)*Indicators!$O$5:$O$35*('Indicator Scores'!$AB$5:$AB$35&gt;0)),0)</f>
        <v>1.5</v>
      </c>
      <c r="I177" s="28" t="n">
        <f aca="false">IFERROR(SUMPRODUCT((Indicators!$B$5:$B$35=I$4)*Indicators!$O$5:$O$35*'Indicator Scores'!$AB$5:$AB$35)/SUMPRODUCT((Indicators!$B$5:$B$35=I$4)*Indicators!$O$5:$O$35*('Indicator Scores'!$AB$5:$AB$35&gt;0)),0)</f>
        <v>1</v>
      </c>
      <c r="J177" s="28" t="n">
        <f aca="false">IFERROR(SUMPRODUCT((Indicators!$B$5:$B$35=J$4)*Indicators!$O$5:$O$35*'Indicator Scores'!$AB$5:$AB$35)/SUMPRODUCT((Indicators!$B$5:$B$35=J$4)*Indicators!$O$5:$O$35*('Indicator Scores'!$AB$5:$AB$35&gt;0)),0)</f>
        <v>2</v>
      </c>
      <c r="K177" s="28" t="n">
        <f aca="false">IFERROR(SUMPRODUCT(F177:J177,INDEX('Factor Weights'!$C$5:$G$11,MATCH(D177,'Factor Weights'!$A$5:$A$11,0),0))/SUMPRODUCT((F177:J177&gt;0)*INDEX('Factor Weights'!$C$5:$G$11,MATCH(D177,'Factor Weights'!$A$5:$A$11,0),0)),0)</f>
        <v>2.075</v>
      </c>
      <c r="L177" s="29" t="n">
        <f aca="false">MAX(F177:J177)</f>
        <v>2.66666666666667</v>
      </c>
      <c r="M177" s="28" t="n">
        <f aca="false">IF(L177&gt;=Config!$C$13,MAX(K177,Config!$C$14),K177)</f>
        <v>2.075</v>
      </c>
      <c r="N177" s="30" t="n">
        <f aca="false">IF(Config!$C$12="Weighted average",K177,IF(Config!$C$12="Weighted with floor",M177,L177))</f>
        <v>2.075</v>
      </c>
      <c r="O177" s="31" t="n">
        <f aca="false">IF(N177&lt;Config!$D$5,"",MATCH(N177,Config!$D$5:$D$9,1))</f>
        <v>2</v>
      </c>
      <c r="P177" s="7" t="str">
        <f aca="false">IF(O177="","No data",INDEX(Config!$B$5:$B$9,O177))</f>
        <v>Medium-Low</v>
      </c>
      <c r="Q177" s="32" t="n">
        <v>0</v>
      </c>
      <c r="R177" s="8"/>
      <c r="S177" s="33"/>
      <c r="T177" s="34" t="n">
        <f aca="false">IF(O177="","",IF(AND(S177="Y",Q177&lt;&gt;0),MAX(1,MIN(5,O177+MAX(-Config!$C$27,MIN(Config!$C$27,Q177)))),O177))</f>
        <v>2</v>
      </c>
      <c r="U177" s="35" t="str">
        <f aca="false">IF(T177="","No data",INDEX(Config!$B$5:$B$9,T177))</f>
        <v>Medium-Low</v>
      </c>
      <c r="V177" s="7" t="str">
        <f aca="false">IF(Q177=0,"None",IF(S177="Y","Applied","Pending HO approval"))</f>
        <v>None</v>
      </c>
      <c r="W177" s="36" t="n">
        <f aca="false">SUMPRODUCT((Indicators!$O$5:$O$35&gt;0)*('Indicator Data'!$AB$5:$AB$35&lt;&gt;""))/SUMPRODUCT(--(Indicators!$O$5:$O$35&gt;0))</f>
        <v>1</v>
      </c>
    </row>
    <row r="178" customFormat="false" ht="15" hidden="false" customHeight="false" outlineLevel="0" collapsed="false">
      <c r="A178" s="26" t="str">
        <f aca="false">Entities!$A$29</f>
        <v>IT</v>
      </c>
      <c r="B178" s="12" t="str">
        <f aca="false">INDEX(Entities!$B$5:$B$34,MATCH(A178,Entities!$A$5:$A$34,0))</f>
        <v>Arab Bank – Italy</v>
      </c>
      <c r="C178" s="12" t="str">
        <f aca="false">INDEX(Entities!$D$5:$D$34,MATCH(A178,Entities!$A$5:$A$34,0))</f>
        <v>Europe</v>
      </c>
      <c r="D178" s="12" t="s">
        <v>251</v>
      </c>
      <c r="E178" s="12" t="str">
        <f aca="false">INDEX('Risk Taxonomy'!$B$5:$B$24,MATCH(D178,'Risk Taxonomy'!$A$5:$A$24,0))</f>
        <v>Fraud</v>
      </c>
      <c r="F178" s="28" t="n">
        <f aca="false">IFERROR(SUMPRODUCT((Indicators!$B$5:$B$35=F$4)*Indicators!$P$5:$P$35*'Indicator Scores'!$AB$5:$AB$35)/SUMPRODUCT((Indicators!$B$5:$B$35=F$4)*Indicators!$P$5:$P$35*('Indicator Scores'!$AB$5:$AB$35&gt;0)),0)</f>
        <v>2.33333333333333</v>
      </c>
      <c r="G178" s="28" t="n">
        <f aca="false">IFERROR(SUMPRODUCT((Indicators!$B$5:$B$35=G$4)*Indicators!$P$5:$P$35*'Indicator Scores'!$AB$5:$AB$35)/SUMPRODUCT((Indicators!$B$5:$B$35=G$4)*Indicators!$P$5:$P$35*('Indicator Scores'!$AB$5:$AB$35&gt;0)),0)</f>
        <v>2</v>
      </c>
      <c r="H178" s="28" t="n">
        <f aca="false">IFERROR(SUMPRODUCT((Indicators!$B$5:$B$35=H$4)*Indicators!$P$5:$P$35*'Indicator Scores'!$AB$5:$AB$35)/SUMPRODUCT((Indicators!$B$5:$B$35=H$4)*Indicators!$P$5:$P$35*('Indicator Scores'!$AB$5:$AB$35&gt;0)),0)</f>
        <v>2</v>
      </c>
      <c r="I178" s="28" t="n">
        <f aca="false">IFERROR(SUMPRODUCT((Indicators!$B$5:$B$35=I$4)*Indicators!$P$5:$P$35*'Indicator Scores'!$AB$5:$AB$35)/SUMPRODUCT((Indicators!$B$5:$B$35=I$4)*Indicators!$P$5:$P$35*('Indicator Scores'!$AB$5:$AB$35&gt;0)),0)</f>
        <v>2</v>
      </c>
      <c r="J178" s="28" t="n">
        <f aca="false">IFERROR(SUMPRODUCT((Indicators!$B$5:$B$35=J$4)*Indicators!$P$5:$P$35*'Indicator Scores'!$AB$5:$AB$35)/SUMPRODUCT((Indicators!$B$5:$B$35=J$4)*Indicators!$P$5:$P$35*('Indicator Scores'!$AB$5:$AB$35&gt;0)),0)</f>
        <v>1.8</v>
      </c>
      <c r="K178" s="28" t="n">
        <f aca="false">IFERROR(SUMPRODUCT(F178:J178,INDEX('Factor Weights'!$C$5:$G$11,MATCH(D178,'Factor Weights'!$A$5:$A$11,0),0))/SUMPRODUCT((F178:J178&gt;0)*INDEX('Factor Weights'!$C$5:$G$11,MATCH(D178,'Factor Weights'!$A$5:$A$11,0),0)),0)</f>
        <v>2.02666666666667</v>
      </c>
      <c r="L178" s="29" t="n">
        <f aca="false">MAX(F178:J178)</f>
        <v>2.33333333333333</v>
      </c>
      <c r="M178" s="28" t="n">
        <f aca="false">IF(L178&gt;=Config!$C$13,MAX(K178,Config!$C$14),K178)</f>
        <v>2.02666666666667</v>
      </c>
      <c r="N178" s="30" t="n">
        <f aca="false">IF(Config!$C$12="Weighted average",K178,IF(Config!$C$12="Weighted with floor",M178,L178))</f>
        <v>2.02666666666667</v>
      </c>
      <c r="O178" s="31" t="n">
        <f aca="false">IF(N178&lt;Config!$D$5,"",MATCH(N178,Config!$D$5:$D$9,1))</f>
        <v>2</v>
      </c>
      <c r="P178" s="7" t="str">
        <f aca="false">IF(O178="","No data",INDEX(Config!$B$5:$B$9,O178))</f>
        <v>Medium-Low</v>
      </c>
      <c r="Q178" s="32" t="n">
        <v>0</v>
      </c>
      <c r="R178" s="8"/>
      <c r="S178" s="33"/>
      <c r="T178" s="34" t="n">
        <f aca="false">IF(O178="","",IF(AND(S178="Y",Q178&lt;&gt;0),MAX(1,MIN(5,O178+MAX(-Config!$C$27,MIN(Config!$C$27,Q178)))),O178))</f>
        <v>2</v>
      </c>
      <c r="U178" s="35" t="str">
        <f aca="false">IF(T178="","No data",INDEX(Config!$B$5:$B$9,T178))</f>
        <v>Medium-Low</v>
      </c>
      <c r="V178" s="7" t="str">
        <f aca="false">IF(Q178=0,"None",IF(S178="Y","Applied","Pending HO approval"))</f>
        <v>None</v>
      </c>
      <c r="W178" s="36" t="n">
        <f aca="false">SUMPRODUCT((Indicators!$P$5:$P$35&gt;0)*('Indicator Data'!$AB$5:$AB$35&lt;&gt;""))/SUMPRODUCT(--(Indicators!$P$5:$P$35&gt;0))</f>
        <v>1</v>
      </c>
    </row>
    <row r="179" customFormat="false" ht="15" hidden="false" customHeight="false" outlineLevel="0" collapsed="false">
      <c r="A179" s="26" t="str">
        <f aca="false">Entities!$A$29</f>
        <v>IT</v>
      </c>
      <c r="B179" s="12" t="str">
        <f aca="false">INDEX(Entities!$B$5:$B$34,MATCH(A179,Entities!$A$5:$A$34,0))</f>
        <v>Arab Bank – Italy</v>
      </c>
      <c r="C179" s="12" t="str">
        <f aca="false">INDEX(Entities!$D$5:$D$34,MATCH(A179,Entities!$A$5:$A$34,0))</f>
        <v>Europe</v>
      </c>
      <c r="D179" s="12" t="s">
        <v>254</v>
      </c>
      <c r="E179" s="12" t="str">
        <f aca="false">INDEX('Risk Taxonomy'!$B$5:$B$24,MATCH(D179,'Risk Taxonomy'!$A$5:$A$24,0))</f>
        <v>Tax evasion and tax transparency</v>
      </c>
      <c r="F179" s="28" t="n">
        <f aca="false">IFERROR(SUMPRODUCT((Indicators!$B$5:$B$35=F$4)*Indicators!$Q$5:$Q$35*'Indicator Scores'!$AB$5:$AB$35)/SUMPRODUCT((Indicators!$B$5:$B$35=F$4)*Indicators!$Q$5:$Q$35*('Indicator Scores'!$AB$5:$AB$35&gt;0)),0)</f>
        <v>2.22222222222222</v>
      </c>
      <c r="G179" s="28" t="n">
        <f aca="false">IFERROR(SUMPRODUCT((Indicators!$B$5:$B$35=G$4)*Indicators!$Q$5:$Q$35*'Indicator Scores'!$AB$5:$AB$35)/SUMPRODUCT((Indicators!$B$5:$B$35=G$4)*Indicators!$Q$5:$Q$35*('Indicator Scores'!$AB$5:$AB$35&gt;0)),0)</f>
        <v>2.16666666666667</v>
      </c>
      <c r="H179" s="28" t="n">
        <f aca="false">IFERROR(SUMPRODUCT((Indicators!$B$5:$B$35=H$4)*Indicators!$Q$5:$Q$35*'Indicator Scores'!$AB$5:$AB$35)/SUMPRODUCT((Indicators!$B$5:$B$35=H$4)*Indicators!$Q$5:$Q$35*('Indicator Scores'!$AB$5:$AB$35&gt;0)),0)</f>
        <v>1.33333333333333</v>
      </c>
      <c r="I179" s="28" t="n">
        <f aca="false">IFERROR(SUMPRODUCT((Indicators!$B$5:$B$35=I$4)*Indicators!$Q$5:$Q$35*'Indicator Scores'!$AB$5:$AB$35)/SUMPRODUCT((Indicators!$B$5:$B$35=I$4)*Indicators!$Q$5:$Q$35*('Indicator Scores'!$AB$5:$AB$35&gt;0)),0)</f>
        <v>2</v>
      </c>
      <c r="J179" s="28" t="n">
        <f aca="false">IFERROR(SUMPRODUCT((Indicators!$B$5:$B$35=J$4)*Indicators!$Q$5:$Q$35*'Indicator Scores'!$AB$5:$AB$35)/SUMPRODUCT((Indicators!$B$5:$B$35=J$4)*Indicators!$Q$5:$Q$35*('Indicator Scores'!$AB$5:$AB$35&gt;0)),0)</f>
        <v>1.2</v>
      </c>
      <c r="K179" s="28" t="n">
        <f aca="false">IFERROR(SUMPRODUCT(F179:J179,INDEX('Factor Weights'!$C$5:$G$11,MATCH(D179,'Factor Weights'!$A$5:$A$11,0),0))/SUMPRODUCT((F179:J179&gt;0)*INDEX('Factor Weights'!$C$5:$G$11,MATCH(D179,'Factor Weights'!$A$5:$A$11,0),0)),0)</f>
        <v>1.90611111111111</v>
      </c>
      <c r="L179" s="29" t="n">
        <f aca="false">MAX(F179:J179)</f>
        <v>2.22222222222222</v>
      </c>
      <c r="M179" s="28" t="n">
        <f aca="false">IF(L179&gt;=Config!$C$13,MAX(K179,Config!$C$14),K179)</f>
        <v>1.90611111111111</v>
      </c>
      <c r="N179" s="30" t="n">
        <f aca="false">IF(Config!$C$12="Weighted average",K179,IF(Config!$C$12="Weighted with floor",M179,L179))</f>
        <v>1.90611111111111</v>
      </c>
      <c r="O179" s="31" t="n">
        <f aca="false">IF(N179&lt;Config!$D$5,"",MATCH(N179,Config!$D$5:$D$9,1))</f>
        <v>2</v>
      </c>
      <c r="P179" s="7" t="str">
        <f aca="false">IF(O179="","No data",INDEX(Config!$B$5:$B$9,O179))</f>
        <v>Medium-Low</v>
      </c>
      <c r="Q179" s="32" t="n">
        <v>0</v>
      </c>
      <c r="R179" s="8"/>
      <c r="S179" s="33"/>
      <c r="T179" s="34" t="n">
        <f aca="false">IF(O179="","",IF(AND(S179="Y",Q179&lt;&gt;0),MAX(1,MIN(5,O179+MAX(-Config!$C$27,MIN(Config!$C$27,Q179)))),O179))</f>
        <v>2</v>
      </c>
      <c r="U179" s="35" t="str">
        <f aca="false">IF(T179="","No data",INDEX(Config!$B$5:$B$9,T179))</f>
        <v>Medium-Low</v>
      </c>
      <c r="V179" s="7" t="str">
        <f aca="false">IF(Q179=0,"None",IF(S179="Y","Applied","Pending HO approval"))</f>
        <v>None</v>
      </c>
      <c r="W179" s="36" t="n">
        <f aca="false">SUMPRODUCT((Indicators!$Q$5:$Q$35&gt;0)*('Indicator Data'!$AB$5:$AB$35&lt;&gt;""))/SUMPRODUCT(--(Indicators!$Q$5:$Q$35&gt;0))</f>
        <v>1</v>
      </c>
    </row>
    <row r="180" customFormat="false" ht="15" hidden="false" customHeight="false" outlineLevel="0" collapsed="false">
      <c r="A180" s="26" t="str">
        <f aca="false">Entities!$A$30</f>
        <v>CH</v>
      </c>
      <c r="B180" s="12" t="str">
        <f aca="false">INDEX(Entities!$B$5:$B$34,MATCH(A180,Entities!$A$5:$A$34,0))</f>
        <v>Arab Bank (Switzerland) – sister company</v>
      </c>
      <c r="C180" s="12" t="str">
        <f aca="false">INDEX(Entities!$D$5:$D$34,MATCH(A180,Entities!$A$5:$A$34,0))</f>
        <v>Europe</v>
      </c>
      <c r="D180" s="12" t="s">
        <v>233</v>
      </c>
      <c r="E180" s="12" t="str">
        <f aca="false">INDEX('Risk Taxonomy'!$B$5:$B$24,MATCH(D180,'Risk Taxonomy'!$A$5:$A$24,0))</f>
        <v>Money laundering</v>
      </c>
      <c r="F180" s="28" t="n">
        <f aca="false">IFERROR(SUMPRODUCT((Indicators!$B$5:$B$35=F$4)*Indicators!$K$5:$K$35*'Indicator Scores'!$AC$5:$AC$35)/SUMPRODUCT((Indicators!$B$5:$B$35=F$4)*Indicators!$K$5:$K$35*('Indicator Scores'!$AC$5:$AC$35&gt;0)),0)</f>
        <v>1.66666666666667</v>
      </c>
      <c r="G180" s="28" t="n">
        <f aca="false">IFERROR(SUMPRODUCT((Indicators!$B$5:$B$35=G$4)*Indicators!$K$5:$K$35*'Indicator Scores'!$AC$5:$AC$35)/SUMPRODUCT((Indicators!$B$5:$B$35=G$4)*Indicators!$K$5:$K$35*('Indicator Scores'!$AC$5:$AC$35&gt;0)),0)</f>
        <v>2.11111111111111</v>
      </c>
      <c r="H180" s="28" t="n">
        <f aca="false">IFERROR(SUMPRODUCT((Indicators!$B$5:$B$35=H$4)*Indicators!$K$5:$K$35*'Indicator Scores'!$AC$5:$AC$35)/SUMPRODUCT((Indicators!$B$5:$B$35=H$4)*Indicators!$K$5:$K$35*('Indicator Scores'!$AC$5:$AC$35&gt;0)),0)</f>
        <v>2.1</v>
      </c>
      <c r="I180" s="28" t="n">
        <f aca="false">IFERROR(SUMPRODUCT((Indicators!$B$5:$B$35=I$4)*Indicators!$K$5:$K$35*'Indicator Scores'!$AC$5:$AC$35)/SUMPRODUCT((Indicators!$B$5:$B$35=I$4)*Indicators!$K$5:$K$35*('Indicator Scores'!$AC$5:$AC$35&gt;0)),0)</f>
        <v>2</v>
      </c>
      <c r="J180" s="28" t="n">
        <f aca="false">IFERROR(SUMPRODUCT((Indicators!$B$5:$B$35=J$4)*Indicators!$K$5:$K$35*'Indicator Scores'!$AC$5:$AC$35)/SUMPRODUCT((Indicators!$B$5:$B$35=J$4)*Indicators!$K$5:$K$35*('Indicator Scores'!$AC$5:$AC$35&gt;0)),0)</f>
        <v>2.1</v>
      </c>
      <c r="K180" s="28" t="n">
        <f aca="false">IFERROR(SUMPRODUCT(F180:J180,INDEX('Factor Weights'!$C$5:$G$11,MATCH(D180,'Factor Weights'!$A$5:$A$11,0),0))/SUMPRODUCT((F180:J180&gt;0)*INDEX('Factor Weights'!$C$5:$G$11,MATCH(D180,'Factor Weights'!$A$5:$A$11,0),0)),0)</f>
        <v>1.95777777777778</v>
      </c>
      <c r="L180" s="29" t="n">
        <f aca="false">MAX(F180:J180)</f>
        <v>2.11111111111111</v>
      </c>
      <c r="M180" s="28" t="n">
        <f aca="false">IF(L180&gt;=Config!$C$13,MAX(K180,Config!$C$14),K180)</f>
        <v>1.95777777777778</v>
      </c>
      <c r="N180" s="30" t="n">
        <f aca="false">IF(Config!$C$12="Weighted average",K180,IF(Config!$C$12="Weighted with floor",M180,L180))</f>
        <v>1.95777777777778</v>
      </c>
      <c r="O180" s="31" t="n">
        <f aca="false">IF(N180&lt;Config!$D$5,"",MATCH(N180,Config!$D$5:$D$9,1))</f>
        <v>2</v>
      </c>
      <c r="P180" s="7" t="str">
        <f aca="false">IF(O180="","No data",INDEX(Config!$B$5:$B$9,O180))</f>
        <v>Medium-Low</v>
      </c>
      <c r="Q180" s="32" t="n">
        <v>0</v>
      </c>
      <c r="R180" s="8"/>
      <c r="S180" s="33"/>
      <c r="T180" s="34" t="n">
        <f aca="false">IF(O180="","",IF(AND(S180="Y",Q180&lt;&gt;0),MAX(1,MIN(5,O180+MAX(-Config!$C$27,MIN(Config!$C$27,Q180)))),O180))</f>
        <v>2</v>
      </c>
      <c r="U180" s="35" t="str">
        <f aca="false">IF(T180="","No data",INDEX(Config!$B$5:$B$9,T180))</f>
        <v>Medium-Low</v>
      </c>
      <c r="V180" s="7" t="str">
        <f aca="false">IF(Q180=0,"None",IF(S180="Y","Applied","Pending HO approval"))</f>
        <v>None</v>
      </c>
      <c r="W180" s="36" t="n">
        <f aca="false">SUMPRODUCT((Indicators!$K$5:$K$35&gt;0)*('Indicator Data'!$AC$5:$AC$35&lt;&gt;""))/SUMPRODUCT(--(Indicators!$K$5:$K$35&gt;0))</f>
        <v>1</v>
      </c>
    </row>
    <row r="181" customFormat="false" ht="15" hidden="false" customHeight="false" outlineLevel="0" collapsed="false">
      <c r="A181" s="26" t="str">
        <f aca="false">Entities!$A$30</f>
        <v>CH</v>
      </c>
      <c r="B181" s="12" t="str">
        <f aca="false">INDEX(Entities!$B$5:$B$34,MATCH(A181,Entities!$A$5:$A$34,0))</f>
        <v>Arab Bank (Switzerland) – sister company</v>
      </c>
      <c r="C181" s="12" t="str">
        <f aca="false">INDEX(Entities!$D$5:$D$34,MATCH(A181,Entities!$A$5:$A$34,0))</f>
        <v>Europe</v>
      </c>
      <c r="D181" s="12" t="s">
        <v>240</v>
      </c>
      <c r="E181" s="12" t="str">
        <f aca="false">INDEX('Risk Taxonomy'!$B$5:$B$24,MATCH(D181,'Risk Taxonomy'!$A$5:$A$24,0))</f>
        <v>Terrorist financing</v>
      </c>
      <c r="F181" s="28" t="n">
        <f aca="false">IFERROR(SUMPRODUCT((Indicators!$B$5:$B$35=F$4)*Indicators!$L$5:$L$35*'Indicator Scores'!$AC$5:$AC$35)/SUMPRODUCT((Indicators!$B$5:$B$35=F$4)*Indicators!$L$5:$L$35*('Indicator Scores'!$AC$5:$AC$35&gt;0)),0)</f>
        <v>1.6</v>
      </c>
      <c r="G181" s="28" t="n">
        <f aca="false">IFERROR(SUMPRODUCT((Indicators!$B$5:$B$35=G$4)*Indicators!$L$5:$L$35*'Indicator Scores'!$AC$5:$AC$35)/SUMPRODUCT((Indicators!$B$5:$B$35=G$4)*Indicators!$L$5:$L$35*('Indicator Scores'!$AC$5:$AC$35&gt;0)),0)</f>
        <v>1.88888888888889</v>
      </c>
      <c r="H181" s="28" t="n">
        <f aca="false">IFERROR(SUMPRODUCT((Indicators!$B$5:$B$35=H$4)*Indicators!$L$5:$L$35*'Indicator Scores'!$AC$5:$AC$35)/SUMPRODUCT((Indicators!$B$5:$B$35=H$4)*Indicators!$L$5:$L$35*('Indicator Scores'!$AC$5:$AC$35&gt;0)),0)</f>
        <v>2</v>
      </c>
      <c r="I181" s="28" t="n">
        <f aca="false">IFERROR(SUMPRODUCT((Indicators!$B$5:$B$35=I$4)*Indicators!$L$5:$L$35*'Indicator Scores'!$AC$5:$AC$35)/SUMPRODUCT((Indicators!$B$5:$B$35=I$4)*Indicators!$L$5:$L$35*('Indicator Scores'!$AC$5:$AC$35&gt;0)),0)</f>
        <v>2</v>
      </c>
      <c r="J181" s="28" t="n">
        <f aca="false">IFERROR(SUMPRODUCT((Indicators!$B$5:$B$35=J$4)*Indicators!$L$5:$L$35*'Indicator Scores'!$AC$5:$AC$35)/SUMPRODUCT((Indicators!$B$5:$B$35=J$4)*Indicators!$L$5:$L$35*('Indicator Scores'!$AC$5:$AC$35&gt;0)),0)</f>
        <v>1.85714285714286</v>
      </c>
      <c r="K181" s="28" t="n">
        <f aca="false">IFERROR(SUMPRODUCT(F181:J181,INDEX('Factor Weights'!$C$5:$G$11,MATCH(D181,'Factor Weights'!$A$5:$A$11,0),0))/SUMPRODUCT((F181:J181&gt;0)*INDEX('Factor Weights'!$C$5:$G$11,MATCH(D181,'Factor Weights'!$A$5:$A$11,0),0)),0)</f>
        <v>1.83809523809524</v>
      </c>
      <c r="L181" s="29" t="n">
        <f aca="false">MAX(F181:J181)</f>
        <v>2</v>
      </c>
      <c r="M181" s="28" t="n">
        <f aca="false">IF(L181&gt;=Config!$C$13,MAX(K181,Config!$C$14),K181)</f>
        <v>1.83809523809524</v>
      </c>
      <c r="N181" s="30" t="n">
        <f aca="false">IF(Config!$C$12="Weighted average",K181,IF(Config!$C$12="Weighted with floor",M181,L181))</f>
        <v>1.83809523809524</v>
      </c>
      <c r="O181" s="31" t="n">
        <f aca="false">IF(N181&lt;Config!$D$5,"",MATCH(N181,Config!$D$5:$D$9,1))</f>
        <v>2</v>
      </c>
      <c r="P181" s="7" t="str">
        <f aca="false">IF(O181="","No data",INDEX(Config!$B$5:$B$9,O181))</f>
        <v>Medium-Low</v>
      </c>
      <c r="Q181" s="32" t="n">
        <v>0</v>
      </c>
      <c r="R181" s="8"/>
      <c r="S181" s="33"/>
      <c r="T181" s="34" t="n">
        <f aca="false">IF(O181="","",IF(AND(S181="Y",Q181&lt;&gt;0),MAX(1,MIN(5,O181+MAX(-Config!$C$27,MIN(Config!$C$27,Q181)))),O181))</f>
        <v>2</v>
      </c>
      <c r="U181" s="35" t="str">
        <f aca="false">IF(T181="","No data",INDEX(Config!$B$5:$B$9,T181))</f>
        <v>Medium-Low</v>
      </c>
      <c r="V181" s="7" t="str">
        <f aca="false">IF(Q181=0,"None",IF(S181="Y","Applied","Pending HO approval"))</f>
        <v>None</v>
      </c>
      <c r="W181" s="36" t="n">
        <f aca="false">SUMPRODUCT((Indicators!$L$5:$L$35&gt;0)*('Indicator Data'!$AC$5:$AC$35&lt;&gt;""))/SUMPRODUCT(--(Indicators!$L$5:$L$35&gt;0))</f>
        <v>1</v>
      </c>
    </row>
    <row r="182" customFormat="false" ht="15" hidden="false" customHeight="false" outlineLevel="0" collapsed="false">
      <c r="A182" s="26" t="str">
        <f aca="false">Entities!$A$30</f>
        <v>CH</v>
      </c>
      <c r="B182" s="12" t="str">
        <f aca="false">INDEX(Entities!$B$5:$B$34,MATCH(A182,Entities!$A$5:$A$34,0))</f>
        <v>Arab Bank (Switzerland) – sister company</v>
      </c>
      <c r="C182" s="12" t="str">
        <f aca="false">INDEX(Entities!$D$5:$D$34,MATCH(A182,Entities!$A$5:$A$34,0))</f>
        <v>Europe</v>
      </c>
      <c r="D182" s="12" t="s">
        <v>243</v>
      </c>
      <c r="E182" s="12" t="str">
        <f aca="false">INDEX('Risk Taxonomy'!$B$5:$B$24,MATCH(D182,'Risk Taxonomy'!$A$5:$A$24,0))</f>
        <v>Proliferation financing</v>
      </c>
      <c r="F182" s="28" t="n">
        <f aca="false">IFERROR(SUMPRODUCT((Indicators!$B$5:$B$35=F$4)*Indicators!$M$5:$M$35*'Indicator Scores'!$AC$5:$AC$35)/SUMPRODUCT((Indicators!$B$5:$B$35=F$4)*Indicators!$M$5:$M$35*('Indicator Scores'!$AC$5:$AC$35&gt;0)),0)</f>
        <v>2</v>
      </c>
      <c r="G182" s="28" t="n">
        <f aca="false">IFERROR(SUMPRODUCT((Indicators!$B$5:$B$35=G$4)*Indicators!$M$5:$M$35*'Indicator Scores'!$AC$5:$AC$35)/SUMPRODUCT((Indicators!$B$5:$B$35=G$4)*Indicators!$M$5:$M$35*('Indicator Scores'!$AC$5:$AC$35&gt;0)),0)</f>
        <v>2</v>
      </c>
      <c r="H182" s="28" t="n">
        <f aca="false">IFERROR(SUMPRODUCT((Indicators!$B$5:$B$35=H$4)*Indicators!$M$5:$M$35*'Indicator Scores'!$AC$5:$AC$35)/SUMPRODUCT((Indicators!$B$5:$B$35=H$4)*Indicators!$M$5:$M$35*('Indicator Scores'!$AC$5:$AC$35&gt;0)),0)</f>
        <v>2.33333333333333</v>
      </c>
      <c r="I182" s="28" t="n">
        <f aca="false">IFERROR(SUMPRODUCT((Indicators!$B$5:$B$35=I$4)*Indicators!$M$5:$M$35*'Indicator Scores'!$AC$5:$AC$35)/SUMPRODUCT((Indicators!$B$5:$B$35=I$4)*Indicators!$M$5:$M$35*('Indicator Scores'!$AC$5:$AC$35&gt;0)),0)</f>
        <v>2.33333333333333</v>
      </c>
      <c r="J182" s="28" t="n">
        <f aca="false">IFERROR(SUMPRODUCT((Indicators!$B$5:$B$35=J$4)*Indicators!$M$5:$M$35*'Indicator Scores'!$AC$5:$AC$35)/SUMPRODUCT((Indicators!$B$5:$B$35=J$4)*Indicators!$M$5:$M$35*('Indicator Scores'!$AC$5:$AC$35&gt;0)),0)</f>
        <v>2</v>
      </c>
      <c r="K182" s="28" t="n">
        <f aca="false">IFERROR(SUMPRODUCT(F182:J182,INDEX('Factor Weights'!$C$5:$G$11,MATCH(D182,'Factor Weights'!$A$5:$A$11,0),0))/SUMPRODUCT((F182:J182&gt;0)*INDEX('Factor Weights'!$C$5:$G$11,MATCH(D182,'Factor Weights'!$A$5:$A$11,0),0)),0)</f>
        <v>2.11666666666667</v>
      </c>
      <c r="L182" s="29" t="n">
        <f aca="false">MAX(F182:J182)</f>
        <v>2.33333333333333</v>
      </c>
      <c r="M182" s="28" t="n">
        <f aca="false">IF(L182&gt;=Config!$C$13,MAX(K182,Config!$C$14),K182)</f>
        <v>2.11666666666667</v>
      </c>
      <c r="N182" s="30" t="n">
        <f aca="false">IF(Config!$C$12="Weighted average",K182,IF(Config!$C$12="Weighted with floor",M182,L182))</f>
        <v>2.11666666666667</v>
      </c>
      <c r="O182" s="31" t="n">
        <f aca="false">IF(N182&lt;Config!$D$5,"",MATCH(N182,Config!$D$5:$D$9,1))</f>
        <v>2</v>
      </c>
      <c r="P182" s="7" t="str">
        <f aca="false">IF(O182="","No data",INDEX(Config!$B$5:$B$9,O182))</f>
        <v>Medium-Low</v>
      </c>
      <c r="Q182" s="32" t="n">
        <v>0</v>
      </c>
      <c r="R182" s="8"/>
      <c r="S182" s="33"/>
      <c r="T182" s="34" t="n">
        <f aca="false">IF(O182="","",IF(AND(S182="Y",Q182&lt;&gt;0),MAX(1,MIN(5,O182+MAX(-Config!$C$27,MIN(Config!$C$27,Q182)))),O182))</f>
        <v>2</v>
      </c>
      <c r="U182" s="35" t="str">
        <f aca="false">IF(T182="","No data",INDEX(Config!$B$5:$B$9,T182))</f>
        <v>Medium-Low</v>
      </c>
      <c r="V182" s="7" t="str">
        <f aca="false">IF(Q182=0,"None",IF(S182="Y","Applied","Pending HO approval"))</f>
        <v>None</v>
      </c>
      <c r="W182" s="36" t="n">
        <f aca="false">SUMPRODUCT((Indicators!$M$5:$M$35&gt;0)*('Indicator Data'!$AC$5:$AC$35&lt;&gt;""))/SUMPRODUCT(--(Indicators!$M$5:$M$35&gt;0))</f>
        <v>1</v>
      </c>
    </row>
    <row r="183" customFormat="false" ht="15" hidden="false" customHeight="false" outlineLevel="0" collapsed="false">
      <c r="A183" s="26" t="str">
        <f aca="false">Entities!$A$30</f>
        <v>CH</v>
      </c>
      <c r="B183" s="12" t="str">
        <f aca="false">INDEX(Entities!$B$5:$B$34,MATCH(A183,Entities!$A$5:$A$34,0))</f>
        <v>Arab Bank (Switzerland) – sister company</v>
      </c>
      <c r="C183" s="12" t="str">
        <f aca="false">INDEX(Entities!$D$5:$D$34,MATCH(A183,Entities!$A$5:$A$34,0))</f>
        <v>Europe</v>
      </c>
      <c r="D183" s="12" t="s">
        <v>245</v>
      </c>
      <c r="E183" s="12" t="str">
        <f aca="false">INDEX('Risk Taxonomy'!$B$5:$B$24,MATCH(D183,'Risk Taxonomy'!$A$5:$A$24,0))</f>
        <v>Sanctions</v>
      </c>
      <c r="F183" s="28" t="n">
        <f aca="false">IFERROR(SUMPRODUCT((Indicators!$B$5:$B$35=F$4)*Indicators!$N$5:$N$35*'Indicator Scores'!$AC$5:$AC$35)/SUMPRODUCT((Indicators!$B$5:$B$35=F$4)*Indicators!$N$5:$N$35*('Indicator Scores'!$AC$5:$AC$35&gt;0)),0)</f>
        <v>2.28571428571429</v>
      </c>
      <c r="G183" s="28" t="n">
        <f aca="false">IFERROR(SUMPRODUCT((Indicators!$B$5:$B$35=G$4)*Indicators!$N$5:$N$35*'Indicator Scores'!$AC$5:$AC$35)/SUMPRODUCT((Indicators!$B$5:$B$35=G$4)*Indicators!$N$5:$N$35*('Indicator Scores'!$AC$5:$AC$35&gt;0)),0)</f>
        <v>2</v>
      </c>
      <c r="H183" s="28" t="n">
        <f aca="false">IFERROR(SUMPRODUCT((Indicators!$B$5:$B$35=H$4)*Indicators!$N$5:$N$35*'Indicator Scores'!$AC$5:$AC$35)/SUMPRODUCT((Indicators!$B$5:$B$35=H$4)*Indicators!$N$5:$N$35*('Indicator Scores'!$AC$5:$AC$35&gt;0)),0)</f>
        <v>2.25</v>
      </c>
      <c r="I183" s="28" t="n">
        <f aca="false">IFERROR(SUMPRODUCT((Indicators!$B$5:$B$35=I$4)*Indicators!$N$5:$N$35*'Indicator Scores'!$AC$5:$AC$35)/SUMPRODUCT((Indicators!$B$5:$B$35=I$4)*Indicators!$N$5:$N$35*('Indicator Scores'!$AC$5:$AC$35&gt;0)),0)</f>
        <v>1.66666666666667</v>
      </c>
      <c r="J183" s="28" t="n">
        <f aca="false">IFERROR(SUMPRODUCT((Indicators!$B$5:$B$35=J$4)*Indicators!$N$5:$N$35*'Indicator Scores'!$AC$5:$AC$35)/SUMPRODUCT((Indicators!$B$5:$B$35=J$4)*Indicators!$N$5:$N$35*('Indicator Scores'!$AC$5:$AC$35&gt;0)),0)</f>
        <v>1.8</v>
      </c>
      <c r="K183" s="28" t="n">
        <f aca="false">IFERROR(SUMPRODUCT(F183:J183,INDEX('Factor Weights'!$C$5:$G$11,MATCH(D183,'Factor Weights'!$A$5:$A$11,0),0))/SUMPRODUCT((F183:J183&gt;0)*INDEX('Factor Weights'!$C$5:$G$11,MATCH(D183,'Factor Weights'!$A$5:$A$11,0),0)),0)</f>
        <v>2.03619047619048</v>
      </c>
      <c r="L183" s="29" t="n">
        <f aca="false">MAX(F183:J183)</f>
        <v>2.28571428571429</v>
      </c>
      <c r="M183" s="28" t="n">
        <f aca="false">IF(L183&gt;=Config!$C$13,MAX(K183,Config!$C$14),K183)</f>
        <v>2.03619047619048</v>
      </c>
      <c r="N183" s="30" t="n">
        <f aca="false">IF(Config!$C$12="Weighted average",K183,IF(Config!$C$12="Weighted with floor",M183,L183))</f>
        <v>2.03619047619048</v>
      </c>
      <c r="O183" s="31" t="n">
        <f aca="false">IF(N183&lt;Config!$D$5,"",MATCH(N183,Config!$D$5:$D$9,1))</f>
        <v>2</v>
      </c>
      <c r="P183" s="7" t="str">
        <f aca="false">IF(O183="","No data",INDEX(Config!$B$5:$B$9,O183))</f>
        <v>Medium-Low</v>
      </c>
      <c r="Q183" s="32" t="n">
        <v>0</v>
      </c>
      <c r="R183" s="8"/>
      <c r="S183" s="33"/>
      <c r="T183" s="34" t="n">
        <f aca="false">IF(O183="","",IF(AND(S183="Y",Q183&lt;&gt;0),MAX(1,MIN(5,O183+MAX(-Config!$C$27,MIN(Config!$C$27,Q183)))),O183))</f>
        <v>2</v>
      </c>
      <c r="U183" s="35" t="str">
        <f aca="false">IF(T183="","No data",INDEX(Config!$B$5:$B$9,T183))</f>
        <v>Medium-Low</v>
      </c>
      <c r="V183" s="7" t="str">
        <f aca="false">IF(Q183=0,"None",IF(S183="Y","Applied","Pending HO approval"))</f>
        <v>None</v>
      </c>
      <c r="W183" s="36" t="n">
        <f aca="false">SUMPRODUCT((Indicators!$N$5:$N$35&gt;0)*('Indicator Data'!$AC$5:$AC$35&lt;&gt;""))/SUMPRODUCT(--(Indicators!$N$5:$N$35&gt;0))</f>
        <v>1</v>
      </c>
    </row>
    <row r="184" customFormat="false" ht="15" hidden="false" customHeight="false" outlineLevel="0" collapsed="false">
      <c r="A184" s="26" t="str">
        <f aca="false">Entities!$A$30</f>
        <v>CH</v>
      </c>
      <c r="B184" s="12" t="str">
        <f aca="false">INDEX(Entities!$B$5:$B$34,MATCH(A184,Entities!$A$5:$A$34,0))</f>
        <v>Arab Bank (Switzerland) – sister company</v>
      </c>
      <c r="C184" s="12" t="str">
        <f aca="false">INDEX(Entities!$D$5:$D$34,MATCH(A184,Entities!$A$5:$A$34,0))</f>
        <v>Europe</v>
      </c>
      <c r="D184" s="12" t="s">
        <v>248</v>
      </c>
      <c r="E184" s="12" t="str">
        <f aca="false">INDEX('Risk Taxonomy'!$B$5:$B$24,MATCH(D184,'Risk Taxonomy'!$A$5:$A$24,0))</f>
        <v>Bribery and corruption</v>
      </c>
      <c r="F184" s="28" t="n">
        <f aca="false">IFERROR(SUMPRODUCT((Indicators!$B$5:$B$35=F$4)*Indicators!$O$5:$O$35*'Indicator Scores'!$AC$5:$AC$35)/SUMPRODUCT((Indicators!$B$5:$B$35=F$4)*Indicators!$O$5:$O$35*('Indicator Scores'!$AC$5:$AC$35&gt;0)),0)</f>
        <v>2.11111111111111</v>
      </c>
      <c r="G184" s="28" t="n">
        <f aca="false">IFERROR(SUMPRODUCT((Indicators!$B$5:$B$35=G$4)*Indicators!$O$5:$O$35*'Indicator Scores'!$AC$5:$AC$35)/SUMPRODUCT((Indicators!$B$5:$B$35=G$4)*Indicators!$O$5:$O$35*('Indicator Scores'!$AC$5:$AC$35&gt;0)),0)</f>
        <v>2.2</v>
      </c>
      <c r="H184" s="28" t="n">
        <f aca="false">IFERROR(SUMPRODUCT((Indicators!$B$5:$B$35=H$4)*Indicators!$O$5:$O$35*'Indicator Scores'!$AC$5:$AC$35)/SUMPRODUCT((Indicators!$B$5:$B$35=H$4)*Indicators!$O$5:$O$35*('Indicator Scores'!$AC$5:$AC$35&gt;0)),0)</f>
        <v>2</v>
      </c>
      <c r="I184" s="28" t="n">
        <f aca="false">IFERROR(SUMPRODUCT((Indicators!$B$5:$B$35=I$4)*Indicators!$O$5:$O$35*'Indicator Scores'!$AC$5:$AC$35)/SUMPRODUCT((Indicators!$B$5:$B$35=I$4)*Indicators!$O$5:$O$35*('Indicator Scores'!$AC$5:$AC$35&gt;0)),0)</f>
        <v>2.4</v>
      </c>
      <c r="J184" s="28" t="n">
        <f aca="false">IFERROR(SUMPRODUCT((Indicators!$B$5:$B$35=J$4)*Indicators!$O$5:$O$35*'Indicator Scores'!$AC$5:$AC$35)/SUMPRODUCT((Indicators!$B$5:$B$35=J$4)*Indicators!$O$5:$O$35*('Indicator Scores'!$AC$5:$AC$35&gt;0)),0)</f>
        <v>3</v>
      </c>
      <c r="K184" s="28" t="n">
        <f aca="false">IFERROR(SUMPRODUCT(F184:J184,INDEX('Factor Weights'!$C$5:$G$11,MATCH(D184,'Factor Weights'!$A$5:$A$11,0),0))/SUMPRODUCT((F184:J184&gt;0)*INDEX('Factor Weights'!$C$5:$G$11,MATCH(D184,'Factor Weights'!$A$5:$A$11,0),0)),0)</f>
        <v>2.26333333333333</v>
      </c>
      <c r="L184" s="29" t="n">
        <f aca="false">MAX(F184:J184)</f>
        <v>3</v>
      </c>
      <c r="M184" s="28" t="n">
        <f aca="false">IF(L184&gt;=Config!$C$13,MAX(K184,Config!$C$14),K184)</f>
        <v>2.26333333333333</v>
      </c>
      <c r="N184" s="30" t="n">
        <f aca="false">IF(Config!$C$12="Weighted average",K184,IF(Config!$C$12="Weighted with floor",M184,L184))</f>
        <v>2.26333333333333</v>
      </c>
      <c r="O184" s="31" t="n">
        <f aca="false">IF(N184&lt;Config!$D$5,"",MATCH(N184,Config!$D$5:$D$9,1))</f>
        <v>2</v>
      </c>
      <c r="P184" s="7" t="str">
        <f aca="false">IF(O184="","No data",INDEX(Config!$B$5:$B$9,O184))</f>
        <v>Medium-Low</v>
      </c>
      <c r="Q184" s="32" t="n">
        <v>0</v>
      </c>
      <c r="R184" s="8"/>
      <c r="S184" s="33"/>
      <c r="T184" s="34" t="n">
        <f aca="false">IF(O184="","",IF(AND(S184="Y",Q184&lt;&gt;0),MAX(1,MIN(5,O184+MAX(-Config!$C$27,MIN(Config!$C$27,Q184)))),O184))</f>
        <v>2</v>
      </c>
      <c r="U184" s="35" t="str">
        <f aca="false">IF(T184="","No data",INDEX(Config!$B$5:$B$9,T184))</f>
        <v>Medium-Low</v>
      </c>
      <c r="V184" s="7" t="str">
        <f aca="false">IF(Q184=0,"None",IF(S184="Y","Applied","Pending HO approval"))</f>
        <v>None</v>
      </c>
      <c r="W184" s="36" t="n">
        <f aca="false">SUMPRODUCT((Indicators!$O$5:$O$35&gt;0)*('Indicator Data'!$AC$5:$AC$35&lt;&gt;""))/SUMPRODUCT(--(Indicators!$O$5:$O$35&gt;0))</f>
        <v>1</v>
      </c>
    </row>
    <row r="185" customFormat="false" ht="15" hidden="false" customHeight="false" outlineLevel="0" collapsed="false">
      <c r="A185" s="26" t="str">
        <f aca="false">Entities!$A$30</f>
        <v>CH</v>
      </c>
      <c r="B185" s="12" t="str">
        <f aca="false">INDEX(Entities!$B$5:$B$34,MATCH(A185,Entities!$A$5:$A$34,0))</f>
        <v>Arab Bank (Switzerland) – sister company</v>
      </c>
      <c r="C185" s="12" t="str">
        <f aca="false">INDEX(Entities!$D$5:$D$34,MATCH(A185,Entities!$A$5:$A$34,0))</f>
        <v>Europe</v>
      </c>
      <c r="D185" s="12" t="s">
        <v>251</v>
      </c>
      <c r="E185" s="12" t="str">
        <f aca="false">INDEX('Risk Taxonomy'!$B$5:$B$24,MATCH(D185,'Risk Taxonomy'!$A$5:$A$24,0))</f>
        <v>Fraud</v>
      </c>
      <c r="F185" s="28" t="n">
        <f aca="false">IFERROR(SUMPRODUCT((Indicators!$B$5:$B$35=F$4)*Indicators!$P$5:$P$35*'Indicator Scores'!$AC$5:$AC$35)/SUMPRODUCT((Indicators!$B$5:$B$35=F$4)*Indicators!$P$5:$P$35*('Indicator Scores'!$AC$5:$AC$35&gt;0)),0)</f>
        <v>1.66666666666667</v>
      </c>
      <c r="G185" s="28" t="n">
        <f aca="false">IFERROR(SUMPRODUCT((Indicators!$B$5:$B$35=G$4)*Indicators!$P$5:$P$35*'Indicator Scores'!$AC$5:$AC$35)/SUMPRODUCT((Indicators!$B$5:$B$35=G$4)*Indicators!$P$5:$P$35*('Indicator Scores'!$AC$5:$AC$35&gt;0)),0)</f>
        <v>2</v>
      </c>
      <c r="H185" s="28" t="n">
        <f aca="false">IFERROR(SUMPRODUCT((Indicators!$B$5:$B$35=H$4)*Indicators!$P$5:$P$35*'Indicator Scores'!$AC$5:$AC$35)/SUMPRODUCT((Indicators!$B$5:$B$35=H$4)*Indicators!$P$5:$P$35*('Indicator Scores'!$AC$5:$AC$35&gt;0)),0)</f>
        <v>2</v>
      </c>
      <c r="I185" s="28" t="n">
        <f aca="false">IFERROR(SUMPRODUCT((Indicators!$B$5:$B$35=I$4)*Indicators!$P$5:$P$35*'Indicator Scores'!$AC$5:$AC$35)/SUMPRODUCT((Indicators!$B$5:$B$35=I$4)*Indicators!$P$5:$P$35*('Indicator Scores'!$AC$5:$AC$35&gt;0)),0)</f>
        <v>1.77777777777778</v>
      </c>
      <c r="J185" s="28" t="n">
        <f aca="false">IFERROR(SUMPRODUCT((Indicators!$B$5:$B$35=J$4)*Indicators!$P$5:$P$35*'Indicator Scores'!$AC$5:$AC$35)/SUMPRODUCT((Indicators!$B$5:$B$35=J$4)*Indicators!$P$5:$P$35*('Indicator Scores'!$AC$5:$AC$35&gt;0)),0)</f>
        <v>2.4</v>
      </c>
      <c r="K185" s="28" t="n">
        <f aca="false">IFERROR(SUMPRODUCT(F185:J185,INDEX('Factor Weights'!$C$5:$G$11,MATCH(D185,'Factor Weights'!$A$5:$A$11,0),0))/SUMPRODUCT((F185:J185&gt;0)*INDEX('Factor Weights'!$C$5:$G$11,MATCH(D185,'Factor Weights'!$A$5:$A$11,0),0)),0)</f>
        <v>1.94666666666667</v>
      </c>
      <c r="L185" s="29" t="n">
        <f aca="false">MAX(F185:J185)</f>
        <v>2.4</v>
      </c>
      <c r="M185" s="28" t="n">
        <f aca="false">IF(L185&gt;=Config!$C$13,MAX(K185,Config!$C$14),K185)</f>
        <v>1.94666666666667</v>
      </c>
      <c r="N185" s="30" t="n">
        <f aca="false">IF(Config!$C$12="Weighted average",K185,IF(Config!$C$12="Weighted with floor",M185,L185))</f>
        <v>1.94666666666667</v>
      </c>
      <c r="O185" s="31" t="n">
        <f aca="false">IF(N185&lt;Config!$D$5,"",MATCH(N185,Config!$D$5:$D$9,1))</f>
        <v>2</v>
      </c>
      <c r="P185" s="7" t="str">
        <f aca="false">IF(O185="","No data",INDEX(Config!$B$5:$B$9,O185))</f>
        <v>Medium-Low</v>
      </c>
      <c r="Q185" s="32" t="n">
        <v>0</v>
      </c>
      <c r="R185" s="8"/>
      <c r="S185" s="33"/>
      <c r="T185" s="34" t="n">
        <f aca="false">IF(O185="","",IF(AND(S185="Y",Q185&lt;&gt;0),MAX(1,MIN(5,O185+MAX(-Config!$C$27,MIN(Config!$C$27,Q185)))),O185))</f>
        <v>2</v>
      </c>
      <c r="U185" s="35" t="str">
        <f aca="false">IF(T185="","No data",INDEX(Config!$B$5:$B$9,T185))</f>
        <v>Medium-Low</v>
      </c>
      <c r="V185" s="7" t="str">
        <f aca="false">IF(Q185=0,"None",IF(S185="Y","Applied","Pending HO approval"))</f>
        <v>None</v>
      </c>
      <c r="W185" s="36" t="n">
        <f aca="false">SUMPRODUCT((Indicators!$P$5:$P$35&gt;0)*('Indicator Data'!$AC$5:$AC$35&lt;&gt;""))/SUMPRODUCT(--(Indicators!$P$5:$P$35&gt;0))</f>
        <v>1</v>
      </c>
    </row>
    <row r="186" customFormat="false" ht="15" hidden="false" customHeight="false" outlineLevel="0" collapsed="false">
      <c r="A186" s="26" t="str">
        <f aca="false">Entities!$A$30</f>
        <v>CH</v>
      </c>
      <c r="B186" s="12" t="str">
        <f aca="false">INDEX(Entities!$B$5:$B$34,MATCH(A186,Entities!$A$5:$A$34,0))</f>
        <v>Arab Bank (Switzerland) – sister company</v>
      </c>
      <c r="C186" s="12" t="str">
        <f aca="false">INDEX(Entities!$D$5:$D$34,MATCH(A186,Entities!$A$5:$A$34,0))</f>
        <v>Europe</v>
      </c>
      <c r="D186" s="12" t="s">
        <v>254</v>
      </c>
      <c r="E186" s="12" t="str">
        <f aca="false">INDEX('Risk Taxonomy'!$B$5:$B$24,MATCH(D186,'Risk Taxonomy'!$A$5:$A$24,0))</f>
        <v>Tax evasion and tax transparency</v>
      </c>
      <c r="F186" s="28" t="n">
        <f aca="false">IFERROR(SUMPRODUCT((Indicators!$B$5:$B$35=F$4)*Indicators!$Q$5:$Q$35*'Indicator Scores'!$AC$5:$AC$35)/SUMPRODUCT((Indicators!$B$5:$B$35=F$4)*Indicators!$Q$5:$Q$35*('Indicator Scores'!$AC$5:$AC$35&gt;0)),0)</f>
        <v>2.11111111111111</v>
      </c>
      <c r="G186" s="28" t="n">
        <f aca="false">IFERROR(SUMPRODUCT((Indicators!$B$5:$B$35=G$4)*Indicators!$Q$5:$Q$35*'Indicator Scores'!$AC$5:$AC$35)/SUMPRODUCT((Indicators!$B$5:$B$35=G$4)*Indicators!$Q$5:$Q$35*('Indicator Scores'!$AC$5:$AC$35&gt;0)),0)</f>
        <v>2.16666666666667</v>
      </c>
      <c r="H186" s="28" t="n">
        <f aca="false">IFERROR(SUMPRODUCT((Indicators!$B$5:$B$35=H$4)*Indicators!$Q$5:$Q$35*'Indicator Scores'!$AC$5:$AC$35)/SUMPRODUCT((Indicators!$B$5:$B$35=H$4)*Indicators!$Q$5:$Q$35*('Indicator Scores'!$AC$5:$AC$35&gt;0)),0)</f>
        <v>2</v>
      </c>
      <c r="I186" s="28" t="n">
        <f aca="false">IFERROR(SUMPRODUCT((Indicators!$B$5:$B$35=I$4)*Indicators!$Q$5:$Q$35*'Indicator Scores'!$AC$5:$AC$35)/SUMPRODUCT((Indicators!$B$5:$B$35=I$4)*Indicators!$Q$5:$Q$35*('Indicator Scores'!$AC$5:$AC$35&gt;0)),0)</f>
        <v>2.5</v>
      </c>
      <c r="J186" s="28" t="n">
        <f aca="false">IFERROR(SUMPRODUCT((Indicators!$B$5:$B$35=J$4)*Indicators!$Q$5:$Q$35*'Indicator Scores'!$AC$5:$AC$35)/SUMPRODUCT((Indicators!$B$5:$B$35=J$4)*Indicators!$Q$5:$Q$35*('Indicator Scores'!$AC$5:$AC$35&gt;0)),0)</f>
        <v>1.8</v>
      </c>
      <c r="K186" s="28" t="n">
        <f aca="false">IFERROR(SUMPRODUCT(F186:J186,INDEX('Factor Weights'!$C$5:$G$11,MATCH(D186,'Factor Weights'!$A$5:$A$11,0),0))/SUMPRODUCT((F186:J186&gt;0)*INDEX('Factor Weights'!$C$5:$G$11,MATCH(D186,'Factor Weights'!$A$5:$A$11,0),0)),0)</f>
        <v>2.11055555555556</v>
      </c>
      <c r="L186" s="29" t="n">
        <f aca="false">MAX(F186:J186)</f>
        <v>2.5</v>
      </c>
      <c r="M186" s="28" t="n">
        <f aca="false">IF(L186&gt;=Config!$C$13,MAX(K186,Config!$C$14),K186)</f>
        <v>2.11055555555556</v>
      </c>
      <c r="N186" s="30" t="n">
        <f aca="false">IF(Config!$C$12="Weighted average",K186,IF(Config!$C$12="Weighted with floor",M186,L186))</f>
        <v>2.11055555555556</v>
      </c>
      <c r="O186" s="31" t="n">
        <f aca="false">IF(N186&lt;Config!$D$5,"",MATCH(N186,Config!$D$5:$D$9,1))</f>
        <v>2</v>
      </c>
      <c r="P186" s="7" t="str">
        <f aca="false">IF(O186="","No data",INDEX(Config!$B$5:$B$9,O186))</f>
        <v>Medium-Low</v>
      </c>
      <c r="Q186" s="32" t="n">
        <v>0</v>
      </c>
      <c r="R186" s="8"/>
      <c r="S186" s="33"/>
      <c r="T186" s="34" t="n">
        <f aca="false">IF(O186="","",IF(AND(S186="Y",Q186&lt;&gt;0),MAX(1,MIN(5,O186+MAX(-Config!$C$27,MIN(Config!$C$27,Q186)))),O186))</f>
        <v>2</v>
      </c>
      <c r="U186" s="35" t="str">
        <f aca="false">IF(T186="","No data",INDEX(Config!$B$5:$B$9,T186))</f>
        <v>Medium-Low</v>
      </c>
      <c r="V186" s="7" t="str">
        <f aca="false">IF(Q186=0,"None",IF(S186="Y","Applied","Pending HO approval"))</f>
        <v>None</v>
      </c>
      <c r="W186" s="36" t="n">
        <f aca="false">SUMPRODUCT((Indicators!$Q$5:$Q$35&gt;0)*('Indicator Data'!$AC$5:$AC$35&lt;&gt;""))/SUMPRODUCT(--(Indicators!$Q$5:$Q$35&gt;0))</f>
        <v>1</v>
      </c>
    </row>
    <row r="187" customFormat="false" ht="15" hidden="false" customHeight="false" outlineLevel="0" collapsed="false">
      <c r="A187" s="26" t="str">
        <f aca="false">Entities!$A$31</f>
        <v>SG</v>
      </c>
      <c r="B187" s="12" t="str">
        <f aca="false">INDEX(Entities!$B$5:$B$34,MATCH(A187,Entities!$A$5:$A$34,0))</f>
        <v>Arab Bank – Singapore</v>
      </c>
      <c r="C187" s="12" t="str">
        <f aca="false">INDEX(Entities!$D$5:$D$34,MATCH(A187,Entities!$A$5:$A$34,0))</f>
        <v>Asia-Pacific</v>
      </c>
      <c r="D187" s="12" t="s">
        <v>233</v>
      </c>
      <c r="E187" s="12" t="str">
        <f aca="false">INDEX('Risk Taxonomy'!$B$5:$B$24,MATCH(D187,'Risk Taxonomy'!$A$5:$A$24,0))</f>
        <v>Money laundering</v>
      </c>
      <c r="F187" s="28" t="n">
        <f aca="false">IFERROR(SUMPRODUCT((Indicators!$B$5:$B$35=F$4)*Indicators!$K$5:$K$35*'Indicator Scores'!$AD$5:$AD$35)/SUMPRODUCT((Indicators!$B$5:$B$35=F$4)*Indicators!$K$5:$K$35*('Indicator Scores'!$AD$5:$AD$35&gt;0)),0)</f>
        <v>1.83333333333333</v>
      </c>
      <c r="G187" s="28" t="n">
        <f aca="false">IFERROR(SUMPRODUCT((Indicators!$B$5:$B$35=G$4)*Indicators!$K$5:$K$35*'Indicator Scores'!$AD$5:$AD$35)/SUMPRODUCT((Indicators!$B$5:$B$35=G$4)*Indicators!$K$5:$K$35*('Indicator Scores'!$AD$5:$AD$35&gt;0)),0)</f>
        <v>2.22222222222222</v>
      </c>
      <c r="H187" s="28" t="n">
        <f aca="false">IFERROR(SUMPRODUCT((Indicators!$B$5:$B$35=H$4)*Indicators!$K$5:$K$35*'Indicator Scores'!$AD$5:$AD$35)/SUMPRODUCT((Indicators!$B$5:$B$35=H$4)*Indicators!$K$5:$K$35*('Indicator Scores'!$AD$5:$AD$35&gt;0)),0)</f>
        <v>2.4</v>
      </c>
      <c r="I187" s="28" t="n">
        <f aca="false">IFERROR(SUMPRODUCT((Indicators!$B$5:$B$35=I$4)*Indicators!$K$5:$K$35*'Indicator Scores'!$AD$5:$AD$35)/SUMPRODUCT((Indicators!$B$5:$B$35=I$4)*Indicators!$K$5:$K$35*('Indicator Scores'!$AD$5:$AD$35&gt;0)),0)</f>
        <v>1.57142857142857</v>
      </c>
      <c r="J187" s="28" t="n">
        <f aca="false">IFERROR(SUMPRODUCT((Indicators!$B$5:$B$35=J$4)*Indicators!$K$5:$K$35*'Indicator Scores'!$AD$5:$AD$35)/SUMPRODUCT((Indicators!$B$5:$B$35=J$4)*Indicators!$K$5:$K$35*('Indicator Scores'!$AD$5:$AD$35&gt;0)),0)</f>
        <v>1.8</v>
      </c>
      <c r="K187" s="28" t="n">
        <f aca="false">IFERROR(SUMPRODUCT(F187:J187,INDEX('Factor Weights'!$C$5:$G$11,MATCH(D187,'Factor Weights'!$A$5:$A$11,0),0))/SUMPRODUCT((F187:J187&gt;0)*INDEX('Factor Weights'!$C$5:$G$11,MATCH(D187,'Factor Weights'!$A$5:$A$11,0),0)),0)</f>
        <v>2.00126984126984</v>
      </c>
      <c r="L187" s="29" t="n">
        <f aca="false">MAX(F187:J187)</f>
        <v>2.4</v>
      </c>
      <c r="M187" s="28" t="n">
        <f aca="false">IF(L187&gt;=Config!$C$13,MAX(K187,Config!$C$14),K187)</f>
        <v>2.00126984126984</v>
      </c>
      <c r="N187" s="30" t="n">
        <f aca="false">IF(Config!$C$12="Weighted average",K187,IF(Config!$C$12="Weighted with floor",M187,L187))</f>
        <v>2.00126984126984</v>
      </c>
      <c r="O187" s="31" t="n">
        <f aca="false">IF(N187&lt;Config!$D$5,"",MATCH(N187,Config!$D$5:$D$9,1))</f>
        <v>2</v>
      </c>
      <c r="P187" s="7" t="str">
        <f aca="false">IF(O187="","No data",INDEX(Config!$B$5:$B$9,O187))</f>
        <v>Medium-Low</v>
      </c>
      <c r="Q187" s="32" t="n">
        <v>0</v>
      </c>
      <c r="R187" s="8"/>
      <c r="S187" s="33"/>
      <c r="T187" s="34" t="n">
        <f aca="false">IF(O187="","",IF(AND(S187="Y",Q187&lt;&gt;0),MAX(1,MIN(5,O187+MAX(-Config!$C$27,MIN(Config!$C$27,Q187)))),O187))</f>
        <v>2</v>
      </c>
      <c r="U187" s="35" t="str">
        <f aca="false">IF(T187="","No data",INDEX(Config!$B$5:$B$9,T187))</f>
        <v>Medium-Low</v>
      </c>
      <c r="V187" s="7" t="str">
        <f aca="false">IF(Q187=0,"None",IF(S187="Y","Applied","Pending HO approval"))</f>
        <v>None</v>
      </c>
      <c r="W187" s="36" t="n">
        <f aca="false">SUMPRODUCT((Indicators!$K$5:$K$35&gt;0)*('Indicator Data'!$AD$5:$AD$35&lt;&gt;""))/SUMPRODUCT(--(Indicators!$K$5:$K$35&gt;0))</f>
        <v>1</v>
      </c>
    </row>
    <row r="188" customFormat="false" ht="15" hidden="false" customHeight="false" outlineLevel="0" collapsed="false">
      <c r="A188" s="26" t="str">
        <f aca="false">Entities!$A$31</f>
        <v>SG</v>
      </c>
      <c r="B188" s="12" t="str">
        <f aca="false">INDEX(Entities!$B$5:$B$34,MATCH(A188,Entities!$A$5:$A$34,0))</f>
        <v>Arab Bank – Singapore</v>
      </c>
      <c r="C188" s="12" t="str">
        <f aca="false">INDEX(Entities!$D$5:$D$34,MATCH(A188,Entities!$A$5:$A$34,0))</f>
        <v>Asia-Pacific</v>
      </c>
      <c r="D188" s="12" t="s">
        <v>240</v>
      </c>
      <c r="E188" s="12" t="str">
        <f aca="false">INDEX('Risk Taxonomy'!$B$5:$B$24,MATCH(D188,'Risk Taxonomy'!$A$5:$A$24,0))</f>
        <v>Terrorist financing</v>
      </c>
      <c r="F188" s="28" t="n">
        <f aca="false">IFERROR(SUMPRODUCT((Indicators!$B$5:$B$35=F$4)*Indicators!$L$5:$L$35*'Indicator Scores'!$AD$5:$AD$35)/SUMPRODUCT((Indicators!$B$5:$B$35=F$4)*Indicators!$L$5:$L$35*('Indicator Scores'!$AD$5:$AD$35&gt;0)),0)</f>
        <v>1.9</v>
      </c>
      <c r="G188" s="28" t="n">
        <f aca="false">IFERROR(SUMPRODUCT((Indicators!$B$5:$B$35=G$4)*Indicators!$L$5:$L$35*'Indicator Scores'!$AD$5:$AD$35)/SUMPRODUCT((Indicators!$B$5:$B$35=G$4)*Indicators!$L$5:$L$35*('Indicator Scores'!$AD$5:$AD$35&gt;0)),0)</f>
        <v>2.11111111111111</v>
      </c>
      <c r="H188" s="28" t="n">
        <f aca="false">IFERROR(SUMPRODUCT((Indicators!$B$5:$B$35=H$4)*Indicators!$L$5:$L$35*'Indicator Scores'!$AD$5:$AD$35)/SUMPRODUCT((Indicators!$B$5:$B$35=H$4)*Indicators!$L$5:$L$35*('Indicator Scores'!$AD$5:$AD$35&gt;0)),0)</f>
        <v>2</v>
      </c>
      <c r="I188" s="28" t="n">
        <f aca="false">IFERROR(SUMPRODUCT((Indicators!$B$5:$B$35=I$4)*Indicators!$L$5:$L$35*'Indicator Scores'!$AD$5:$AD$35)/SUMPRODUCT((Indicators!$B$5:$B$35=I$4)*Indicators!$L$5:$L$35*('Indicator Scores'!$AD$5:$AD$35&gt;0)),0)</f>
        <v>1.5</v>
      </c>
      <c r="J188" s="28" t="n">
        <f aca="false">IFERROR(SUMPRODUCT((Indicators!$B$5:$B$35=J$4)*Indicators!$L$5:$L$35*'Indicator Scores'!$AD$5:$AD$35)/SUMPRODUCT((Indicators!$B$5:$B$35=J$4)*Indicators!$L$5:$L$35*('Indicator Scores'!$AD$5:$AD$35&gt;0)),0)</f>
        <v>1.71428571428571</v>
      </c>
      <c r="K188" s="28" t="n">
        <f aca="false">IFERROR(SUMPRODUCT(F188:J188,INDEX('Factor Weights'!$C$5:$G$11,MATCH(D188,'Factor Weights'!$A$5:$A$11,0),0))/SUMPRODUCT((F188:J188&gt;0)*INDEX('Factor Weights'!$C$5:$G$11,MATCH(D188,'Factor Weights'!$A$5:$A$11,0),0)),0)</f>
        <v>1.90119047619048</v>
      </c>
      <c r="L188" s="29" t="n">
        <f aca="false">MAX(F188:J188)</f>
        <v>2.11111111111111</v>
      </c>
      <c r="M188" s="28" t="n">
        <f aca="false">IF(L188&gt;=Config!$C$13,MAX(K188,Config!$C$14),K188)</f>
        <v>1.90119047619048</v>
      </c>
      <c r="N188" s="30" t="n">
        <f aca="false">IF(Config!$C$12="Weighted average",K188,IF(Config!$C$12="Weighted with floor",M188,L188))</f>
        <v>1.90119047619048</v>
      </c>
      <c r="O188" s="31" t="n">
        <f aca="false">IF(N188&lt;Config!$D$5,"",MATCH(N188,Config!$D$5:$D$9,1))</f>
        <v>2</v>
      </c>
      <c r="P188" s="7" t="str">
        <f aca="false">IF(O188="","No data",INDEX(Config!$B$5:$B$9,O188))</f>
        <v>Medium-Low</v>
      </c>
      <c r="Q188" s="32" t="n">
        <v>0</v>
      </c>
      <c r="R188" s="8"/>
      <c r="S188" s="33"/>
      <c r="T188" s="34" t="n">
        <f aca="false">IF(O188="","",IF(AND(S188="Y",Q188&lt;&gt;0),MAX(1,MIN(5,O188+MAX(-Config!$C$27,MIN(Config!$C$27,Q188)))),O188))</f>
        <v>2</v>
      </c>
      <c r="U188" s="35" t="str">
        <f aca="false">IF(T188="","No data",INDEX(Config!$B$5:$B$9,T188))</f>
        <v>Medium-Low</v>
      </c>
      <c r="V188" s="7" t="str">
        <f aca="false">IF(Q188=0,"None",IF(S188="Y","Applied","Pending HO approval"))</f>
        <v>None</v>
      </c>
      <c r="W188" s="36" t="n">
        <f aca="false">SUMPRODUCT((Indicators!$L$5:$L$35&gt;0)*('Indicator Data'!$AD$5:$AD$35&lt;&gt;""))/SUMPRODUCT(--(Indicators!$L$5:$L$35&gt;0))</f>
        <v>1</v>
      </c>
    </row>
    <row r="189" customFormat="false" ht="15" hidden="false" customHeight="false" outlineLevel="0" collapsed="false">
      <c r="A189" s="26" t="str">
        <f aca="false">Entities!$A$31</f>
        <v>SG</v>
      </c>
      <c r="B189" s="12" t="str">
        <f aca="false">INDEX(Entities!$B$5:$B$34,MATCH(A189,Entities!$A$5:$A$34,0))</f>
        <v>Arab Bank – Singapore</v>
      </c>
      <c r="C189" s="12" t="str">
        <f aca="false">INDEX(Entities!$D$5:$D$34,MATCH(A189,Entities!$A$5:$A$34,0))</f>
        <v>Asia-Pacific</v>
      </c>
      <c r="D189" s="12" t="s">
        <v>243</v>
      </c>
      <c r="E189" s="12" t="str">
        <f aca="false">INDEX('Risk Taxonomy'!$B$5:$B$24,MATCH(D189,'Risk Taxonomy'!$A$5:$A$24,0))</f>
        <v>Proliferation financing</v>
      </c>
      <c r="F189" s="28" t="n">
        <f aca="false">IFERROR(SUMPRODUCT((Indicators!$B$5:$B$35=F$4)*Indicators!$M$5:$M$35*'Indicator Scores'!$AD$5:$AD$35)/SUMPRODUCT((Indicators!$B$5:$B$35=F$4)*Indicators!$M$5:$M$35*('Indicator Scores'!$AD$5:$AD$35&gt;0)),0)</f>
        <v>2.5</v>
      </c>
      <c r="G189" s="28" t="n">
        <f aca="false">IFERROR(SUMPRODUCT((Indicators!$B$5:$B$35=G$4)*Indicators!$M$5:$M$35*'Indicator Scores'!$AD$5:$AD$35)/SUMPRODUCT((Indicators!$B$5:$B$35=G$4)*Indicators!$M$5:$M$35*('Indicator Scores'!$AD$5:$AD$35&gt;0)),0)</f>
        <v>2.5</v>
      </c>
      <c r="H189" s="28" t="n">
        <f aca="false">IFERROR(SUMPRODUCT((Indicators!$B$5:$B$35=H$4)*Indicators!$M$5:$M$35*'Indicator Scores'!$AD$5:$AD$35)/SUMPRODUCT((Indicators!$B$5:$B$35=H$4)*Indicators!$M$5:$M$35*('Indicator Scores'!$AD$5:$AD$35&gt;0)),0)</f>
        <v>2.11111111111111</v>
      </c>
      <c r="I189" s="28" t="n">
        <f aca="false">IFERROR(SUMPRODUCT((Indicators!$B$5:$B$35=I$4)*Indicators!$M$5:$M$35*'Indicator Scores'!$AD$5:$AD$35)/SUMPRODUCT((Indicators!$B$5:$B$35=I$4)*Indicators!$M$5:$M$35*('Indicator Scores'!$AD$5:$AD$35&gt;0)),0)</f>
        <v>1.66666666666667</v>
      </c>
      <c r="J189" s="28" t="n">
        <f aca="false">IFERROR(SUMPRODUCT((Indicators!$B$5:$B$35=J$4)*Indicators!$M$5:$M$35*'Indicator Scores'!$AD$5:$AD$35)/SUMPRODUCT((Indicators!$B$5:$B$35=J$4)*Indicators!$M$5:$M$35*('Indicator Scores'!$AD$5:$AD$35&gt;0)),0)</f>
        <v>2</v>
      </c>
      <c r="K189" s="28" t="n">
        <f aca="false">IFERROR(SUMPRODUCT(F189:J189,INDEX('Factor Weights'!$C$5:$G$11,MATCH(D189,'Factor Weights'!$A$5:$A$11,0),0))/SUMPRODUCT((F189:J189&gt;0)*INDEX('Factor Weights'!$C$5:$G$11,MATCH(D189,'Factor Weights'!$A$5:$A$11,0),0)),0)</f>
        <v>2.24166666666667</v>
      </c>
      <c r="L189" s="29" t="n">
        <f aca="false">MAX(F189:J189)</f>
        <v>2.5</v>
      </c>
      <c r="M189" s="28" t="n">
        <f aca="false">IF(L189&gt;=Config!$C$13,MAX(K189,Config!$C$14),K189)</f>
        <v>2.24166666666667</v>
      </c>
      <c r="N189" s="30" t="n">
        <f aca="false">IF(Config!$C$12="Weighted average",K189,IF(Config!$C$12="Weighted with floor",M189,L189))</f>
        <v>2.24166666666667</v>
      </c>
      <c r="O189" s="31" t="n">
        <f aca="false">IF(N189&lt;Config!$D$5,"",MATCH(N189,Config!$D$5:$D$9,1))</f>
        <v>2</v>
      </c>
      <c r="P189" s="7" t="str">
        <f aca="false">IF(O189="","No data",INDEX(Config!$B$5:$B$9,O189))</f>
        <v>Medium-Low</v>
      </c>
      <c r="Q189" s="32" t="n">
        <v>0</v>
      </c>
      <c r="R189" s="8"/>
      <c r="S189" s="33"/>
      <c r="T189" s="34" t="n">
        <f aca="false">IF(O189="","",IF(AND(S189="Y",Q189&lt;&gt;0),MAX(1,MIN(5,O189+MAX(-Config!$C$27,MIN(Config!$C$27,Q189)))),O189))</f>
        <v>2</v>
      </c>
      <c r="U189" s="35" t="str">
        <f aca="false">IF(T189="","No data",INDEX(Config!$B$5:$B$9,T189))</f>
        <v>Medium-Low</v>
      </c>
      <c r="V189" s="7" t="str">
        <f aca="false">IF(Q189=0,"None",IF(S189="Y","Applied","Pending HO approval"))</f>
        <v>None</v>
      </c>
      <c r="W189" s="36" t="n">
        <f aca="false">SUMPRODUCT((Indicators!$M$5:$M$35&gt;0)*('Indicator Data'!$AD$5:$AD$35&lt;&gt;""))/SUMPRODUCT(--(Indicators!$M$5:$M$35&gt;0))</f>
        <v>1</v>
      </c>
    </row>
    <row r="190" customFormat="false" ht="15" hidden="false" customHeight="false" outlineLevel="0" collapsed="false">
      <c r="A190" s="26" t="str">
        <f aca="false">Entities!$A$31</f>
        <v>SG</v>
      </c>
      <c r="B190" s="12" t="str">
        <f aca="false">INDEX(Entities!$B$5:$B$34,MATCH(A190,Entities!$A$5:$A$34,0))</f>
        <v>Arab Bank – Singapore</v>
      </c>
      <c r="C190" s="12" t="str">
        <f aca="false">INDEX(Entities!$D$5:$D$34,MATCH(A190,Entities!$A$5:$A$34,0))</f>
        <v>Asia-Pacific</v>
      </c>
      <c r="D190" s="12" t="s">
        <v>245</v>
      </c>
      <c r="E190" s="12" t="str">
        <f aca="false">INDEX('Risk Taxonomy'!$B$5:$B$24,MATCH(D190,'Risk Taxonomy'!$A$5:$A$24,0))</f>
        <v>Sanctions</v>
      </c>
      <c r="F190" s="28" t="n">
        <f aca="false">IFERROR(SUMPRODUCT((Indicators!$B$5:$B$35=F$4)*Indicators!$N$5:$N$35*'Indicator Scores'!$AD$5:$AD$35)/SUMPRODUCT((Indicators!$B$5:$B$35=F$4)*Indicators!$N$5:$N$35*('Indicator Scores'!$AD$5:$AD$35&gt;0)),0)</f>
        <v>2.14285714285714</v>
      </c>
      <c r="G190" s="28" t="n">
        <f aca="false">IFERROR(SUMPRODUCT((Indicators!$B$5:$B$35=G$4)*Indicators!$N$5:$N$35*'Indicator Scores'!$AD$5:$AD$35)/SUMPRODUCT((Indicators!$B$5:$B$35=G$4)*Indicators!$N$5:$N$35*('Indicator Scores'!$AD$5:$AD$35&gt;0)),0)</f>
        <v>2.71428571428571</v>
      </c>
      <c r="H190" s="28" t="n">
        <f aca="false">IFERROR(SUMPRODUCT((Indicators!$B$5:$B$35=H$4)*Indicators!$N$5:$N$35*'Indicator Scores'!$AD$5:$AD$35)/SUMPRODUCT((Indicators!$B$5:$B$35=H$4)*Indicators!$N$5:$N$35*('Indicator Scores'!$AD$5:$AD$35&gt;0)),0)</f>
        <v>2.25</v>
      </c>
      <c r="I190" s="28" t="n">
        <f aca="false">IFERROR(SUMPRODUCT((Indicators!$B$5:$B$35=I$4)*Indicators!$N$5:$N$35*'Indicator Scores'!$AD$5:$AD$35)/SUMPRODUCT((Indicators!$B$5:$B$35=I$4)*Indicators!$N$5:$N$35*('Indicator Scores'!$AD$5:$AD$35&gt;0)),0)</f>
        <v>1.33333333333333</v>
      </c>
      <c r="J190" s="28" t="n">
        <f aca="false">IFERROR(SUMPRODUCT((Indicators!$B$5:$B$35=J$4)*Indicators!$N$5:$N$35*'Indicator Scores'!$AD$5:$AD$35)/SUMPRODUCT((Indicators!$B$5:$B$35=J$4)*Indicators!$N$5:$N$35*('Indicator Scores'!$AD$5:$AD$35&gt;0)),0)</f>
        <v>2</v>
      </c>
      <c r="K190" s="28" t="n">
        <f aca="false">IFERROR(SUMPRODUCT(F190:J190,INDEX('Factor Weights'!$C$5:$G$11,MATCH(D190,'Factor Weights'!$A$5:$A$11,0),0))/SUMPRODUCT((F190:J190&gt;0)*INDEX('Factor Weights'!$C$5:$G$11,MATCH(D190,'Factor Weights'!$A$5:$A$11,0),0)),0)</f>
        <v>2.32380952380952</v>
      </c>
      <c r="L190" s="29" t="n">
        <f aca="false">MAX(F190:J190)</f>
        <v>2.71428571428571</v>
      </c>
      <c r="M190" s="28" t="n">
        <f aca="false">IF(L190&gt;=Config!$C$13,MAX(K190,Config!$C$14),K190)</f>
        <v>2.32380952380952</v>
      </c>
      <c r="N190" s="30" t="n">
        <f aca="false">IF(Config!$C$12="Weighted average",K190,IF(Config!$C$12="Weighted with floor",M190,L190))</f>
        <v>2.32380952380952</v>
      </c>
      <c r="O190" s="31" t="n">
        <f aca="false">IF(N190&lt;Config!$D$5,"",MATCH(N190,Config!$D$5:$D$9,1))</f>
        <v>2</v>
      </c>
      <c r="P190" s="7" t="str">
        <f aca="false">IF(O190="","No data",INDEX(Config!$B$5:$B$9,O190))</f>
        <v>Medium-Low</v>
      </c>
      <c r="Q190" s="32" t="n">
        <v>0</v>
      </c>
      <c r="R190" s="8"/>
      <c r="S190" s="33"/>
      <c r="T190" s="34" t="n">
        <f aca="false">IF(O190="","",IF(AND(S190="Y",Q190&lt;&gt;0),MAX(1,MIN(5,O190+MAX(-Config!$C$27,MIN(Config!$C$27,Q190)))),O190))</f>
        <v>2</v>
      </c>
      <c r="U190" s="35" t="str">
        <f aca="false">IF(T190="","No data",INDEX(Config!$B$5:$B$9,T190))</f>
        <v>Medium-Low</v>
      </c>
      <c r="V190" s="7" t="str">
        <f aca="false">IF(Q190=0,"None",IF(S190="Y","Applied","Pending HO approval"))</f>
        <v>None</v>
      </c>
      <c r="W190" s="36" t="n">
        <f aca="false">SUMPRODUCT((Indicators!$N$5:$N$35&gt;0)*('Indicator Data'!$AD$5:$AD$35&lt;&gt;""))/SUMPRODUCT(--(Indicators!$N$5:$N$35&gt;0))</f>
        <v>1</v>
      </c>
    </row>
    <row r="191" customFormat="false" ht="15" hidden="false" customHeight="false" outlineLevel="0" collapsed="false">
      <c r="A191" s="26" t="str">
        <f aca="false">Entities!$A$31</f>
        <v>SG</v>
      </c>
      <c r="B191" s="12" t="str">
        <f aca="false">INDEX(Entities!$B$5:$B$34,MATCH(A191,Entities!$A$5:$A$34,0))</f>
        <v>Arab Bank – Singapore</v>
      </c>
      <c r="C191" s="12" t="str">
        <f aca="false">INDEX(Entities!$D$5:$D$34,MATCH(A191,Entities!$A$5:$A$34,0))</f>
        <v>Asia-Pacific</v>
      </c>
      <c r="D191" s="12" t="s">
        <v>248</v>
      </c>
      <c r="E191" s="12" t="str">
        <f aca="false">INDEX('Risk Taxonomy'!$B$5:$B$24,MATCH(D191,'Risk Taxonomy'!$A$5:$A$24,0))</f>
        <v>Bribery and corruption</v>
      </c>
      <c r="F191" s="28" t="n">
        <f aca="false">IFERROR(SUMPRODUCT((Indicators!$B$5:$B$35=F$4)*Indicators!$O$5:$O$35*'Indicator Scores'!$AD$5:$AD$35)/SUMPRODUCT((Indicators!$B$5:$B$35=F$4)*Indicators!$O$5:$O$35*('Indicator Scores'!$AD$5:$AD$35&gt;0)),0)</f>
        <v>1.77777777777778</v>
      </c>
      <c r="G191" s="28" t="n">
        <f aca="false">IFERROR(SUMPRODUCT((Indicators!$B$5:$B$35=G$4)*Indicators!$O$5:$O$35*'Indicator Scores'!$AD$5:$AD$35)/SUMPRODUCT((Indicators!$B$5:$B$35=G$4)*Indicators!$O$5:$O$35*('Indicator Scores'!$AD$5:$AD$35&gt;0)),0)</f>
        <v>2</v>
      </c>
      <c r="H191" s="28" t="n">
        <f aca="false">IFERROR(SUMPRODUCT((Indicators!$B$5:$B$35=H$4)*Indicators!$O$5:$O$35*'Indicator Scores'!$AD$5:$AD$35)/SUMPRODUCT((Indicators!$B$5:$B$35=H$4)*Indicators!$O$5:$O$35*('Indicator Scores'!$AD$5:$AD$35&gt;0)),0)</f>
        <v>3</v>
      </c>
      <c r="I191" s="28" t="n">
        <f aca="false">IFERROR(SUMPRODUCT((Indicators!$B$5:$B$35=I$4)*Indicators!$O$5:$O$35*'Indicator Scores'!$AD$5:$AD$35)/SUMPRODUCT((Indicators!$B$5:$B$35=I$4)*Indicators!$O$5:$O$35*('Indicator Scores'!$AD$5:$AD$35&gt;0)),0)</f>
        <v>2</v>
      </c>
      <c r="J191" s="28" t="n">
        <f aca="false">IFERROR(SUMPRODUCT((Indicators!$B$5:$B$35=J$4)*Indicators!$O$5:$O$35*'Indicator Scores'!$AD$5:$AD$35)/SUMPRODUCT((Indicators!$B$5:$B$35=J$4)*Indicators!$O$5:$O$35*('Indicator Scores'!$AD$5:$AD$35&gt;0)),0)</f>
        <v>2</v>
      </c>
      <c r="K191" s="28" t="n">
        <f aca="false">IFERROR(SUMPRODUCT(F191:J191,INDEX('Factor Weights'!$C$5:$G$11,MATCH(D191,'Factor Weights'!$A$5:$A$11,0),0))/SUMPRODUCT((F191:J191&gt;0)*INDEX('Factor Weights'!$C$5:$G$11,MATCH(D191,'Factor Weights'!$A$5:$A$11,0),0)),0)</f>
        <v>2.08333333333333</v>
      </c>
      <c r="L191" s="29" t="n">
        <f aca="false">MAX(F191:J191)</f>
        <v>3</v>
      </c>
      <c r="M191" s="28" t="n">
        <f aca="false">IF(L191&gt;=Config!$C$13,MAX(K191,Config!$C$14),K191)</f>
        <v>2.08333333333333</v>
      </c>
      <c r="N191" s="30" t="n">
        <f aca="false">IF(Config!$C$12="Weighted average",K191,IF(Config!$C$12="Weighted with floor",M191,L191))</f>
        <v>2.08333333333333</v>
      </c>
      <c r="O191" s="31" t="n">
        <f aca="false">IF(N191&lt;Config!$D$5,"",MATCH(N191,Config!$D$5:$D$9,1))</f>
        <v>2</v>
      </c>
      <c r="P191" s="7" t="str">
        <f aca="false">IF(O191="","No data",INDEX(Config!$B$5:$B$9,O191))</f>
        <v>Medium-Low</v>
      </c>
      <c r="Q191" s="32" t="n">
        <v>0</v>
      </c>
      <c r="R191" s="8"/>
      <c r="S191" s="33"/>
      <c r="T191" s="34" t="n">
        <f aca="false">IF(O191="","",IF(AND(S191="Y",Q191&lt;&gt;0),MAX(1,MIN(5,O191+MAX(-Config!$C$27,MIN(Config!$C$27,Q191)))),O191))</f>
        <v>2</v>
      </c>
      <c r="U191" s="35" t="str">
        <f aca="false">IF(T191="","No data",INDEX(Config!$B$5:$B$9,T191))</f>
        <v>Medium-Low</v>
      </c>
      <c r="V191" s="7" t="str">
        <f aca="false">IF(Q191=0,"None",IF(S191="Y","Applied","Pending HO approval"))</f>
        <v>None</v>
      </c>
      <c r="W191" s="36" t="n">
        <f aca="false">SUMPRODUCT((Indicators!$O$5:$O$35&gt;0)*('Indicator Data'!$AD$5:$AD$35&lt;&gt;""))/SUMPRODUCT(--(Indicators!$O$5:$O$35&gt;0))</f>
        <v>1</v>
      </c>
    </row>
    <row r="192" customFormat="false" ht="15" hidden="false" customHeight="false" outlineLevel="0" collapsed="false">
      <c r="A192" s="26" t="str">
        <f aca="false">Entities!$A$31</f>
        <v>SG</v>
      </c>
      <c r="B192" s="12" t="str">
        <f aca="false">INDEX(Entities!$B$5:$B$34,MATCH(A192,Entities!$A$5:$A$34,0))</f>
        <v>Arab Bank – Singapore</v>
      </c>
      <c r="C192" s="12" t="str">
        <f aca="false">INDEX(Entities!$D$5:$D$34,MATCH(A192,Entities!$A$5:$A$34,0))</f>
        <v>Asia-Pacific</v>
      </c>
      <c r="D192" s="12" t="s">
        <v>251</v>
      </c>
      <c r="E192" s="12" t="str">
        <f aca="false">INDEX('Risk Taxonomy'!$B$5:$B$24,MATCH(D192,'Risk Taxonomy'!$A$5:$A$24,0))</f>
        <v>Fraud</v>
      </c>
      <c r="F192" s="28" t="n">
        <f aca="false">IFERROR(SUMPRODUCT((Indicators!$B$5:$B$35=F$4)*Indicators!$P$5:$P$35*'Indicator Scores'!$AD$5:$AD$35)/SUMPRODUCT((Indicators!$B$5:$B$35=F$4)*Indicators!$P$5:$P$35*('Indicator Scores'!$AD$5:$AD$35&gt;0)),0)</f>
        <v>1.66666666666667</v>
      </c>
      <c r="G192" s="28" t="n">
        <f aca="false">IFERROR(SUMPRODUCT((Indicators!$B$5:$B$35=G$4)*Indicators!$P$5:$P$35*'Indicator Scores'!$AD$5:$AD$35)/SUMPRODUCT((Indicators!$B$5:$B$35=G$4)*Indicators!$P$5:$P$35*('Indicator Scores'!$AD$5:$AD$35&gt;0)),0)</f>
        <v>2</v>
      </c>
      <c r="H192" s="28" t="n">
        <f aca="false">IFERROR(SUMPRODUCT((Indicators!$B$5:$B$35=H$4)*Indicators!$P$5:$P$35*'Indicator Scores'!$AD$5:$AD$35)/SUMPRODUCT((Indicators!$B$5:$B$35=H$4)*Indicators!$P$5:$P$35*('Indicator Scores'!$AD$5:$AD$35&gt;0)),0)</f>
        <v>2.2</v>
      </c>
      <c r="I192" s="28" t="n">
        <f aca="false">IFERROR(SUMPRODUCT((Indicators!$B$5:$B$35=I$4)*Indicators!$P$5:$P$35*'Indicator Scores'!$AD$5:$AD$35)/SUMPRODUCT((Indicators!$B$5:$B$35=I$4)*Indicators!$P$5:$P$35*('Indicator Scores'!$AD$5:$AD$35&gt;0)),0)</f>
        <v>1.44444444444444</v>
      </c>
      <c r="J192" s="28" t="n">
        <f aca="false">IFERROR(SUMPRODUCT((Indicators!$B$5:$B$35=J$4)*Indicators!$P$5:$P$35*'Indicator Scores'!$AD$5:$AD$35)/SUMPRODUCT((Indicators!$B$5:$B$35=J$4)*Indicators!$P$5:$P$35*('Indicator Scores'!$AD$5:$AD$35&gt;0)),0)</f>
        <v>2</v>
      </c>
      <c r="K192" s="28" t="n">
        <f aca="false">IFERROR(SUMPRODUCT(F192:J192,INDEX('Factor Weights'!$C$5:$G$11,MATCH(D192,'Factor Weights'!$A$5:$A$11,0),0))/SUMPRODUCT((F192:J192&gt;0)*INDEX('Factor Weights'!$C$5:$G$11,MATCH(D192,'Factor Weights'!$A$5:$A$11,0),0)),0)</f>
        <v>1.80666666666667</v>
      </c>
      <c r="L192" s="29" t="n">
        <f aca="false">MAX(F192:J192)</f>
        <v>2.2</v>
      </c>
      <c r="M192" s="28" t="n">
        <f aca="false">IF(L192&gt;=Config!$C$13,MAX(K192,Config!$C$14),K192)</f>
        <v>1.80666666666667</v>
      </c>
      <c r="N192" s="30" t="n">
        <f aca="false">IF(Config!$C$12="Weighted average",K192,IF(Config!$C$12="Weighted with floor",M192,L192))</f>
        <v>1.80666666666667</v>
      </c>
      <c r="O192" s="31" t="n">
        <f aca="false">IF(N192&lt;Config!$D$5,"",MATCH(N192,Config!$D$5:$D$9,1))</f>
        <v>1</v>
      </c>
      <c r="P192" s="7" t="str">
        <f aca="false">IF(O192="","No data",INDEX(Config!$B$5:$B$9,O192))</f>
        <v>Low</v>
      </c>
      <c r="Q192" s="32" t="n">
        <v>0</v>
      </c>
      <c r="R192" s="8"/>
      <c r="S192" s="33"/>
      <c r="T192" s="34" t="n">
        <f aca="false">IF(O192="","",IF(AND(S192="Y",Q192&lt;&gt;0),MAX(1,MIN(5,O192+MAX(-Config!$C$27,MIN(Config!$C$27,Q192)))),O192))</f>
        <v>1</v>
      </c>
      <c r="U192" s="35" t="str">
        <f aca="false">IF(T192="","No data",INDEX(Config!$B$5:$B$9,T192))</f>
        <v>Low</v>
      </c>
      <c r="V192" s="7" t="str">
        <f aca="false">IF(Q192=0,"None",IF(S192="Y","Applied","Pending HO approval"))</f>
        <v>None</v>
      </c>
      <c r="W192" s="36" t="n">
        <f aca="false">SUMPRODUCT((Indicators!$P$5:$P$35&gt;0)*('Indicator Data'!$AD$5:$AD$35&lt;&gt;""))/SUMPRODUCT(--(Indicators!$P$5:$P$35&gt;0))</f>
        <v>1</v>
      </c>
    </row>
    <row r="193" customFormat="false" ht="15" hidden="false" customHeight="false" outlineLevel="0" collapsed="false">
      <c r="A193" s="26" t="str">
        <f aca="false">Entities!$A$31</f>
        <v>SG</v>
      </c>
      <c r="B193" s="12" t="str">
        <f aca="false">INDEX(Entities!$B$5:$B$34,MATCH(A193,Entities!$A$5:$A$34,0))</f>
        <v>Arab Bank – Singapore</v>
      </c>
      <c r="C193" s="12" t="str">
        <f aca="false">INDEX(Entities!$D$5:$D$34,MATCH(A193,Entities!$A$5:$A$34,0))</f>
        <v>Asia-Pacific</v>
      </c>
      <c r="D193" s="12" t="s">
        <v>254</v>
      </c>
      <c r="E193" s="12" t="str">
        <f aca="false">INDEX('Risk Taxonomy'!$B$5:$B$24,MATCH(D193,'Risk Taxonomy'!$A$5:$A$24,0))</f>
        <v>Tax evasion and tax transparency</v>
      </c>
      <c r="F193" s="28" t="n">
        <f aca="false">IFERROR(SUMPRODUCT((Indicators!$B$5:$B$35=F$4)*Indicators!$Q$5:$Q$35*'Indicator Scores'!$AD$5:$AD$35)/SUMPRODUCT((Indicators!$B$5:$B$35=F$4)*Indicators!$Q$5:$Q$35*('Indicator Scores'!$AD$5:$AD$35&gt;0)),0)</f>
        <v>2.11111111111111</v>
      </c>
      <c r="G193" s="28" t="n">
        <f aca="false">IFERROR(SUMPRODUCT((Indicators!$B$5:$B$35=G$4)*Indicators!$Q$5:$Q$35*'Indicator Scores'!$AD$5:$AD$35)/SUMPRODUCT((Indicators!$B$5:$B$35=G$4)*Indicators!$Q$5:$Q$35*('Indicator Scores'!$AD$5:$AD$35&gt;0)),0)</f>
        <v>2.5</v>
      </c>
      <c r="H193" s="28" t="n">
        <f aca="false">IFERROR(SUMPRODUCT((Indicators!$B$5:$B$35=H$4)*Indicators!$Q$5:$Q$35*'Indicator Scores'!$AD$5:$AD$35)/SUMPRODUCT((Indicators!$B$5:$B$35=H$4)*Indicators!$Q$5:$Q$35*('Indicator Scores'!$AD$5:$AD$35&gt;0)),0)</f>
        <v>2.83333333333333</v>
      </c>
      <c r="I193" s="28" t="n">
        <f aca="false">IFERROR(SUMPRODUCT((Indicators!$B$5:$B$35=I$4)*Indicators!$Q$5:$Q$35*'Indicator Scores'!$AD$5:$AD$35)/SUMPRODUCT((Indicators!$B$5:$B$35=I$4)*Indicators!$Q$5:$Q$35*('Indicator Scores'!$AD$5:$AD$35&gt;0)),0)</f>
        <v>2</v>
      </c>
      <c r="J193" s="28" t="n">
        <f aca="false">IFERROR(SUMPRODUCT((Indicators!$B$5:$B$35=J$4)*Indicators!$Q$5:$Q$35*'Indicator Scores'!$AD$5:$AD$35)/SUMPRODUCT((Indicators!$B$5:$B$35=J$4)*Indicators!$Q$5:$Q$35*('Indicator Scores'!$AD$5:$AD$35&gt;0)),0)</f>
        <v>1.4</v>
      </c>
      <c r="K193" s="28" t="n">
        <f aca="false">IFERROR(SUMPRODUCT(F193:J193,INDEX('Factor Weights'!$C$5:$G$11,MATCH(D193,'Factor Weights'!$A$5:$A$11,0),0))/SUMPRODUCT((F193:J193&gt;0)*INDEX('Factor Weights'!$C$5:$G$11,MATCH(D193,'Factor Weights'!$A$5:$A$11,0),0)),0)</f>
        <v>2.27055555555556</v>
      </c>
      <c r="L193" s="29" t="n">
        <f aca="false">MAX(F193:J193)</f>
        <v>2.83333333333333</v>
      </c>
      <c r="M193" s="28" t="n">
        <f aca="false">IF(L193&gt;=Config!$C$13,MAX(K193,Config!$C$14),K193)</f>
        <v>2.27055555555556</v>
      </c>
      <c r="N193" s="30" t="n">
        <f aca="false">IF(Config!$C$12="Weighted average",K193,IF(Config!$C$12="Weighted with floor",M193,L193))</f>
        <v>2.27055555555556</v>
      </c>
      <c r="O193" s="31" t="n">
        <f aca="false">IF(N193&lt;Config!$D$5,"",MATCH(N193,Config!$D$5:$D$9,1))</f>
        <v>2</v>
      </c>
      <c r="P193" s="7" t="str">
        <f aca="false">IF(O193="","No data",INDEX(Config!$B$5:$B$9,O193))</f>
        <v>Medium-Low</v>
      </c>
      <c r="Q193" s="32" t="n">
        <v>0</v>
      </c>
      <c r="R193" s="8"/>
      <c r="S193" s="33"/>
      <c r="T193" s="34" t="n">
        <f aca="false">IF(O193="","",IF(AND(S193="Y",Q193&lt;&gt;0),MAX(1,MIN(5,O193+MAX(-Config!$C$27,MIN(Config!$C$27,Q193)))),O193))</f>
        <v>2</v>
      </c>
      <c r="U193" s="35" t="str">
        <f aca="false">IF(T193="","No data",INDEX(Config!$B$5:$B$9,T193))</f>
        <v>Medium-Low</v>
      </c>
      <c r="V193" s="7" t="str">
        <f aca="false">IF(Q193=0,"None",IF(S193="Y","Applied","Pending HO approval"))</f>
        <v>None</v>
      </c>
      <c r="W193" s="36" t="n">
        <f aca="false">SUMPRODUCT((Indicators!$Q$5:$Q$35&gt;0)*('Indicator Data'!$AD$5:$AD$35&lt;&gt;""))/SUMPRODUCT(--(Indicators!$Q$5:$Q$35&gt;0))</f>
        <v>1</v>
      </c>
    </row>
    <row r="194" customFormat="false" ht="15" hidden="false" customHeight="false" outlineLevel="0" collapsed="false">
      <c r="A194" s="26" t="str">
        <f aca="false">Entities!$A$32</f>
        <v>CN</v>
      </c>
      <c r="B194" s="12" t="str">
        <f aca="false">INDEX(Entities!$B$5:$B$34,MATCH(A194,Entities!$A$5:$A$34,0))</f>
        <v>Arab Bank – China</v>
      </c>
      <c r="C194" s="12" t="str">
        <f aca="false">INDEX(Entities!$D$5:$D$34,MATCH(A194,Entities!$A$5:$A$34,0))</f>
        <v>Asia-Pacific</v>
      </c>
      <c r="D194" s="12" t="s">
        <v>233</v>
      </c>
      <c r="E194" s="12" t="str">
        <f aca="false">INDEX('Risk Taxonomy'!$B$5:$B$24,MATCH(D194,'Risk Taxonomy'!$A$5:$A$24,0))</f>
        <v>Money laundering</v>
      </c>
      <c r="F194" s="28" t="n">
        <f aca="false">IFERROR(SUMPRODUCT((Indicators!$B$5:$B$35=F$4)*Indicators!$K$5:$K$35*'Indicator Scores'!$AE$5:$AE$35)/SUMPRODUCT((Indicators!$B$5:$B$35=F$4)*Indicators!$K$5:$K$35*('Indicator Scores'!$AE$5:$AE$35&gt;0)),0)</f>
        <v>1.83333333333333</v>
      </c>
      <c r="G194" s="28" t="n">
        <f aca="false">IFERROR(SUMPRODUCT((Indicators!$B$5:$B$35=G$4)*Indicators!$K$5:$K$35*'Indicator Scores'!$AE$5:$AE$35)/SUMPRODUCT((Indicators!$B$5:$B$35=G$4)*Indicators!$K$5:$K$35*('Indicator Scores'!$AE$5:$AE$35&gt;0)),0)</f>
        <v>1.66666666666667</v>
      </c>
      <c r="H194" s="28" t="n">
        <f aca="false">IFERROR(SUMPRODUCT((Indicators!$B$5:$B$35=H$4)*Indicators!$K$5:$K$35*'Indicator Scores'!$AE$5:$AE$35)/SUMPRODUCT((Indicators!$B$5:$B$35=H$4)*Indicators!$K$5:$K$35*('Indicator Scores'!$AE$5:$AE$35&gt;0)),0)</f>
        <v>1.3</v>
      </c>
      <c r="I194" s="28" t="n">
        <f aca="false">IFERROR(SUMPRODUCT((Indicators!$B$5:$B$35=I$4)*Indicators!$K$5:$K$35*'Indicator Scores'!$AE$5:$AE$35)/SUMPRODUCT((Indicators!$B$5:$B$35=I$4)*Indicators!$K$5:$K$35*('Indicator Scores'!$AE$5:$AE$35&gt;0)),0)</f>
        <v>1.71428571428571</v>
      </c>
      <c r="J194" s="28" t="n">
        <f aca="false">IFERROR(SUMPRODUCT((Indicators!$B$5:$B$35=J$4)*Indicators!$K$5:$K$35*'Indicator Scores'!$AE$5:$AE$35)/SUMPRODUCT((Indicators!$B$5:$B$35=J$4)*Indicators!$K$5:$K$35*('Indicator Scores'!$AE$5:$AE$35&gt;0)),0)</f>
        <v>1.8</v>
      </c>
      <c r="K194" s="28" t="n">
        <f aca="false">IFERROR(SUMPRODUCT(F194:J194,INDEX('Factor Weights'!$C$5:$G$11,MATCH(D194,'Factor Weights'!$A$5:$A$11,0),0))/SUMPRODUCT((F194:J194&gt;0)*INDEX('Factor Weights'!$C$5:$G$11,MATCH(D194,'Factor Weights'!$A$5:$A$11,0),0)),0)</f>
        <v>1.66380952380952</v>
      </c>
      <c r="L194" s="29" t="n">
        <f aca="false">MAX(F194:J194)</f>
        <v>1.83333333333333</v>
      </c>
      <c r="M194" s="28" t="n">
        <f aca="false">IF(L194&gt;=Config!$C$13,MAX(K194,Config!$C$14),K194)</f>
        <v>1.66380952380952</v>
      </c>
      <c r="N194" s="30" t="n">
        <f aca="false">IF(Config!$C$12="Weighted average",K194,IF(Config!$C$12="Weighted with floor",M194,L194))</f>
        <v>1.66380952380952</v>
      </c>
      <c r="O194" s="31" t="n">
        <f aca="false">IF(N194&lt;Config!$D$5,"",MATCH(N194,Config!$D$5:$D$9,1))</f>
        <v>1</v>
      </c>
      <c r="P194" s="7" t="str">
        <f aca="false">IF(O194="","No data",INDEX(Config!$B$5:$B$9,O194))</f>
        <v>Low</v>
      </c>
      <c r="Q194" s="32" t="n">
        <v>0</v>
      </c>
      <c r="R194" s="8"/>
      <c r="S194" s="33"/>
      <c r="T194" s="34" t="n">
        <f aca="false">IF(O194="","",IF(AND(S194="Y",Q194&lt;&gt;0),MAX(1,MIN(5,O194+MAX(-Config!$C$27,MIN(Config!$C$27,Q194)))),O194))</f>
        <v>1</v>
      </c>
      <c r="U194" s="35" t="str">
        <f aca="false">IF(T194="","No data",INDEX(Config!$B$5:$B$9,T194))</f>
        <v>Low</v>
      </c>
      <c r="V194" s="7" t="str">
        <f aca="false">IF(Q194=0,"None",IF(S194="Y","Applied","Pending HO approval"))</f>
        <v>None</v>
      </c>
      <c r="W194" s="36" t="n">
        <f aca="false">SUMPRODUCT((Indicators!$K$5:$K$35&gt;0)*('Indicator Data'!$AE$5:$AE$35&lt;&gt;""))/SUMPRODUCT(--(Indicators!$K$5:$K$35&gt;0))</f>
        <v>1</v>
      </c>
    </row>
    <row r="195" customFormat="false" ht="15" hidden="false" customHeight="false" outlineLevel="0" collapsed="false">
      <c r="A195" s="26" t="str">
        <f aca="false">Entities!$A$32</f>
        <v>CN</v>
      </c>
      <c r="B195" s="12" t="str">
        <f aca="false">INDEX(Entities!$B$5:$B$34,MATCH(A195,Entities!$A$5:$A$34,0))</f>
        <v>Arab Bank – China</v>
      </c>
      <c r="C195" s="12" t="str">
        <f aca="false">INDEX(Entities!$D$5:$D$34,MATCH(A195,Entities!$A$5:$A$34,0))</f>
        <v>Asia-Pacific</v>
      </c>
      <c r="D195" s="12" t="s">
        <v>240</v>
      </c>
      <c r="E195" s="12" t="str">
        <f aca="false">INDEX('Risk Taxonomy'!$B$5:$B$24,MATCH(D195,'Risk Taxonomy'!$A$5:$A$24,0))</f>
        <v>Terrorist financing</v>
      </c>
      <c r="F195" s="28" t="n">
        <f aca="false">IFERROR(SUMPRODUCT((Indicators!$B$5:$B$35=F$4)*Indicators!$L$5:$L$35*'Indicator Scores'!$AE$5:$AE$35)/SUMPRODUCT((Indicators!$B$5:$B$35=F$4)*Indicators!$L$5:$L$35*('Indicator Scores'!$AE$5:$AE$35&gt;0)),0)</f>
        <v>2</v>
      </c>
      <c r="G195" s="28" t="n">
        <f aca="false">IFERROR(SUMPRODUCT((Indicators!$B$5:$B$35=G$4)*Indicators!$L$5:$L$35*'Indicator Scores'!$AE$5:$AE$35)/SUMPRODUCT((Indicators!$B$5:$B$35=G$4)*Indicators!$L$5:$L$35*('Indicator Scores'!$AE$5:$AE$35&gt;0)),0)</f>
        <v>1.77777777777778</v>
      </c>
      <c r="H195" s="28" t="n">
        <f aca="false">IFERROR(SUMPRODUCT((Indicators!$B$5:$B$35=H$4)*Indicators!$L$5:$L$35*'Indicator Scores'!$AE$5:$AE$35)/SUMPRODUCT((Indicators!$B$5:$B$35=H$4)*Indicators!$L$5:$L$35*('Indicator Scores'!$AE$5:$AE$35&gt;0)),0)</f>
        <v>1.16666666666667</v>
      </c>
      <c r="I195" s="28" t="n">
        <f aca="false">IFERROR(SUMPRODUCT((Indicators!$B$5:$B$35=I$4)*Indicators!$L$5:$L$35*'Indicator Scores'!$AE$5:$AE$35)/SUMPRODUCT((Indicators!$B$5:$B$35=I$4)*Indicators!$L$5:$L$35*('Indicator Scores'!$AE$5:$AE$35&gt;0)),0)</f>
        <v>1.83333333333333</v>
      </c>
      <c r="J195" s="28" t="n">
        <f aca="false">IFERROR(SUMPRODUCT((Indicators!$B$5:$B$35=J$4)*Indicators!$L$5:$L$35*'Indicator Scores'!$AE$5:$AE$35)/SUMPRODUCT((Indicators!$B$5:$B$35=J$4)*Indicators!$L$5:$L$35*('Indicator Scores'!$AE$5:$AE$35&gt;0)),0)</f>
        <v>1.57142857142857</v>
      </c>
      <c r="K195" s="28" t="n">
        <f aca="false">IFERROR(SUMPRODUCT(F195:J195,INDEX('Factor Weights'!$C$5:$G$11,MATCH(D195,'Factor Weights'!$A$5:$A$11,0),0))/SUMPRODUCT((F195:J195&gt;0)*INDEX('Factor Weights'!$C$5:$G$11,MATCH(D195,'Factor Weights'!$A$5:$A$11,0),0)),0)</f>
        <v>1.70595238095238</v>
      </c>
      <c r="L195" s="29" t="n">
        <f aca="false">MAX(F195:J195)</f>
        <v>2</v>
      </c>
      <c r="M195" s="28" t="n">
        <f aca="false">IF(L195&gt;=Config!$C$13,MAX(K195,Config!$C$14),K195)</f>
        <v>1.70595238095238</v>
      </c>
      <c r="N195" s="30" t="n">
        <f aca="false">IF(Config!$C$12="Weighted average",K195,IF(Config!$C$12="Weighted with floor",M195,L195))</f>
        <v>1.70595238095238</v>
      </c>
      <c r="O195" s="31" t="n">
        <f aca="false">IF(N195&lt;Config!$D$5,"",MATCH(N195,Config!$D$5:$D$9,1))</f>
        <v>1</v>
      </c>
      <c r="P195" s="7" t="str">
        <f aca="false">IF(O195="","No data",INDEX(Config!$B$5:$B$9,O195))</f>
        <v>Low</v>
      </c>
      <c r="Q195" s="32" t="n">
        <v>0</v>
      </c>
      <c r="R195" s="8"/>
      <c r="S195" s="33"/>
      <c r="T195" s="34" t="n">
        <f aca="false">IF(O195="","",IF(AND(S195="Y",Q195&lt;&gt;0),MAX(1,MIN(5,O195+MAX(-Config!$C$27,MIN(Config!$C$27,Q195)))),O195))</f>
        <v>1</v>
      </c>
      <c r="U195" s="35" t="str">
        <f aca="false">IF(T195="","No data",INDEX(Config!$B$5:$B$9,T195))</f>
        <v>Low</v>
      </c>
      <c r="V195" s="7" t="str">
        <f aca="false">IF(Q195=0,"None",IF(S195="Y","Applied","Pending HO approval"))</f>
        <v>None</v>
      </c>
      <c r="W195" s="36" t="n">
        <f aca="false">SUMPRODUCT((Indicators!$L$5:$L$35&gt;0)*('Indicator Data'!$AE$5:$AE$35&lt;&gt;""))/SUMPRODUCT(--(Indicators!$L$5:$L$35&gt;0))</f>
        <v>1</v>
      </c>
    </row>
    <row r="196" customFormat="false" ht="15" hidden="false" customHeight="false" outlineLevel="0" collapsed="false">
      <c r="A196" s="26" t="str">
        <f aca="false">Entities!$A$32</f>
        <v>CN</v>
      </c>
      <c r="B196" s="12" t="str">
        <f aca="false">INDEX(Entities!$B$5:$B$34,MATCH(A196,Entities!$A$5:$A$34,0))</f>
        <v>Arab Bank – China</v>
      </c>
      <c r="C196" s="12" t="str">
        <f aca="false">INDEX(Entities!$D$5:$D$34,MATCH(A196,Entities!$A$5:$A$34,0))</f>
        <v>Asia-Pacific</v>
      </c>
      <c r="D196" s="12" t="s">
        <v>243</v>
      </c>
      <c r="E196" s="12" t="str">
        <f aca="false">INDEX('Risk Taxonomy'!$B$5:$B$24,MATCH(D196,'Risk Taxonomy'!$A$5:$A$24,0))</f>
        <v>Proliferation financing</v>
      </c>
      <c r="F196" s="28" t="n">
        <f aca="false">IFERROR(SUMPRODUCT((Indicators!$B$5:$B$35=F$4)*Indicators!$M$5:$M$35*'Indicator Scores'!$AE$5:$AE$35)/SUMPRODUCT((Indicators!$B$5:$B$35=F$4)*Indicators!$M$5:$M$35*('Indicator Scores'!$AE$5:$AE$35&gt;0)),0)</f>
        <v>1.75</v>
      </c>
      <c r="G196" s="28" t="n">
        <f aca="false">IFERROR(SUMPRODUCT((Indicators!$B$5:$B$35=G$4)*Indicators!$M$5:$M$35*'Indicator Scores'!$AE$5:$AE$35)/SUMPRODUCT((Indicators!$B$5:$B$35=G$4)*Indicators!$M$5:$M$35*('Indicator Scores'!$AE$5:$AE$35&gt;0)),0)</f>
        <v>1.625</v>
      </c>
      <c r="H196" s="28" t="n">
        <f aca="false">IFERROR(SUMPRODUCT((Indicators!$B$5:$B$35=H$4)*Indicators!$M$5:$M$35*'Indicator Scores'!$AE$5:$AE$35)/SUMPRODUCT((Indicators!$B$5:$B$35=H$4)*Indicators!$M$5:$M$35*('Indicator Scores'!$AE$5:$AE$35&gt;0)),0)</f>
        <v>1.44444444444444</v>
      </c>
      <c r="I196" s="28" t="n">
        <f aca="false">IFERROR(SUMPRODUCT((Indicators!$B$5:$B$35=I$4)*Indicators!$M$5:$M$35*'Indicator Scores'!$AE$5:$AE$35)/SUMPRODUCT((Indicators!$B$5:$B$35=I$4)*Indicators!$M$5:$M$35*('Indicator Scores'!$AE$5:$AE$35&gt;0)),0)</f>
        <v>2</v>
      </c>
      <c r="J196" s="28" t="n">
        <f aca="false">IFERROR(SUMPRODUCT((Indicators!$B$5:$B$35=J$4)*Indicators!$M$5:$M$35*'Indicator Scores'!$AE$5:$AE$35)/SUMPRODUCT((Indicators!$B$5:$B$35=J$4)*Indicators!$M$5:$M$35*('Indicator Scores'!$AE$5:$AE$35&gt;0)),0)</f>
        <v>1.5</v>
      </c>
      <c r="K196" s="28" t="n">
        <f aca="false">IFERROR(SUMPRODUCT(F196:J196,INDEX('Factor Weights'!$C$5:$G$11,MATCH(D196,'Factor Weights'!$A$5:$A$11,0),0))/SUMPRODUCT((F196:J196&gt;0)*INDEX('Factor Weights'!$C$5:$G$11,MATCH(D196,'Factor Weights'!$A$5:$A$11,0),0)),0)</f>
        <v>1.58333333333333</v>
      </c>
      <c r="L196" s="29" t="n">
        <f aca="false">MAX(F196:J196)</f>
        <v>2</v>
      </c>
      <c r="M196" s="28" t="n">
        <f aca="false">IF(L196&gt;=Config!$C$13,MAX(K196,Config!$C$14),K196)</f>
        <v>1.58333333333333</v>
      </c>
      <c r="N196" s="30" t="n">
        <f aca="false">IF(Config!$C$12="Weighted average",K196,IF(Config!$C$12="Weighted with floor",M196,L196))</f>
        <v>1.58333333333333</v>
      </c>
      <c r="O196" s="31" t="n">
        <f aca="false">IF(N196&lt;Config!$D$5,"",MATCH(N196,Config!$D$5:$D$9,1))</f>
        <v>1</v>
      </c>
      <c r="P196" s="7" t="str">
        <f aca="false">IF(O196="","No data",INDEX(Config!$B$5:$B$9,O196))</f>
        <v>Low</v>
      </c>
      <c r="Q196" s="32" t="n">
        <v>0</v>
      </c>
      <c r="R196" s="8"/>
      <c r="S196" s="33"/>
      <c r="T196" s="34" t="n">
        <f aca="false">IF(O196="","",IF(AND(S196="Y",Q196&lt;&gt;0),MAX(1,MIN(5,O196+MAX(-Config!$C$27,MIN(Config!$C$27,Q196)))),O196))</f>
        <v>1</v>
      </c>
      <c r="U196" s="35" t="str">
        <f aca="false">IF(T196="","No data",INDEX(Config!$B$5:$B$9,T196))</f>
        <v>Low</v>
      </c>
      <c r="V196" s="7" t="str">
        <f aca="false">IF(Q196=0,"None",IF(S196="Y","Applied","Pending HO approval"))</f>
        <v>None</v>
      </c>
      <c r="W196" s="36" t="n">
        <f aca="false">SUMPRODUCT((Indicators!$M$5:$M$35&gt;0)*('Indicator Data'!$AE$5:$AE$35&lt;&gt;""))/SUMPRODUCT(--(Indicators!$M$5:$M$35&gt;0))</f>
        <v>1</v>
      </c>
    </row>
    <row r="197" customFormat="false" ht="15" hidden="false" customHeight="false" outlineLevel="0" collapsed="false">
      <c r="A197" s="26" t="str">
        <f aca="false">Entities!$A$32</f>
        <v>CN</v>
      </c>
      <c r="B197" s="12" t="str">
        <f aca="false">INDEX(Entities!$B$5:$B$34,MATCH(A197,Entities!$A$5:$A$34,0))</f>
        <v>Arab Bank – China</v>
      </c>
      <c r="C197" s="12" t="str">
        <f aca="false">INDEX(Entities!$D$5:$D$34,MATCH(A197,Entities!$A$5:$A$34,0))</f>
        <v>Asia-Pacific</v>
      </c>
      <c r="D197" s="12" t="s">
        <v>245</v>
      </c>
      <c r="E197" s="12" t="str">
        <f aca="false">INDEX('Risk Taxonomy'!$B$5:$B$24,MATCH(D197,'Risk Taxonomy'!$A$5:$A$24,0))</f>
        <v>Sanctions</v>
      </c>
      <c r="F197" s="28" t="n">
        <f aca="false">IFERROR(SUMPRODUCT((Indicators!$B$5:$B$35=F$4)*Indicators!$N$5:$N$35*'Indicator Scores'!$AE$5:$AE$35)/SUMPRODUCT((Indicators!$B$5:$B$35=F$4)*Indicators!$N$5:$N$35*('Indicator Scores'!$AE$5:$AE$35&gt;0)),0)</f>
        <v>1.85714285714286</v>
      </c>
      <c r="G197" s="28" t="n">
        <f aca="false">IFERROR(SUMPRODUCT((Indicators!$B$5:$B$35=G$4)*Indicators!$N$5:$N$35*'Indicator Scores'!$AE$5:$AE$35)/SUMPRODUCT((Indicators!$B$5:$B$35=G$4)*Indicators!$N$5:$N$35*('Indicator Scores'!$AE$5:$AE$35&gt;0)),0)</f>
        <v>1.71428571428571</v>
      </c>
      <c r="H197" s="28" t="n">
        <f aca="false">IFERROR(SUMPRODUCT((Indicators!$B$5:$B$35=H$4)*Indicators!$N$5:$N$35*'Indicator Scores'!$AE$5:$AE$35)/SUMPRODUCT((Indicators!$B$5:$B$35=H$4)*Indicators!$N$5:$N$35*('Indicator Scores'!$AE$5:$AE$35&gt;0)),0)</f>
        <v>1.375</v>
      </c>
      <c r="I197" s="28" t="n">
        <f aca="false">IFERROR(SUMPRODUCT((Indicators!$B$5:$B$35=I$4)*Indicators!$N$5:$N$35*'Indicator Scores'!$AE$5:$AE$35)/SUMPRODUCT((Indicators!$B$5:$B$35=I$4)*Indicators!$N$5:$N$35*('Indicator Scores'!$AE$5:$AE$35&gt;0)),0)</f>
        <v>2</v>
      </c>
      <c r="J197" s="28" t="n">
        <f aca="false">IFERROR(SUMPRODUCT((Indicators!$B$5:$B$35=J$4)*Indicators!$N$5:$N$35*'Indicator Scores'!$AE$5:$AE$35)/SUMPRODUCT((Indicators!$B$5:$B$35=J$4)*Indicators!$N$5:$N$35*('Indicator Scores'!$AE$5:$AE$35&gt;0)),0)</f>
        <v>1.4</v>
      </c>
      <c r="K197" s="28" t="n">
        <f aca="false">IFERROR(SUMPRODUCT(F197:J197,INDEX('Factor Weights'!$C$5:$G$11,MATCH(D197,'Factor Weights'!$A$5:$A$11,0),0))/SUMPRODUCT((F197:J197&gt;0)*INDEX('Factor Weights'!$C$5:$G$11,MATCH(D197,'Factor Weights'!$A$5:$A$11,0),0)),0)</f>
        <v>1.61928571428571</v>
      </c>
      <c r="L197" s="29" t="n">
        <f aca="false">MAX(F197:J197)</f>
        <v>2</v>
      </c>
      <c r="M197" s="28" t="n">
        <f aca="false">IF(L197&gt;=Config!$C$13,MAX(K197,Config!$C$14),K197)</f>
        <v>1.61928571428571</v>
      </c>
      <c r="N197" s="30" t="n">
        <f aca="false">IF(Config!$C$12="Weighted average",K197,IF(Config!$C$12="Weighted with floor",M197,L197))</f>
        <v>1.61928571428571</v>
      </c>
      <c r="O197" s="31" t="n">
        <f aca="false">IF(N197&lt;Config!$D$5,"",MATCH(N197,Config!$D$5:$D$9,1))</f>
        <v>1</v>
      </c>
      <c r="P197" s="7" t="str">
        <f aca="false">IF(O197="","No data",INDEX(Config!$B$5:$B$9,O197))</f>
        <v>Low</v>
      </c>
      <c r="Q197" s="32" t="n">
        <v>0</v>
      </c>
      <c r="R197" s="8"/>
      <c r="S197" s="33"/>
      <c r="T197" s="34" t="n">
        <f aca="false">IF(O197="","",IF(AND(S197="Y",Q197&lt;&gt;0),MAX(1,MIN(5,O197+MAX(-Config!$C$27,MIN(Config!$C$27,Q197)))),O197))</f>
        <v>1</v>
      </c>
      <c r="U197" s="35" t="str">
        <f aca="false">IF(T197="","No data",INDEX(Config!$B$5:$B$9,T197))</f>
        <v>Low</v>
      </c>
      <c r="V197" s="7" t="str">
        <f aca="false">IF(Q197=0,"None",IF(S197="Y","Applied","Pending HO approval"))</f>
        <v>None</v>
      </c>
      <c r="W197" s="36" t="n">
        <f aca="false">SUMPRODUCT((Indicators!$N$5:$N$35&gt;0)*('Indicator Data'!$AE$5:$AE$35&lt;&gt;""))/SUMPRODUCT(--(Indicators!$N$5:$N$35&gt;0))</f>
        <v>1</v>
      </c>
    </row>
    <row r="198" customFormat="false" ht="15" hidden="false" customHeight="false" outlineLevel="0" collapsed="false">
      <c r="A198" s="26" t="str">
        <f aca="false">Entities!$A$32</f>
        <v>CN</v>
      </c>
      <c r="B198" s="12" t="str">
        <f aca="false">INDEX(Entities!$B$5:$B$34,MATCH(A198,Entities!$A$5:$A$34,0))</f>
        <v>Arab Bank – China</v>
      </c>
      <c r="C198" s="12" t="str">
        <f aca="false">INDEX(Entities!$D$5:$D$34,MATCH(A198,Entities!$A$5:$A$34,0))</f>
        <v>Asia-Pacific</v>
      </c>
      <c r="D198" s="12" t="s">
        <v>248</v>
      </c>
      <c r="E198" s="12" t="str">
        <f aca="false">INDEX('Risk Taxonomy'!$B$5:$B$24,MATCH(D198,'Risk Taxonomy'!$A$5:$A$24,0))</f>
        <v>Bribery and corruption</v>
      </c>
      <c r="F198" s="28" t="n">
        <f aca="false">IFERROR(SUMPRODUCT((Indicators!$B$5:$B$35=F$4)*Indicators!$O$5:$O$35*'Indicator Scores'!$AE$5:$AE$35)/SUMPRODUCT((Indicators!$B$5:$B$35=F$4)*Indicators!$O$5:$O$35*('Indicator Scores'!$AE$5:$AE$35&gt;0)),0)</f>
        <v>1.55555555555556</v>
      </c>
      <c r="G198" s="28" t="n">
        <f aca="false">IFERROR(SUMPRODUCT((Indicators!$B$5:$B$35=G$4)*Indicators!$O$5:$O$35*'Indicator Scores'!$AE$5:$AE$35)/SUMPRODUCT((Indicators!$B$5:$B$35=G$4)*Indicators!$O$5:$O$35*('Indicator Scores'!$AE$5:$AE$35&gt;0)),0)</f>
        <v>1.6</v>
      </c>
      <c r="H198" s="28" t="n">
        <f aca="false">IFERROR(SUMPRODUCT((Indicators!$B$5:$B$35=H$4)*Indicators!$O$5:$O$35*'Indicator Scores'!$AE$5:$AE$35)/SUMPRODUCT((Indicators!$B$5:$B$35=H$4)*Indicators!$O$5:$O$35*('Indicator Scores'!$AE$5:$AE$35&gt;0)),0)</f>
        <v>1</v>
      </c>
      <c r="I198" s="28" t="n">
        <f aca="false">IFERROR(SUMPRODUCT((Indicators!$B$5:$B$35=I$4)*Indicators!$O$5:$O$35*'Indicator Scores'!$AE$5:$AE$35)/SUMPRODUCT((Indicators!$B$5:$B$35=I$4)*Indicators!$O$5:$O$35*('Indicator Scores'!$AE$5:$AE$35&gt;0)),0)</f>
        <v>2</v>
      </c>
      <c r="J198" s="28" t="n">
        <f aca="false">IFERROR(SUMPRODUCT((Indicators!$B$5:$B$35=J$4)*Indicators!$O$5:$O$35*'Indicator Scores'!$AE$5:$AE$35)/SUMPRODUCT((Indicators!$B$5:$B$35=J$4)*Indicators!$O$5:$O$35*('Indicator Scores'!$AE$5:$AE$35&gt;0)),0)</f>
        <v>2</v>
      </c>
      <c r="K198" s="28" t="n">
        <f aca="false">IFERROR(SUMPRODUCT(F198:J198,INDEX('Factor Weights'!$C$5:$G$11,MATCH(D198,'Factor Weights'!$A$5:$A$11,0),0))/SUMPRODUCT((F198:J198&gt;0)*INDEX('Factor Weights'!$C$5:$G$11,MATCH(D198,'Factor Weights'!$A$5:$A$11,0),0)),0)</f>
        <v>1.61666666666667</v>
      </c>
      <c r="L198" s="29" t="n">
        <f aca="false">MAX(F198:J198)</f>
        <v>2</v>
      </c>
      <c r="M198" s="28" t="n">
        <f aca="false">IF(L198&gt;=Config!$C$13,MAX(K198,Config!$C$14),K198)</f>
        <v>1.61666666666667</v>
      </c>
      <c r="N198" s="30" t="n">
        <f aca="false">IF(Config!$C$12="Weighted average",K198,IF(Config!$C$12="Weighted with floor",M198,L198))</f>
        <v>1.61666666666667</v>
      </c>
      <c r="O198" s="31" t="n">
        <f aca="false">IF(N198&lt;Config!$D$5,"",MATCH(N198,Config!$D$5:$D$9,1))</f>
        <v>1</v>
      </c>
      <c r="P198" s="7" t="str">
        <f aca="false">IF(O198="","No data",INDEX(Config!$B$5:$B$9,O198))</f>
        <v>Low</v>
      </c>
      <c r="Q198" s="32" t="n">
        <v>0</v>
      </c>
      <c r="R198" s="8"/>
      <c r="S198" s="33"/>
      <c r="T198" s="34" t="n">
        <f aca="false">IF(O198="","",IF(AND(S198="Y",Q198&lt;&gt;0),MAX(1,MIN(5,O198+MAX(-Config!$C$27,MIN(Config!$C$27,Q198)))),O198))</f>
        <v>1</v>
      </c>
      <c r="U198" s="35" t="str">
        <f aca="false">IF(T198="","No data",INDEX(Config!$B$5:$B$9,T198))</f>
        <v>Low</v>
      </c>
      <c r="V198" s="7" t="str">
        <f aca="false">IF(Q198=0,"None",IF(S198="Y","Applied","Pending HO approval"))</f>
        <v>None</v>
      </c>
      <c r="W198" s="36" t="n">
        <f aca="false">SUMPRODUCT((Indicators!$O$5:$O$35&gt;0)*('Indicator Data'!$AE$5:$AE$35&lt;&gt;""))/SUMPRODUCT(--(Indicators!$O$5:$O$35&gt;0))</f>
        <v>1</v>
      </c>
    </row>
    <row r="199" customFormat="false" ht="15" hidden="false" customHeight="false" outlineLevel="0" collapsed="false">
      <c r="A199" s="26" t="str">
        <f aca="false">Entities!$A$32</f>
        <v>CN</v>
      </c>
      <c r="B199" s="12" t="str">
        <f aca="false">INDEX(Entities!$B$5:$B$34,MATCH(A199,Entities!$A$5:$A$34,0))</f>
        <v>Arab Bank – China</v>
      </c>
      <c r="C199" s="12" t="str">
        <f aca="false">INDEX(Entities!$D$5:$D$34,MATCH(A199,Entities!$A$5:$A$34,0))</f>
        <v>Asia-Pacific</v>
      </c>
      <c r="D199" s="12" t="s">
        <v>251</v>
      </c>
      <c r="E199" s="12" t="str">
        <f aca="false">INDEX('Risk Taxonomy'!$B$5:$B$24,MATCH(D199,'Risk Taxonomy'!$A$5:$A$24,0))</f>
        <v>Fraud</v>
      </c>
      <c r="F199" s="28" t="n">
        <f aca="false">IFERROR(SUMPRODUCT((Indicators!$B$5:$B$35=F$4)*Indicators!$P$5:$P$35*'Indicator Scores'!$AE$5:$AE$35)/SUMPRODUCT((Indicators!$B$5:$B$35=F$4)*Indicators!$P$5:$P$35*('Indicator Scores'!$AE$5:$AE$35&gt;0)),0)</f>
        <v>2.33333333333333</v>
      </c>
      <c r="G199" s="28" t="n">
        <f aca="false">IFERROR(SUMPRODUCT((Indicators!$B$5:$B$35=G$4)*Indicators!$P$5:$P$35*'Indicator Scores'!$AE$5:$AE$35)/SUMPRODUCT((Indicators!$B$5:$B$35=G$4)*Indicators!$P$5:$P$35*('Indicator Scores'!$AE$5:$AE$35&gt;0)),0)</f>
        <v>1.75</v>
      </c>
      <c r="H199" s="28" t="n">
        <f aca="false">IFERROR(SUMPRODUCT((Indicators!$B$5:$B$35=H$4)*Indicators!$P$5:$P$35*'Indicator Scores'!$AE$5:$AE$35)/SUMPRODUCT((Indicators!$B$5:$B$35=H$4)*Indicators!$P$5:$P$35*('Indicator Scores'!$AE$5:$AE$35&gt;0)),0)</f>
        <v>1.4</v>
      </c>
      <c r="I199" s="28" t="n">
        <f aca="false">IFERROR(SUMPRODUCT((Indicators!$B$5:$B$35=I$4)*Indicators!$P$5:$P$35*'Indicator Scores'!$AE$5:$AE$35)/SUMPRODUCT((Indicators!$B$5:$B$35=I$4)*Indicators!$P$5:$P$35*('Indicator Scores'!$AE$5:$AE$35&gt;0)),0)</f>
        <v>1.66666666666667</v>
      </c>
      <c r="J199" s="28" t="n">
        <f aca="false">IFERROR(SUMPRODUCT((Indicators!$B$5:$B$35=J$4)*Indicators!$P$5:$P$35*'Indicator Scores'!$AE$5:$AE$35)/SUMPRODUCT((Indicators!$B$5:$B$35=J$4)*Indicators!$P$5:$P$35*('Indicator Scores'!$AE$5:$AE$35&gt;0)),0)</f>
        <v>1.8</v>
      </c>
      <c r="K199" s="28" t="n">
        <f aca="false">IFERROR(SUMPRODUCT(F199:J199,INDEX('Factor Weights'!$C$5:$G$11,MATCH(D199,'Factor Weights'!$A$5:$A$11,0),0))/SUMPRODUCT((F199:J199&gt;0)*INDEX('Factor Weights'!$C$5:$G$11,MATCH(D199,'Factor Weights'!$A$5:$A$11,0),0)),0)</f>
        <v>1.78166666666667</v>
      </c>
      <c r="L199" s="29" t="n">
        <f aca="false">MAX(F199:J199)</f>
        <v>2.33333333333333</v>
      </c>
      <c r="M199" s="28" t="n">
        <f aca="false">IF(L199&gt;=Config!$C$13,MAX(K199,Config!$C$14),K199)</f>
        <v>1.78166666666667</v>
      </c>
      <c r="N199" s="30" t="n">
        <f aca="false">IF(Config!$C$12="Weighted average",K199,IF(Config!$C$12="Weighted with floor",M199,L199))</f>
        <v>1.78166666666667</v>
      </c>
      <c r="O199" s="31" t="n">
        <f aca="false">IF(N199&lt;Config!$D$5,"",MATCH(N199,Config!$D$5:$D$9,1))</f>
        <v>1</v>
      </c>
      <c r="P199" s="7" t="str">
        <f aca="false">IF(O199="","No data",INDEX(Config!$B$5:$B$9,O199))</f>
        <v>Low</v>
      </c>
      <c r="Q199" s="32" t="n">
        <v>0</v>
      </c>
      <c r="R199" s="8"/>
      <c r="S199" s="33"/>
      <c r="T199" s="34" t="n">
        <f aca="false">IF(O199="","",IF(AND(S199="Y",Q199&lt;&gt;0),MAX(1,MIN(5,O199+MAX(-Config!$C$27,MIN(Config!$C$27,Q199)))),O199))</f>
        <v>1</v>
      </c>
      <c r="U199" s="35" t="str">
        <f aca="false">IF(T199="","No data",INDEX(Config!$B$5:$B$9,T199))</f>
        <v>Low</v>
      </c>
      <c r="V199" s="7" t="str">
        <f aca="false">IF(Q199=0,"None",IF(S199="Y","Applied","Pending HO approval"))</f>
        <v>None</v>
      </c>
      <c r="W199" s="36" t="n">
        <f aca="false">SUMPRODUCT((Indicators!$P$5:$P$35&gt;0)*('Indicator Data'!$AE$5:$AE$35&lt;&gt;""))/SUMPRODUCT(--(Indicators!$P$5:$P$35&gt;0))</f>
        <v>1</v>
      </c>
    </row>
    <row r="200" customFormat="false" ht="15" hidden="false" customHeight="false" outlineLevel="0" collapsed="false">
      <c r="A200" s="26" t="str">
        <f aca="false">Entities!$A$32</f>
        <v>CN</v>
      </c>
      <c r="B200" s="12" t="str">
        <f aca="false">INDEX(Entities!$B$5:$B$34,MATCH(A200,Entities!$A$5:$A$34,0))</f>
        <v>Arab Bank – China</v>
      </c>
      <c r="C200" s="12" t="str">
        <f aca="false">INDEX(Entities!$D$5:$D$34,MATCH(A200,Entities!$A$5:$A$34,0))</f>
        <v>Asia-Pacific</v>
      </c>
      <c r="D200" s="12" t="s">
        <v>254</v>
      </c>
      <c r="E200" s="12" t="str">
        <f aca="false">INDEX('Risk Taxonomy'!$B$5:$B$24,MATCH(D200,'Risk Taxonomy'!$A$5:$A$24,0))</f>
        <v>Tax evasion and tax transparency</v>
      </c>
      <c r="F200" s="28" t="n">
        <f aca="false">IFERROR(SUMPRODUCT((Indicators!$B$5:$B$35=F$4)*Indicators!$Q$5:$Q$35*'Indicator Scores'!$AE$5:$AE$35)/SUMPRODUCT((Indicators!$B$5:$B$35=F$4)*Indicators!$Q$5:$Q$35*('Indicator Scores'!$AE$5:$AE$35&gt;0)),0)</f>
        <v>1.88888888888889</v>
      </c>
      <c r="G200" s="28" t="n">
        <f aca="false">IFERROR(SUMPRODUCT((Indicators!$B$5:$B$35=G$4)*Indicators!$Q$5:$Q$35*'Indicator Scores'!$AE$5:$AE$35)/SUMPRODUCT((Indicators!$B$5:$B$35=G$4)*Indicators!$Q$5:$Q$35*('Indicator Scores'!$AE$5:$AE$35&gt;0)),0)</f>
        <v>2.16666666666667</v>
      </c>
      <c r="H200" s="28" t="n">
        <f aca="false">IFERROR(SUMPRODUCT((Indicators!$B$5:$B$35=H$4)*Indicators!$Q$5:$Q$35*'Indicator Scores'!$AE$5:$AE$35)/SUMPRODUCT((Indicators!$B$5:$B$35=H$4)*Indicators!$Q$5:$Q$35*('Indicator Scores'!$AE$5:$AE$35&gt;0)),0)</f>
        <v>1.33333333333333</v>
      </c>
      <c r="I200" s="28" t="n">
        <f aca="false">IFERROR(SUMPRODUCT((Indicators!$B$5:$B$35=I$4)*Indicators!$Q$5:$Q$35*'Indicator Scores'!$AE$5:$AE$35)/SUMPRODUCT((Indicators!$B$5:$B$35=I$4)*Indicators!$Q$5:$Q$35*('Indicator Scores'!$AE$5:$AE$35&gt;0)),0)</f>
        <v>1.5</v>
      </c>
      <c r="J200" s="28" t="n">
        <f aca="false">IFERROR(SUMPRODUCT((Indicators!$B$5:$B$35=J$4)*Indicators!$Q$5:$Q$35*'Indicator Scores'!$AE$5:$AE$35)/SUMPRODUCT((Indicators!$B$5:$B$35=J$4)*Indicators!$Q$5:$Q$35*('Indicator Scores'!$AE$5:$AE$35&gt;0)),0)</f>
        <v>1.2</v>
      </c>
      <c r="K200" s="28" t="n">
        <f aca="false">IFERROR(SUMPRODUCT(F200:J200,INDEX('Factor Weights'!$C$5:$G$11,MATCH(D200,'Factor Weights'!$A$5:$A$11,0),0))/SUMPRODUCT((F200:J200&gt;0)*INDEX('Factor Weights'!$C$5:$G$11,MATCH(D200,'Factor Weights'!$A$5:$A$11,0),0)),0)</f>
        <v>1.73944444444444</v>
      </c>
      <c r="L200" s="29" t="n">
        <f aca="false">MAX(F200:J200)</f>
        <v>2.16666666666667</v>
      </c>
      <c r="M200" s="28" t="n">
        <f aca="false">IF(L200&gt;=Config!$C$13,MAX(K200,Config!$C$14),K200)</f>
        <v>1.73944444444444</v>
      </c>
      <c r="N200" s="30" t="n">
        <f aca="false">IF(Config!$C$12="Weighted average",K200,IF(Config!$C$12="Weighted with floor",M200,L200))</f>
        <v>1.73944444444444</v>
      </c>
      <c r="O200" s="31" t="n">
        <f aca="false">IF(N200&lt;Config!$D$5,"",MATCH(N200,Config!$D$5:$D$9,1))</f>
        <v>1</v>
      </c>
      <c r="P200" s="7" t="str">
        <f aca="false">IF(O200="","No data",INDEX(Config!$B$5:$B$9,O200))</f>
        <v>Low</v>
      </c>
      <c r="Q200" s="32" t="n">
        <v>0</v>
      </c>
      <c r="R200" s="8"/>
      <c r="S200" s="33"/>
      <c r="T200" s="34" t="n">
        <f aca="false">IF(O200="","",IF(AND(S200="Y",Q200&lt;&gt;0),MAX(1,MIN(5,O200+MAX(-Config!$C$27,MIN(Config!$C$27,Q200)))),O200))</f>
        <v>1</v>
      </c>
      <c r="U200" s="35" t="str">
        <f aca="false">IF(T200="","No data",INDEX(Config!$B$5:$B$9,T200))</f>
        <v>Low</v>
      </c>
      <c r="V200" s="7" t="str">
        <f aca="false">IF(Q200=0,"None",IF(S200="Y","Applied","Pending HO approval"))</f>
        <v>None</v>
      </c>
      <c r="W200" s="36" t="n">
        <f aca="false">SUMPRODUCT((Indicators!$Q$5:$Q$35&gt;0)*('Indicator Data'!$AE$5:$AE$35&lt;&gt;""))/SUMPRODUCT(--(Indicators!$Q$5:$Q$35&gt;0))</f>
        <v>1</v>
      </c>
    </row>
    <row r="201" customFormat="false" ht="15" hidden="false" customHeight="false" outlineLevel="0" collapsed="false">
      <c r="A201" s="26" t="str">
        <f aca="false">Entities!$A$33</f>
        <v>AU</v>
      </c>
      <c r="B201" s="12" t="str">
        <f aca="false">INDEX(Entities!$B$5:$B$34,MATCH(A201,Entities!$A$5:$A$34,0))</f>
        <v>Arab Bank Australia</v>
      </c>
      <c r="C201" s="12" t="str">
        <f aca="false">INDEX(Entities!$D$5:$D$34,MATCH(A201,Entities!$A$5:$A$34,0))</f>
        <v>Asia-Pacific</v>
      </c>
      <c r="D201" s="12" t="s">
        <v>233</v>
      </c>
      <c r="E201" s="12" t="str">
        <f aca="false">INDEX('Risk Taxonomy'!$B$5:$B$24,MATCH(D201,'Risk Taxonomy'!$A$5:$A$24,0))</f>
        <v>Money laundering</v>
      </c>
      <c r="F201" s="28" t="n">
        <f aca="false">IFERROR(SUMPRODUCT((Indicators!$B$5:$B$35=F$4)*Indicators!$K$5:$K$35*'Indicator Scores'!$AF$5:$AF$35)/SUMPRODUCT((Indicators!$B$5:$B$35=F$4)*Indicators!$K$5:$K$35*('Indicator Scores'!$AF$5:$AF$35&gt;0)),0)</f>
        <v>1.75</v>
      </c>
      <c r="G201" s="28" t="n">
        <f aca="false">IFERROR(SUMPRODUCT((Indicators!$B$5:$B$35=G$4)*Indicators!$K$5:$K$35*'Indicator Scores'!$AF$5:$AF$35)/SUMPRODUCT((Indicators!$B$5:$B$35=G$4)*Indicators!$K$5:$K$35*('Indicator Scores'!$AF$5:$AF$35&gt;0)),0)</f>
        <v>1.88888888888889</v>
      </c>
      <c r="H201" s="28" t="n">
        <f aca="false">IFERROR(SUMPRODUCT((Indicators!$B$5:$B$35=H$4)*Indicators!$K$5:$K$35*'Indicator Scores'!$AF$5:$AF$35)/SUMPRODUCT((Indicators!$B$5:$B$35=H$4)*Indicators!$K$5:$K$35*('Indicator Scores'!$AF$5:$AF$35&gt;0)),0)</f>
        <v>2.1</v>
      </c>
      <c r="I201" s="28" t="n">
        <f aca="false">IFERROR(SUMPRODUCT((Indicators!$B$5:$B$35=I$4)*Indicators!$K$5:$K$35*'Indicator Scores'!$AF$5:$AF$35)/SUMPRODUCT((Indicators!$B$5:$B$35=I$4)*Indicators!$K$5:$K$35*('Indicator Scores'!$AF$5:$AF$35&gt;0)),0)</f>
        <v>1.14285714285714</v>
      </c>
      <c r="J201" s="28" t="n">
        <f aca="false">IFERROR(SUMPRODUCT((Indicators!$B$5:$B$35=J$4)*Indicators!$K$5:$K$35*'Indicator Scores'!$AF$5:$AF$35)/SUMPRODUCT((Indicators!$B$5:$B$35=J$4)*Indicators!$K$5:$K$35*('Indicator Scores'!$AF$5:$AF$35&gt;0)),0)</f>
        <v>1.4</v>
      </c>
      <c r="K201" s="28" t="n">
        <f aca="false">IFERROR(SUMPRODUCT(F201:J201,INDEX('Factor Weights'!$C$5:$G$11,MATCH(D201,'Factor Weights'!$A$5:$A$11,0),0))/SUMPRODUCT((F201:J201&gt;0)*INDEX('Factor Weights'!$C$5:$G$11,MATCH(D201,'Factor Weights'!$A$5:$A$11,0),0)),0)</f>
        <v>1.72865079365079</v>
      </c>
      <c r="L201" s="29" t="n">
        <f aca="false">MAX(F201:J201)</f>
        <v>2.1</v>
      </c>
      <c r="M201" s="28" t="n">
        <f aca="false">IF(L201&gt;=Config!$C$13,MAX(K201,Config!$C$14),K201)</f>
        <v>1.72865079365079</v>
      </c>
      <c r="N201" s="30" t="n">
        <f aca="false">IF(Config!$C$12="Weighted average",K201,IF(Config!$C$12="Weighted with floor",M201,L201))</f>
        <v>1.72865079365079</v>
      </c>
      <c r="O201" s="31" t="n">
        <f aca="false">IF(N201&lt;Config!$D$5,"",MATCH(N201,Config!$D$5:$D$9,1))</f>
        <v>1</v>
      </c>
      <c r="P201" s="7" t="str">
        <f aca="false">IF(O201="","No data",INDEX(Config!$B$5:$B$9,O201))</f>
        <v>Low</v>
      </c>
      <c r="Q201" s="32" t="n">
        <v>0</v>
      </c>
      <c r="R201" s="8"/>
      <c r="S201" s="33"/>
      <c r="T201" s="34" t="n">
        <f aca="false">IF(O201="","",IF(AND(S201="Y",Q201&lt;&gt;0),MAX(1,MIN(5,O201+MAX(-Config!$C$27,MIN(Config!$C$27,Q201)))),O201))</f>
        <v>1</v>
      </c>
      <c r="U201" s="35" t="str">
        <f aca="false">IF(T201="","No data",INDEX(Config!$B$5:$B$9,T201))</f>
        <v>Low</v>
      </c>
      <c r="V201" s="7" t="str">
        <f aca="false">IF(Q201=0,"None",IF(S201="Y","Applied","Pending HO approval"))</f>
        <v>None</v>
      </c>
      <c r="W201" s="36" t="n">
        <f aca="false">SUMPRODUCT((Indicators!$K$5:$K$35&gt;0)*('Indicator Data'!$AF$5:$AF$35&lt;&gt;""))/SUMPRODUCT(--(Indicators!$K$5:$K$35&gt;0))</f>
        <v>1</v>
      </c>
    </row>
    <row r="202" customFormat="false" ht="15" hidden="false" customHeight="false" outlineLevel="0" collapsed="false">
      <c r="A202" s="26" t="str">
        <f aca="false">Entities!$A$33</f>
        <v>AU</v>
      </c>
      <c r="B202" s="12" t="str">
        <f aca="false">INDEX(Entities!$B$5:$B$34,MATCH(A202,Entities!$A$5:$A$34,0))</f>
        <v>Arab Bank Australia</v>
      </c>
      <c r="C202" s="12" t="str">
        <f aca="false">INDEX(Entities!$D$5:$D$34,MATCH(A202,Entities!$A$5:$A$34,0))</f>
        <v>Asia-Pacific</v>
      </c>
      <c r="D202" s="12" t="s">
        <v>240</v>
      </c>
      <c r="E202" s="12" t="str">
        <f aca="false">INDEX('Risk Taxonomy'!$B$5:$B$24,MATCH(D202,'Risk Taxonomy'!$A$5:$A$24,0))</f>
        <v>Terrorist financing</v>
      </c>
      <c r="F202" s="28" t="n">
        <f aca="false">IFERROR(SUMPRODUCT((Indicators!$B$5:$B$35=F$4)*Indicators!$L$5:$L$35*'Indicator Scores'!$AF$5:$AF$35)/SUMPRODUCT((Indicators!$B$5:$B$35=F$4)*Indicators!$L$5:$L$35*('Indicator Scores'!$AF$5:$AF$35&gt;0)),0)</f>
        <v>1.5</v>
      </c>
      <c r="G202" s="28" t="n">
        <f aca="false">IFERROR(SUMPRODUCT((Indicators!$B$5:$B$35=G$4)*Indicators!$L$5:$L$35*'Indicator Scores'!$AF$5:$AF$35)/SUMPRODUCT((Indicators!$B$5:$B$35=G$4)*Indicators!$L$5:$L$35*('Indicator Scores'!$AF$5:$AF$35&gt;0)),0)</f>
        <v>1.88888888888889</v>
      </c>
      <c r="H202" s="28" t="n">
        <f aca="false">IFERROR(SUMPRODUCT((Indicators!$B$5:$B$35=H$4)*Indicators!$L$5:$L$35*'Indicator Scores'!$AF$5:$AF$35)/SUMPRODUCT((Indicators!$B$5:$B$35=H$4)*Indicators!$L$5:$L$35*('Indicator Scores'!$AF$5:$AF$35&gt;0)),0)</f>
        <v>2.16666666666667</v>
      </c>
      <c r="I202" s="28" t="n">
        <f aca="false">IFERROR(SUMPRODUCT((Indicators!$B$5:$B$35=I$4)*Indicators!$L$5:$L$35*'Indicator Scores'!$AF$5:$AF$35)/SUMPRODUCT((Indicators!$B$5:$B$35=I$4)*Indicators!$L$5:$L$35*('Indicator Scores'!$AF$5:$AF$35&gt;0)),0)</f>
        <v>1.16666666666667</v>
      </c>
      <c r="J202" s="28" t="n">
        <f aca="false">IFERROR(SUMPRODUCT((Indicators!$B$5:$B$35=J$4)*Indicators!$L$5:$L$35*'Indicator Scores'!$AF$5:$AF$35)/SUMPRODUCT((Indicators!$B$5:$B$35=J$4)*Indicators!$L$5:$L$35*('Indicator Scores'!$AF$5:$AF$35&gt;0)),0)</f>
        <v>1.28571428571429</v>
      </c>
      <c r="K202" s="28" t="n">
        <f aca="false">IFERROR(SUMPRODUCT(F202:J202,INDEX('Factor Weights'!$C$5:$G$11,MATCH(D202,'Factor Weights'!$A$5:$A$11,0),0))/SUMPRODUCT((F202:J202&gt;0)*INDEX('Factor Weights'!$C$5:$G$11,MATCH(D202,'Factor Weights'!$A$5:$A$11,0),0)),0)</f>
        <v>1.64047619047619</v>
      </c>
      <c r="L202" s="29" t="n">
        <f aca="false">MAX(F202:J202)</f>
        <v>2.16666666666667</v>
      </c>
      <c r="M202" s="28" t="n">
        <f aca="false">IF(L202&gt;=Config!$C$13,MAX(K202,Config!$C$14),K202)</f>
        <v>1.64047619047619</v>
      </c>
      <c r="N202" s="30" t="n">
        <f aca="false">IF(Config!$C$12="Weighted average",K202,IF(Config!$C$12="Weighted with floor",M202,L202))</f>
        <v>1.64047619047619</v>
      </c>
      <c r="O202" s="31" t="n">
        <f aca="false">IF(N202&lt;Config!$D$5,"",MATCH(N202,Config!$D$5:$D$9,1))</f>
        <v>1</v>
      </c>
      <c r="P202" s="7" t="str">
        <f aca="false">IF(O202="","No data",INDEX(Config!$B$5:$B$9,O202))</f>
        <v>Low</v>
      </c>
      <c r="Q202" s="32" t="n">
        <v>0</v>
      </c>
      <c r="R202" s="8"/>
      <c r="S202" s="33"/>
      <c r="T202" s="34" t="n">
        <f aca="false">IF(O202="","",IF(AND(S202="Y",Q202&lt;&gt;0),MAX(1,MIN(5,O202+MAX(-Config!$C$27,MIN(Config!$C$27,Q202)))),O202))</f>
        <v>1</v>
      </c>
      <c r="U202" s="35" t="str">
        <f aca="false">IF(T202="","No data",INDEX(Config!$B$5:$B$9,T202))</f>
        <v>Low</v>
      </c>
      <c r="V202" s="7" t="str">
        <f aca="false">IF(Q202=0,"None",IF(S202="Y","Applied","Pending HO approval"))</f>
        <v>None</v>
      </c>
      <c r="W202" s="36" t="n">
        <f aca="false">SUMPRODUCT((Indicators!$L$5:$L$35&gt;0)*('Indicator Data'!$AF$5:$AF$35&lt;&gt;""))/SUMPRODUCT(--(Indicators!$L$5:$L$35&gt;0))</f>
        <v>1</v>
      </c>
    </row>
    <row r="203" customFormat="false" ht="15" hidden="false" customHeight="false" outlineLevel="0" collapsed="false">
      <c r="A203" s="26" t="str">
        <f aca="false">Entities!$A$33</f>
        <v>AU</v>
      </c>
      <c r="B203" s="12" t="str">
        <f aca="false">INDEX(Entities!$B$5:$B$34,MATCH(A203,Entities!$A$5:$A$34,0))</f>
        <v>Arab Bank Australia</v>
      </c>
      <c r="C203" s="12" t="str">
        <f aca="false">INDEX(Entities!$D$5:$D$34,MATCH(A203,Entities!$A$5:$A$34,0))</f>
        <v>Asia-Pacific</v>
      </c>
      <c r="D203" s="12" t="s">
        <v>243</v>
      </c>
      <c r="E203" s="12" t="str">
        <f aca="false">INDEX('Risk Taxonomy'!$B$5:$B$24,MATCH(D203,'Risk Taxonomy'!$A$5:$A$24,0))</f>
        <v>Proliferation financing</v>
      </c>
      <c r="F203" s="28" t="n">
        <f aca="false">IFERROR(SUMPRODUCT((Indicators!$B$5:$B$35=F$4)*Indicators!$M$5:$M$35*'Indicator Scores'!$AF$5:$AF$35)/SUMPRODUCT((Indicators!$B$5:$B$35=F$4)*Indicators!$M$5:$M$35*('Indicator Scores'!$AF$5:$AF$35&gt;0)),0)</f>
        <v>1.75</v>
      </c>
      <c r="G203" s="28" t="n">
        <f aca="false">IFERROR(SUMPRODUCT((Indicators!$B$5:$B$35=G$4)*Indicators!$M$5:$M$35*'Indicator Scores'!$AF$5:$AF$35)/SUMPRODUCT((Indicators!$B$5:$B$35=G$4)*Indicators!$M$5:$M$35*('Indicator Scores'!$AF$5:$AF$35&gt;0)),0)</f>
        <v>1.625</v>
      </c>
      <c r="H203" s="28" t="n">
        <f aca="false">IFERROR(SUMPRODUCT((Indicators!$B$5:$B$35=H$4)*Indicators!$M$5:$M$35*'Indicator Scores'!$AF$5:$AF$35)/SUMPRODUCT((Indicators!$B$5:$B$35=H$4)*Indicators!$M$5:$M$35*('Indicator Scores'!$AF$5:$AF$35&gt;0)),0)</f>
        <v>1.66666666666667</v>
      </c>
      <c r="I203" s="28" t="n">
        <f aca="false">IFERROR(SUMPRODUCT((Indicators!$B$5:$B$35=I$4)*Indicators!$M$5:$M$35*'Indicator Scores'!$AF$5:$AF$35)/SUMPRODUCT((Indicators!$B$5:$B$35=I$4)*Indicators!$M$5:$M$35*('Indicator Scores'!$AF$5:$AF$35&gt;0)),0)</f>
        <v>1</v>
      </c>
      <c r="J203" s="28" t="n">
        <f aca="false">IFERROR(SUMPRODUCT((Indicators!$B$5:$B$35=J$4)*Indicators!$M$5:$M$35*'Indicator Scores'!$AF$5:$AF$35)/SUMPRODUCT((Indicators!$B$5:$B$35=J$4)*Indicators!$M$5:$M$35*('Indicator Scores'!$AF$5:$AF$35&gt;0)),0)</f>
        <v>1</v>
      </c>
      <c r="K203" s="28" t="n">
        <f aca="false">IFERROR(SUMPRODUCT(F203:J203,INDEX('Factor Weights'!$C$5:$G$11,MATCH(D203,'Factor Weights'!$A$5:$A$11,0),0))/SUMPRODUCT((F203:J203&gt;0)*INDEX('Factor Weights'!$C$5:$G$11,MATCH(D203,'Factor Weights'!$A$5:$A$11,0),0)),0)</f>
        <v>1.5</v>
      </c>
      <c r="L203" s="29" t="n">
        <f aca="false">MAX(F203:J203)</f>
        <v>1.75</v>
      </c>
      <c r="M203" s="28" t="n">
        <f aca="false">IF(L203&gt;=Config!$C$13,MAX(K203,Config!$C$14),K203)</f>
        <v>1.5</v>
      </c>
      <c r="N203" s="30" t="n">
        <f aca="false">IF(Config!$C$12="Weighted average",K203,IF(Config!$C$12="Weighted with floor",M203,L203))</f>
        <v>1.5</v>
      </c>
      <c r="O203" s="31" t="n">
        <f aca="false">IF(N203&lt;Config!$D$5,"",MATCH(N203,Config!$D$5:$D$9,1))</f>
        <v>1</v>
      </c>
      <c r="P203" s="7" t="str">
        <f aca="false">IF(O203="","No data",INDEX(Config!$B$5:$B$9,O203))</f>
        <v>Low</v>
      </c>
      <c r="Q203" s="32" t="n">
        <v>0</v>
      </c>
      <c r="R203" s="8"/>
      <c r="S203" s="33"/>
      <c r="T203" s="34" t="n">
        <f aca="false">IF(O203="","",IF(AND(S203="Y",Q203&lt;&gt;0),MAX(1,MIN(5,O203+MAX(-Config!$C$27,MIN(Config!$C$27,Q203)))),O203))</f>
        <v>1</v>
      </c>
      <c r="U203" s="35" t="str">
        <f aca="false">IF(T203="","No data",INDEX(Config!$B$5:$B$9,T203))</f>
        <v>Low</v>
      </c>
      <c r="V203" s="7" t="str">
        <f aca="false">IF(Q203=0,"None",IF(S203="Y","Applied","Pending HO approval"))</f>
        <v>None</v>
      </c>
      <c r="W203" s="36" t="n">
        <f aca="false">SUMPRODUCT((Indicators!$M$5:$M$35&gt;0)*('Indicator Data'!$AF$5:$AF$35&lt;&gt;""))/SUMPRODUCT(--(Indicators!$M$5:$M$35&gt;0))</f>
        <v>1</v>
      </c>
    </row>
    <row r="204" customFormat="false" ht="15" hidden="false" customHeight="false" outlineLevel="0" collapsed="false">
      <c r="A204" s="26" t="str">
        <f aca="false">Entities!$A$33</f>
        <v>AU</v>
      </c>
      <c r="B204" s="12" t="str">
        <f aca="false">INDEX(Entities!$B$5:$B$34,MATCH(A204,Entities!$A$5:$A$34,0))</f>
        <v>Arab Bank Australia</v>
      </c>
      <c r="C204" s="12" t="str">
        <f aca="false">INDEX(Entities!$D$5:$D$34,MATCH(A204,Entities!$A$5:$A$34,0))</f>
        <v>Asia-Pacific</v>
      </c>
      <c r="D204" s="12" t="s">
        <v>245</v>
      </c>
      <c r="E204" s="12" t="str">
        <f aca="false">INDEX('Risk Taxonomy'!$B$5:$B$24,MATCH(D204,'Risk Taxonomy'!$A$5:$A$24,0))</f>
        <v>Sanctions</v>
      </c>
      <c r="F204" s="28" t="n">
        <f aca="false">IFERROR(SUMPRODUCT((Indicators!$B$5:$B$35=F$4)*Indicators!$N$5:$N$35*'Indicator Scores'!$AF$5:$AF$35)/SUMPRODUCT((Indicators!$B$5:$B$35=F$4)*Indicators!$N$5:$N$35*('Indicator Scores'!$AF$5:$AF$35&gt;0)),0)</f>
        <v>1.42857142857143</v>
      </c>
      <c r="G204" s="28" t="n">
        <f aca="false">IFERROR(SUMPRODUCT((Indicators!$B$5:$B$35=G$4)*Indicators!$N$5:$N$35*'Indicator Scores'!$AF$5:$AF$35)/SUMPRODUCT((Indicators!$B$5:$B$35=G$4)*Indicators!$N$5:$N$35*('Indicator Scores'!$AF$5:$AF$35&gt;0)),0)</f>
        <v>1.57142857142857</v>
      </c>
      <c r="H204" s="28" t="n">
        <f aca="false">IFERROR(SUMPRODUCT((Indicators!$B$5:$B$35=H$4)*Indicators!$N$5:$N$35*'Indicator Scores'!$AF$5:$AF$35)/SUMPRODUCT((Indicators!$B$5:$B$35=H$4)*Indicators!$N$5:$N$35*('Indicator Scores'!$AF$5:$AF$35&gt;0)),0)</f>
        <v>1.875</v>
      </c>
      <c r="I204" s="28" t="n">
        <f aca="false">IFERROR(SUMPRODUCT((Indicators!$B$5:$B$35=I$4)*Indicators!$N$5:$N$35*'Indicator Scores'!$AF$5:$AF$35)/SUMPRODUCT((Indicators!$B$5:$B$35=I$4)*Indicators!$N$5:$N$35*('Indicator Scores'!$AF$5:$AF$35&gt;0)),0)</f>
        <v>1</v>
      </c>
      <c r="J204" s="28" t="n">
        <f aca="false">IFERROR(SUMPRODUCT((Indicators!$B$5:$B$35=J$4)*Indicators!$N$5:$N$35*'Indicator Scores'!$AF$5:$AF$35)/SUMPRODUCT((Indicators!$B$5:$B$35=J$4)*Indicators!$N$5:$N$35*('Indicator Scores'!$AF$5:$AF$35&gt;0)),0)</f>
        <v>1</v>
      </c>
      <c r="K204" s="28" t="n">
        <f aca="false">IFERROR(SUMPRODUCT(F204:J204,INDEX('Factor Weights'!$C$5:$G$11,MATCH(D204,'Factor Weights'!$A$5:$A$11,0),0))/SUMPRODUCT((F204:J204&gt;0)*INDEX('Factor Weights'!$C$5:$G$11,MATCH(D204,'Factor Weights'!$A$5:$A$11,0),0)),0)</f>
        <v>1.46785714285714</v>
      </c>
      <c r="L204" s="29" t="n">
        <f aca="false">MAX(F204:J204)</f>
        <v>1.875</v>
      </c>
      <c r="M204" s="28" t="n">
        <f aca="false">IF(L204&gt;=Config!$C$13,MAX(K204,Config!$C$14),K204)</f>
        <v>1.46785714285714</v>
      </c>
      <c r="N204" s="30" t="n">
        <f aca="false">IF(Config!$C$12="Weighted average",K204,IF(Config!$C$12="Weighted with floor",M204,L204))</f>
        <v>1.46785714285714</v>
      </c>
      <c r="O204" s="31" t="n">
        <f aca="false">IF(N204&lt;Config!$D$5,"",MATCH(N204,Config!$D$5:$D$9,1))</f>
        <v>1</v>
      </c>
      <c r="P204" s="7" t="str">
        <f aca="false">IF(O204="","No data",INDEX(Config!$B$5:$B$9,O204))</f>
        <v>Low</v>
      </c>
      <c r="Q204" s="32" t="n">
        <v>0</v>
      </c>
      <c r="R204" s="8"/>
      <c r="S204" s="33"/>
      <c r="T204" s="34" t="n">
        <f aca="false">IF(O204="","",IF(AND(S204="Y",Q204&lt;&gt;0),MAX(1,MIN(5,O204+MAX(-Config!$C$27,MIN(Config!$C$27,Q204)))),O204))</f>
        <v>1</v>
      </c>
      <c r="U204" s="35" t="str">
        <f aca="false">IF(T204="","No data",INDEX(Config!$B$5:$B$9,T204))</f>
        <v>Low</v>
      </c>
      <c r="V204" s="7" t="str">
        <f aca="false">IF(Q204=0,"None",IF(S204="Y","Applied","Pending HO approval"))</f>
        <v>None</v>
      </c>
      <c r="W204" s="36" t="n">
        <f aca="false">SUMPRODUCT((Indicators!$N$5:$N$35&gt;0)*('Indicator Data'!$AF$5:$AF$35&lt;&gt;""))/SUMPRODUCT(--(Indicators!$N$5:$N$35&gt;0))</f>
        <v>1</v>
      </c>
    </row>
    <row r="205" customFormat="false" ht="15" hidden="false" customHeight="false" outlineLevel="0" collapsed="false">
      <c r="A205" s="26" t="str">
        <f aca="false">Entities!$A$33</f>
        <v>AU</v>
      </c>
      <c r="B205" s="12" t="str">
        <f aca="false">INDEX(Entities!$B$5:$B$34,MATCH(A205,Entities!$A$5:$A$34,0))</f>
        <v>Arab Bank Australia</v>
      </c>
      <c r="C205" s="12" t="str">
        <f aca="false">INDEX(Entities!$D$5:$D$34,MATCH(A205,Entities!$A$5:$A$34,0))</f>
        <v>Asia-Pacific</v>
      </c>
      <c r="D205" s="12" t="s">
        <v>248</v>
      </c>
      <c r="E205" s="12" t="str">
        <f aca="false">INDEX('Risk Taxonomy'!$B$5:$B$24,MATCH(D205,'Risk Taxonomy'!$A$5:$A$24,0))</f>
        <v>Bribery and corruption</v>
      </c>
      <c r="F205" s="28" t="n">
        <f aca="false">IFERROR(SUMPRODUCT((Indicators!$B$5:$B$35=F$4)*Indicators!$O$5:$O$35*'Indicator Scores'!$AF$5:$AF$35)/SUMPRODUCT((Indicators!$B$5:$B$35=F$4)*Indicators!$O$5:$O$35*('Indicator Scores'!$AF$5:$AF$35&gt;0)),0)</f>
        <v>1.22222222222222</v>
      </c>
      <c r="G205" s="28" t="n">
        <f aca="false">IFERROR(SUMPRODUCT((Indicators!$B$5:$B$35=G$4)*Indicators!$O$5:$O$35*'Indicator Scores'!$AF$5:$AF$35)/SUMPRODUCT((Indicators!$B$5:$B$35=G$4)*Indicators!$O$5:$O$35*('Indicator Scores'!$AF$5:$AF$35&gt;0)),0)</f>
        <v>2</v>
      </c>
      <c r="H205" s="28" t="n">
        <f aca="false">IFERROR(SUMPRODUCT((Indicators!$B$5:$B$35=H$4)*Indicators!$O$5:$O$35*'Indicator Scores'!$AF$5:$AF$35)/SUMPRODUCT((Indicators!$B$5:$B$35=H$4)*Indicators!$O$5:$O$35*('Indicator Scores'!$AF$5:$AF$35&gt;0)),0)</f>
        <v>2</v>
      </c>
      <c r="I205" s="28" t="n">
        <f aca="false">IFERROR(SUMPRODUCT((Indicators!$B$5:$B$35=I$4)*Indicators!$O$5:$O$35*'Indicator Scores'!$AF$5:$AF$35)/SUMPRODUCT((Indicators!$B$5:$B$35=I$4)*Indicators!$O$5:$O$35*('Indicator Scores'!$AF$5:$AF$35&gt;0)),0)</f>
        <v>1</v>
      </c>
      <c r="J205" s="28" t="n">
        <f aca="false">IFERROR(SUMPRODUCT((Indicators!$B$5:$B$35=J$4)*Indicators!$O$5:$O$35*'Indicator Scores'!$AF$5:$AF$35)/SUMPRODUCT((Indicators!$B$5:$B$35=J$4)*Indicators!$O$5:$O$35*('Indicator Scores'!$AF$5:$AF$35&gt;0)),0)</f>
        <v>1</v>
      </c>
      <c r="K205" s="28" t="n">
        <f aca="false">IFERROR(SUMPRODUCT(F205:J205,INDEX('Factor Weights'!$C$5:$G$11,MATCH(D205,'Factor Weights'!$A$5:$A$11,0),0))/SUMPRODUCT((F205:J205&gt;0)*INDEX('Factor Weights'!$C$5:$G$11,MATCH(D205,'Factor Weights'!$A$5:$A$11,0),0)),0)</f>
        <v>1.46666666666667</v>
      </c>
      <c r="L205" s="29" t="n">
        <f aca="false">MAX(F205:J205)</f>
        <v>2</v>
      </c>
      <c r="M205" s="28" t="n">
        <f aca="false">IF(L205&gt;=Config!$C$13,MAX(K205,Config!$C$14),K205)</f>
        <v>1.46666666666667</v>
      </c>
      <c r="N205" s="30" t="n">
        <f aca="false">IF(Config!$C$12="Weighted average",K205,IF(Config!$C$12="Weighted with floor",M205,L205))</f>
        <v>1.46666666666667</v>
      </c>
      <c r="O205" s="31" t="n">
        <f aca="false">IF(N205&lt;Config!$D$5,"",MATCH(N205,Config!$D$5:$D$9,1))</f>
        <v>1</v>
      </c>
      <c r="P205" s="7" t="str">
        <f aca="false">IF(O205="","No data",INDEX(Config!$B$5:$B$9,O205))</f>
        <v>Low</v>
      </c>
      <c r="Q205" s="32" t="n">
        <v>0</v>
      </c>
      <c r="R205" s="8"/>
      <c r="S205" s="33"/>
      <c r="T205" s="34" t="n">
        <f aca="false">IF(O205="","",IF(AND(S205="Y",Q205&lt;&gt;0),MAX(1,MIN(5,O205+MAX(-Config!$C$27,MIN(Config!$C$27,Q205)))),O205))</f>
        <v>1</v>
      </c>
      <c r="U205" s="35" t="str">
        <f aca="false">IF(T205="","No data",INDEX(Config!$B$5:$B$9,T205))</f>
        <v>Low</v>
      </c>
      <c r="V205" s="7" t="str">
        <f aca="false">IF(Q205=0,"None",IF(S205="Y","Applied","Pending HO approval"))</f>
        <v>None</v>
      </c>
      <c r="W205" s="36" t="n">
        <f aca="false">SUMPRODUCT((Indicators!$O$5:$O$35&gt;0)*('Indicator Data'!$AF$5:$AF$35&lt;&gt;""))/SUMPRODUCT(--(Indicators!$O$5:$O$35&gt;0))</f>
        <v>1</v>
      </c>
    </row>
    <row r="206" customFormat="false" ht="15" hidden="false" customHeight="false" outlineLevel="0" collapsed="false">
      <c r="A206" s="26" t="str">
        <f aca="false">Entities!$A$33</f>
        <v>AU</v>
      </c>
      <c r="B206" s="12" t="str">
        <f aca="false">INDEX(Entities!$B$5:$B$34,MATCH(A206,Entities!$A$5:$A$34,0))</f>
        <v>Arab Bank Australia</v>
      </c>
      <c r="C206" s="12" t="str">
        <f aca="false">INDEX(Entities!$D$5:$D$34,MATCH(A206,Entities!$A$5:$A$34,0))</f>
        <v>Asia-Pacific</v>
      </c>
      <c r="D206" s="12" t="s">
        <v>251</v>
      </c>
      <c r="E206" s="12" t="str">
        <f aca="false">INDEX('Risk Taxonomy'!$B$5:$B$24,MATCH(D206,'Risk Taxonomy'!$A$5:$A$24,0))</f>
        <v>Fraud</v>
      </c>
      <c r="F206" s="28" t="n">
        <f aca="false">IFERROR(SUMPRODUCT((Indicators!$B$5:$B$35=F$4)*Indicators!$P$5:$P$35*'Indicator Scores'!$AF$5:$AF$35)/SUMPRODUCT((Indicators!$B$5:$B$35=F$4)*Indicators!$P$5:$P$35*('Indicator Scores'!$AF$5:$AF$35&gt;0)),0)</f>
        <v>2</v>
      </c>
      <c r="G206" s="28" t="n">
        <f aca="false">IFERROR(SUMPRODUCT((Indicators!$B$5:$B$35=G$4)*Indicators!$P$5:$P$35*'Indicator Scores'!$AF$5:$AF$35)/SUMPRODUCT((Indicators!$B$5:$B$35=G$4)*Indicators!$P$5:$P$35*('Indicator Scores'!$AF$5:$AF$35&gt;0)),0)</f>
        <v>2</v>
      </c>
      <c r="H206" s="28" t="n">
        <f aca="false">IFERROR(SUMPRODUCT((Indicators!$B$5:$B$35=H$4)*Indicators!$P$5:$P$35*'Indicator Scores'!$AF$5:$AF$35)/SUMPRODUCT((Indicators!$B$5:$B$35=H$4)*Indicators!$P$5:$P$35*('Indicator Scores'!$AF$5:$AF$35&gt;0)),0)</f>
        <v>2.2</v>
      </c>
      <c r="I206" s="28" t="n">
        <f aca="false">IFERROR(SUMPRODUCT((Indicators!$B$5:$B$35=I$4)*Indicators!$P$5:$P$35*'Indicator Scores'!$AF$5:$AF$35)/SUMPRODUCT((Indicators!$B$5:$B$35=I$4)*Indicators!$P$5:$P$35*('Indicator Scores'!$AF$5:$AF$35&gt;0)),0)</f>
        <v>1.22222222222222</v>
      </c>
      <c r="J206" s="28" t="n">
        <f aca="false">IFERROR(SUMPRODUCT((Indicators!$B$5:$B$35=J$4)*Indicators!$P$5:$P$35*'Indicator Scores'!$AF$5:$AF$35)/SUMPRODUCT((Indicators!$B$5:$B$35=J$4)*Indicators!$P$5:$P$35*('Indicator Scores'!$AF$5:$AF$35&gt;0)),0)</f>
        <v>1.6</v>
      </c>
      <c r="K206" s="28" t="n">
        <f aca="false">IFERROR(SUMPRODUCT(F206:J206,INDEX('Factor Weights'!$C$5:$G$11,MATCH(D206,'Factor Weights'!$A$5:$A$11,0),0))/SUMPRODUCT((F206:J206&gt;0)*INDEX('Factor Weights'!$C$5:$G$11,MATCH(D206,'Factor Weights'!$A$5:$A$11,0),0)),0)</f>
        <v>1.72666666666667</v>
      </c>
      <c r="L206" s="29" t="n">
        <f aca="false">MAX(F206:J206)</f>
        <v>2.2</v>
      </c>
      <c r="M206" s="28" t="n">
        <f aca="false">IF(L206&gt;=Config!$C$13,MAX(K206,Config!$C$14),K206)</f>
        <v>1.72666666666667</v>
      </c>
      <c r="N206" s="30" t="n">
        <f aca="false">IF(Config!$C$12="Weighted average",K206,IF(Config!$C$12="Weighted with floor",M206,L206))</f>
        <v>1.72666666666667</v>
      </c>
      <c r="O206" s="31" t="n">
        <f aca="false">IF(N206&lt;Config!$D$5,"",MATCH(N206,Config!$D$5:$D$9,1))</f>
        <v>1</v>
      </c>
      <c r="P206" s="7" t="str">
        <f aca="false">IF(O206="","No data",INDEX(Config!$B$5:$B$9,O206))</f>
        <v>Low</v>
      </c>
      <c r="Q206" s="32" t="n">
        <v>0</v>
      </c>
      <c r="R206" s="8"/>
      <c r="S206" s="33"/>
      <c r="T206" s="34" t="n">
        <f aca="false">IF(O206="","",IF(AND(S206="Y",Q206&lt;&gt;0),MAX(1,MIN(5,O206+MAX(-Config!$C$27,MIN(Config!$C$27,Q206)))),O206))</f>
        <v>1</v>
      </c>
      <c r="U206" s="35" t="str">
        <f aca="false">IF(T206="","No data",INDEX(Config!$B$5:$B$9,T206))</f>
        <v>Low</v>
      </c>
      <c r="V206" s="7" t="str">
        <f aca="false">IF(Q206=0,"None",IF(S206="Y","Applied","Pending HO approval"))</f>
        <v>None</v>
      </c>
      <c r="W206" s="36" t="n">
        <f aca="false">SUMPRODUCT((Indicators!$P$5:$P$35&gt;0)*('Indicator Data'!$AF$5:$AF$35&lt;&gt;""))/SUMPRODUCT(--(Indicators!$P$5:$P$35&gt;0))</f>
        <v>1</v>
      </c>
    </row>
    <row r="207" customFormat="false" ht="15" hidden="false" customHeight="false" outlineLevel="0" collapsed="false">
      <c r="A207" s="26" t="str">
        <f aca="false">Entities!$A$33</f>
        <v>AU</v>
      </c>
      <c r="B207" s="12" t="str">
        <f aca="false">INDEX(Entities!$B$5:$B$34,MATCH(A207,Entities!$A$5:$A$34,0))</f>
        <v>Arab Bank Australia</v>
      </c>
      <c r="C207" s="12" t="str">
        <f aca="false">INDEX(Entities!$D$5:$D$34,MATCH(A207,Entities!$A$5:$A$34,0))</f>
        <v>Asia-Pacific</v>
      </c>
      <c r="D207" s="12" t="s">
        <v>254</v>
      </c>
      <c r="E207" s="12" t="str">
        <f aca="false">INDEX('Risk Taxonomy'!$B$5:$B$24,MATCH(D207,'Risk Taxonomy'!$A$5:$A$24,0))</f>
        <v>Tax evasion and tax transparency</v>
      </c>
      <c r="F207" s="28" t="n">
        <f aca="false">IFERROR(SUMPRODUCT((Indicators!$B$5:$B$35=F$4)*Indicators!$Q$5:$Q$35*'Indicator Scores'!$AF$5:$AF$35)/SUMPRODUCT((Indicators!$B$5:$B$35=F$4)*Indicators!$Q$5:$Q$35*('Indicator Scores'!$AF$5:$AF$35&gt;0)),0)</f>
        <v>1.66666666666667</v>
      </c>
      <c r="G207" s="28" t="n">
        <f aca="false">IFERROR(SUMPRODUCT((Indicators!$B$5:$B$35=G$4)*Indicators!$Q$5:$Q$35*'Indicator Scores'!$AF$5:$AF$35)/SUMPRODUCT((Indicators!$B$5:$B$35=G$4)*Indicators!$Q$5:$Q$35*('Indicator Scores'!$AF$5:$AF$35&gt;0)),0)</f>
        <v>2</v>
      </c>
      <c r="H207" s="28" t="n">
        <f aca="false">IFERROR(SUMPRODUCT((Indicators!$B$5:$B$35=H$4)*Indicators!$Q$5:$Q$35*'Indicator Scores'!$AF$5:$AF$35)/SUMPRODUCT((Indicators!$B$5:$B$35=H$4)*Indicators!$Q$5:$Q$35*('Indicator Scores'!$AF$5:$AF$35&gt;0)),0)</f>
        <v>2.5</v>
      </c>
      <c r="I207" s="28" t="n">
        <f aca="false">IFERROR(SUMPRODUCT((Indicators!$B$5:$B$35=I$4)*Indicators!$Q$5:$Q$35*'Indicator Scores'!$AF$5:$AF$35)/SUMPRODUCT((Indicators!$B$5:$B$35=I$4)*Indicators!$Q$5:$Q$35*('Indicator Scores'!$AF$5:$AF$35&gt;0)),0)</f>
        <v>1</v>
      </c>
      <c r="J207" s="28" t="n">
        <f aca="false">IFERROR(SUMPRODUCT((Indicators!$B$5:$B$35=J$4)*Indicators!$Q$5:$Q$35*'Indicator Scores'!$AF$5:$AF$35)/SUMPRODUCT((Indicators!$B$5:$B$35=J$4)*Indicators!$Q$5:$Q$35*('Indicator Scores'!$AF$5:$AF$35&gt;0)),0)</f>
        <v>1</v>
      </c>
      <c r="K207" s="28" t="n">
        <f aca="false">IFERROR(SUMPRODUCT(F207:J207,INDEX('Factor Weights'!$C$5:$G$11,MATCH(D207,'Factor Weights'!$A$5:$A$11,0),0))/SUMPRODUCT((F207:J207&gt;0)*INDEX('Factor Weights'!$C$5:$G$11,MATCH(D207,'Factor Weights'!$A$5:$A$11,0),0)),0)</f>
        <v>1.78333333333333</v>
      </c>
      <c r="L207" s="29" t="n">
        <f aca="false">MAX(F207:J207)</f>
        <v>2.5</v>
      </c>
      <c r="M207" s="28" t="n">
        <f aca="false">IF(L207&gt;=Config!$C$13,MAX(K207,Config!$C$14),K207)</f>
        <v>1.78333333333333</v>
      </c>
      <c r="N207" s="30" t="n">
        <f aca="false">IF(Config!$C$12="Weighted average",K207,IF(Config!$C$12="Weighted with floor",M207,L207))</f>
        <v>1.78333333333333</v>
      </c>
      <c r="O207" s="31" t="n">
        <f aca="false">IF(N207&lt;Config!$D$5,"",MATCH(N207,Config!$D$5:$D$9,1))</f>
        <v>1</v>
      </c>
      <c r="P207" s="7" t="str">
        <f aca="false">IF(O207="","No data",INDEX(Config!$B$5:$B$9,O207))</f>
        <v>Low</v>
      </c>
      <c r="Q207" s="32" t="n">
        <v>0</v>
      </c>
      <c r="R207" s="8"/>
      <c r="S207" s="33"/>
      <c r="T207" s="34" t="n">
        <f aca="false">IF(O207="","",IF(AND(S207="Y",Q207&lt;&gt;0),MAX(1,MIN(5,O207+MAX(-Config!$C$27,MIN(Config!$C$27,Q207)))),O207))</f>
        <v>1</v>
      </c>
      <c r="U207" s="35" t="str">
        <f aca="false">IF(T207="","No data",INDEX(Config!$B$5:$B$9,T207))</f>
        <v>Low</v>
      </c>
      <c r="V207" s="7" t="str">
        <f aca="false">IF(Q207=0,"None",IF(S207="Y","Applied","Pending HO approval"))</f>
        <v>None</v>
      </c>
      <c r="W207" s="36" t="n">
        <f aca="false">SUMPRODUCT((Indicators!$Q$5:$Q$35&gt;0)*('Indicator Data'!$AF$5:$AF$35&lt;&gt;""))/SUMPRODUCT(--(Indicators!$Q$5:$Q$35&gt;0))</f>
        <v>1</v>
      </c>
    </row>
    <row r="208" customFormat="false" ht="15" hidden="false" customHeight="false" outlineLevel="0" collapsed="false">
      <c r="A208" s="26" t="str">
        <f aca="false">Entities!$A$34</f>
        <v>US</v>
      </c>
      <c r="B208" s="12" t="str">
        <f aca="false">INDEX(Entities!$B$5:$B$34,MATCH(A208,Entities!$A$5:$A$34,0))</f>
        <v>Arab Bank – United States (if retained)</v>
      </c>
      <c r="C208" s="12" t="str">
        <f aca="false">INDEX(Entities!$D$5:$D$34,MATCH(A208,Entities!$A$5:$A$34,0))</f>
        <v>Americas</v>
      </c>
      <c r="D208" s="12" t="s">
        <v>233</v>
      </c>
      <c r="E208" s="12" t="str">
        <f aca="false">INDEX('Risk Taxonomy'!$B$5:$B$24,MATCH(D208,'Risk Taxonomy'!$A$5:$A$24,0))</f>
        <v>Money laundering</v>
      </c>
      <c r="F208" s="28" t="n">
        <f aca="false">IFERROR(SUMPRODUCT((Indicators!$B$5:$B$35=F$4)*Indicators!$K$5:$K$35*'Indicator Scores'!$AG$5:$AG$35)/SUMPRODUCT((Indicators!$B$5:$B$35=F$4)*Indicators!$K$5:$K$35*('Indicator Scores'!$AG$5:$AG$35&gt;0)),0)</f>
        <v>1.41666666666667</v>
      </c>
      <c r="G208" s="28" t="n">
        <f aca="false">IFERROR(SUMPRODUCT((Indicators!$B$5:$B$35=G$4)*Indicators!$K$5:$K$35*'Indicator Scores'!$AG$5:$AG$35)/SUMPRODUCT((Indicators!$B$5:$B$35=G$4)*Indicators!$K$5:$K$35*('Indicator Scores'!$AG$5:$AG$35&gt;0)),0)</f>
        <v>2.11111111111111</v>
      </c>
      <c r="H208" s="28" t="n">
        <f aca="false">IFERROR(SUMPRODUCT((Indicators!$B$5:$B$35=H$4)*Indicators!$K$5:$K$35*'Indicator Scores'!$AG$5:$AG$35)/SUMPRODUCT((Indicators!$B$5:$B$35=H$4)*Indicators!$K$5:$K$35*('Indicator Scores'!$AG$5:$AG$35&gt;0)),0)</f>
        <v>1.3</v>
      </c>
      <c r="I208" s="28" t="n">
        <f aca="false">IFERROR(SUMPRODUCT((Indicators!$B$5:$B$35=I$4)*Indicators!$K$5:$K$35*'Indicator Scores'!$AG$5:$AG$35)/SUMPRODUCT((Indicators!$B$5:$B$35=I$4)*Indicators!$K$5:$K$35*('Indicator Scores'!$AG$5:$AG$35&gt;0)),0)</f>
        <v>2</v>
      </c>
      <c r="J208" s="28" t="n">
        <f aca="false">IFERROR(SUMPRODUCT((Indicators!$B$5:$B$35=J$4)*Indicators!$K$5:$K$35*'Indicator Scores'!$AG$5:$AG$35)/SUMPRODUCT((Indicators!$B$5:$B$35=J$4)*Indicators!$K$5:$K$35*('Indicator Scores'!$AG$5:$AG$35&gt;0)),0)</f>
        <v>1.66666666666667</v>
      </c>
      <c r="K208" s="28" t="n">
        <f aca="false">IFERROR(SUMPRODUCT(F208:J208,INDEX('Factor Weights'!$C$5:$G$11,MATCH(D208,'Factor Weights'!$A$5:$A$11,0),0))/SUMPRODUCT((F208:J208&gt;0)*INDEX('Factor Weights'!$C$5:$G$11,MATCH(D208,'Factor Weights'!$A$5:$A$11,0),0)),0)</f>
        <v>1.67944444444444</v>
      </c>
      <c r="L208" s="29" t="n">
        <f aca="false">MAX(F208:J208)</f>
        <v>2.11111111111111</v>
      </c>
      <c r="M208" s="28" t="n">
        <f aca="false">IF(L208&gt;=Config!$C$13,MAX(K208,Config!$C$14),K208)</f>
        <v>1.67944444444444</v>
      </c>
      <c r="N208" s="30" t="n">
        <f aca="false">IF(Config!$C$12="Weighted average",K208,IF(Config!$C$12="Weighted with floor",M208,L208))</f>
        <v>1.67944444444444</v>
      </c>
      <c r="O208" s="31" t="n">
        <f aca="false">IF(N208&lt;Config!$D$5,"",MATCH(N208,Config!$D$5:$D$9,1))</f>
        <v>1</v>
      </c>
      <c r="P208" s="7" t="str">
        <f aca="false">IF(O208="","No data",INDEX(Config!$B$5:$B$9,O208))</f>
        <v>Low</v>
      </c>
      <c r="Q208" s="32" t="n">
        <v>0</v>
      </c>
      <c r="R208" s="8"/>
      <c r="S208" s="33"/>
      <c r="T208" s="34" t="n">
        <f aca="false">IF(O208="","",IF(AND(S208="Y",Q208&lt;&gt;0),MAX(1,MIN(5,O208+MAX(-Config!$C$27,MIN(Config!$C$27,Q208)))),O208))</f>
        <v>1</v>
      </c>
      <c r="U208" s="35" t="str">
        <f aca="false">IF(T208="","No data",INDEX(Config!$B$5:$B$9,T208))</f>
        <v>Low</v>
      </c>
      <c r="V208" s="7" t="str">
        <f aca="false">IF(Q208=0,"None",IF(S208="Y","Applied","Pending HO approval"))</f>
        <v>None</v>
      </c>
      <c r="W208" s="36" t="n">
        <f aca="false">SUMPRODUCT((Indicators!$K$5:$K$35&gt;0)*('Indicator Data'!$AG$5:$AG$35&lt;&gt;""))/SUMPRODUCT(--(Indicators!$K$5:$K$35&gt;0))</f>
        <v>0.925925925925926</v>
      </c>
    </row>
    <row r="209" customFormat="false" ht="15" hidden="false" customHeight="false" outlineLevel="0" collapsed="false">
      <c r="A209" s="26" t="str">
        <f aca="false">Entities!$A$34</f>
        <v>US</v>
      </c>
      <c r="B209" s="12" t="str">
        <f aca="false">INDEX(Entities!$B$5:$B$34,MATCH(A209,Entities!$A$5:$A$34,0))</f>
        <v>Arab Bank – United States (if retained)</v>
      </c>
      <c r="C209" s="12" t="str">
        <f aca="false">INDEX(Entities!$D$5:$D$34,MATCH(A209,Entities!$A$5:$A$34,0))</f>
        <v>Americas</v>
      </c>
      <c r="D209" s="12" t="s">
        <v>240</v>
      </c>
      <c r="E209" s="12" t="str">
        <f aca="false">INDEX('Risk Taxonomy'!$B$5:$B$24,MATCH(D209,'Risk Taxonomy'!$A$5:$A$24,0))</f>
        <v>Terrorist financing</v>
      </c>
      <c r="F209" s="28" t="n">
        <f aca="false">IFERROR(SUMPRODUCT((Indicators!$B$5:$B$35=F$4)*Indicators!$L$5:$L$35*'Indicator Scores'!$AG$5:$AG$35)/SUMPRODUCT((Indicators!$B$5:$B$35=F$4)*Indicators!$L$5:$L$35*('Indicator Scores'!$AG$5:$AG$35&gt;0)),0)</f>
        <v>1.4</v>
      </c>
      <c r="G209" s="28" t="n">
        <f aca="false">IFERROR(SUMPRODUCT((Indicators!$B$5:$B$35=G$4)*Indicators!$L$5:$L$35*'Indicator Scores'!$AG$5:$AG$35)/SUMPRODUCT((Indicators!$B$5:$B$35=G$4)*Indicators!$L$5:$L$35*('Indicator Scores'!$AG$5:$AG$35&gt;0)),0)</f>
        <v>1.88888888888889</v>
      </c>
      <c r="H209" s="28" t="n">
        <f aca="false">IFERROR(SUMPRODUCT((Indicators!$B$5:$B$35=H$4)*Indicators!$L$5:$L$35*'Indicator Scores'!$AG$5:$AG$35)/SUMPRODUCT((Indicators!$B$5:$B$35=H$4)*Indicators!$L$5:$L$35*('Indicator Scores'!$AG$5:$AG$35&gt;0)),0)</f>
        <v>1.66666666666667</v>
      </c>
      <c r="I209" s="28" t="n">
        <f aca="false">IFERROR(SUMPRODUCT((Indicators!$B$5:$B$35=I$4)*Indicators!$L$5:$L$35*'Indicator Scores'!$AG$5:$AG$35)/SUMPRODUCT((Indicators!$B$5:$B$35=I$4)*Indicators!$L$5:$L$35*('Indicator Scores'!$AG$5:$AG$35&gt;0)),0)</f>
        <v>2</v>
      </c>
      <c r="J209" s="28" t="n">
        <f aca="false">IFERROR(SUMPRODUCT((Indicators!$B$5:$B$35=J$4)*Indicators!$L$5:$L$35*'Indicator Scores'!$AG$5:$AG$35)/SUMPRODUCT((Indicators!$B$5:$B$35=J$4)*Indicators!$L$5:$L$35*('Indicator Scores'!$AG$5:$AG$35&gt;0)),0)</f>
        <v>1.57142857142857</v>
      </c>
      <c r="K209" s="28" t="n">
        <f aca="false">IFERROR(SUMPRODUCT(F209:J209,INDEX('Factor Weights'!$C$5:$G$11,MATCH(D209,'Factor Weights'!$A$5:$A$11,0),0))/SUMPRODUCT((F209:J209&gt;0)*INDEX('Factor Weights'!$C$5:$G$11,MATCH(D209,'Factor Weights'!$A$5:$A$11,0),0)),0)</f>
        <v>1.68095238095238</v>
      </c>
      <c r="L209" s="29" t="n">
        <f aca="false">MAX(F209:J209)</f>
        <v>2</v>
      </c>
      <c r="M209" s="28" t="n">
        <f aca="false">IF(L209&gt;=Config!$C$13,MAX(K209,Config!$C$14),K209)</f>
        <v>1.68095238095238</v>
      </c>
      <c r="N209" s="30" t="n">
        <f aca="false">IF(Config!$C$12="Weighted average",K209,IF(Config!$C$12="Weighted with floor",M209,L209))</f>
        <v>1.68095238095238</v>
      </c>
      <c r="O209" s="31" t="n">
        <f aca="false">IF(N209&lt;Config!$D$5,"",MATCH(N209,Config!$D$5:$D$9,1))</f>
        <v>1</v>
      </c>
      <c r="P209" s="7" t="str">
        <f aca="false">IF(O209="","No data",INDEX(Config!$B$5:$B$9,O209))</f>
        <v>Low</v>
      </c>
      <c r="Q209" s="32" t="n">
        <v>0</v>
      </c>
      <c r="R209" s="8"/>
      <c r="S209" s="33"/>
      <c r="T209" s="34" t="n">
        <f aca="false">IF(O209="","",IF(AND(S209="Y",Q209&lt;&gt;0),MAX(1,MIN(5,O209+MAX(-Config!$C$27,MIN(Config!$C$27,Q209)))),O209))</f>
        <v>1</v>
      </c>
      <c r="U209" s="35" t="str">
        <f aca="false">IF(T209="","No data",INDEX(Config!$B$5:$B$9,T209))</f>
        <v>Low</v>
      </c>
      <c r="V209" s="7" t="str">
        <f aca="false">IF(Q209=0,"None",IF(S209="Y","Applied","Pending HO approval"))</f>
        <v>None</v>
      </c>
      <c r="W209" s="36" t="n">
        <f aca="false">SUMPRODUCT((Indicators!$L$5:$L$35&gt;0)*('Indicator Data'!$AG$5:$AG$35&lt;&gt;""))/SUMPRODUCT(--(Indicators!$L$5:$L$35&gt;0))</f>
        <v>0.954545454545455</v>
      </c>
    </row>
    <row r="210" customFormat="false" ht="15" hidden="false" customHeight="false" outlineLevel="0" collapsed="false">
      <c r="A210" s="26" t="str">
        <f aca="false">Entities!$A$34</f>
        <v>US</v>
      </c>
      <c r="B210" s="12" t="str">
        <f aca="false">INDEX(Entities!$B$5:$B$34,MATCH(A210,Entities!$A$5:$A$34,0))</f>
        <v>Arab Bank – United States (if retained)</v>
      </c>
      <c r="C210" s="12" t="str">
        <f aca="false">INDEX(Entities!$D$5:$D$34,MATCH(A210,Entities!$A$5:$A$34,0))</f>
        <v>Americas</v>
      </c>
      <c r="D210" s="12" t="s">
        <v>243</v>
      </c>
      <c r="E210" s="12" t="str">
        <f aca="false">INDEX('Risk Taxonomy'!$B$5:$B$24,MATCH(D210,'Risk Taxonomy'!$A$5:$A$24,0))</f>
        <v>Proliferation financing</v>
      </c>
      <c r="F210" s="28" t="n">
        <f aca="false">IFERROR(SUMPRODUCT((Indicators!$B$5:$B$35=F$4)*Indicators!$M$5:$M$35*'Indicator Scores'!$AG$5:$AG$35)/SUMPRODUCT((Indicators!$B$5:$B$35=F$4)*Indicators!$M$5:$M$35*('Indicator Scores'!$AG$5:$AG$35&gt;0)),0)</f>
        <v>1.5</v>
      </c>
      <c r="G210" s="28" t="n">
        <f aca="false">IFERROR(SUMPRODUCT((Indicators!$B$5:$B$35=G$4)*Indicators!$M$5:$M$35*'Indicator Scores'!$AG$5:$AG$35)/SUMPRODUCT((Indicators!$B$5:$B$35=G$4)*Indicators!$M$5:$M$35*('Indicator Scores'!$AG$5:$AG$35&gt;0)),0)</f>
        <v>2</v>
      </c>
      <c r="H210" s="28" t="n">
        <f aca="false">IFERROR(SUMPRODUCT((Indicators!$B$5:$B$35=H$4)*Indicators!$M$5:$M$35*'Indicator Scores'!$AG$5:$AG$35)/SUMPRODUCT((Indicators!$B$5:$B$35=H$4)*Indicators!$M$5:$M$35*('Indicator Scores'!$AG$5:$AG$35&gt;0)),0)</f>
        <v>1.22222222222222</v>
      </c>
      <c r="I210" s="28" t="n">
        <f aca="false">IFERROR(SUMPRODUCT((Indicators!$B$5:$B$35=I$4)*Indicators!$M$5:$M$35*'Indicator Scores'!$AG$5:$AG$35)/SUMPRODUCT((Indicators!$B$5:$B$35=I$4)*Indicators!$M$5:$M$35*('Indicator Scores'!$AG$5:$AG$35&gt;0)),0)</f>
        <v>2</v>
      </c>
      <c r="J210" s="28" t="n">
        <f aca="false">IFERROR(SUMPRODUCT((Indicators!$B$5:$B$35=J$4)*Indicators!$M$5:$M$35*'Indicator Scores'!$AG$5:$AG$35)/SUMPRODUCT((Indicators!$B$5:$B$35=J$4)*Indicators!$M$5:$M$35*('Indicator Scores'!$AG$5:$AG$35&gt;0)),0)</f>
        <v>1</v>
      </c>
      <c r="K210" s="28" t="n">
        <f aca="false">IFERROR(SUMPRODUCT(F210:J210,INDEX('Factor Weights'!$C$5:$G$11,MATCH(D210,'Factor Weights'!$A$5:$A$11,0),0))/SUMPRODUCT((F210:J210&gt;0)*INDEX('Factor Weights'!$C$5:$G$11,MATCH(D210,'Factor Weights'!$A$5:$A$11,0),0)),0)</f>
        <v>1.49166666666667</v>
      </c>
      <c r="L210" s="29" t="n">
        <f aca="false">MAX(F210:J210)</f>
        <v>2</v>
      </c>
      <c r="M210" s="28" t="n">
        <f aca="false">IF(L210&gt;=Config!$C$13,MAX(K210,Config!$C$14),K210)</f>
        <v>1.49166666666667</v>
      </c>
      <c r="N210" s="30" t="n">
        <f aca="false">IF(Config!$C$12="Weighted average",K210,IF(Config!$C$12="Weighted with floor",M210,L210))</f>
        <v>1.49166666666667</v>
      </c>
      <c r="O210" s="31" t="n">
        <f aca="false">IF(N210&lt;Config!$D$5,"",MATCH(N210,Config!$D$5:$D$9,1))</f>
        <v>1</v>
      </c>
      <c r="P210" s="7" t="str">
        <f aca="false">IF(O210="","No data",INDEX(Config!$B$5:$B$9,O210))</f>
        <v>Low</v>
      </c>
      <c r="Q210" s="32" t="n">
        <v>0</v>
      </c>
      <c r="R210" s="8"/>
      <c r="S210" s="33"/>
      <c r="T210" s="34" t="n">
        <f aca="false">IF(O210="","",IF(AND(S210="Y",Q210&lt;&gt;0),MAX(1,MIN(5,O210+MAX(-Config!$C$27,MIN(Config!$C$27,Q210)))),O210))</f>
        <v>1</v>
      </c>
      <c r="U210" s="35" t="str">
        <f aca="false">IF(T210="","No data",INDEX(Config!$B$5:$B$9,T210))</f>
        <v>Low</v>
      </c>
      <c r="V210" s="7" t="str">
        <f aca="false">IF(Q210=0,"None",IF(S210="Y","Applied","Pending HO approval"))</f>
        <v>None</v>
      </c>
      <c r="W210" s="36" t="n">
        <f aca="false">SUMPRODUCT((Indicators!$M$5:$M$35&gt;0)*('Indicator Data'!$AG$5:$AG$35&lt;&gt;""))/SUMPRODUCT(--(Indicators!$M$5:$M$35&gt;0))</f>
        <v>0.866666666666667</v>
      </c>
    </row>
    <row r="211" customFormat="false" ht="15" hidden="false" customHeight="false" outlineLevel="0" collapsed="false">
      <c r="A211" s="26" t="str">
        <f aca="false">Entities!$A$34</f>
        <v>US</v>
      </c>
      <c r="B211" s="12" t="str">
        <f aca="false">INDEX(Entities!$B$5:$B$34,MATCH(A211,Entities!$A$5:$A$34,0))</f>
        <v>Arab Bank – United States (if retained)</v>
      </c>
      <c r="C211" s="12" t="str">
        <f aca="false">INDEX(Entities!$D$5:$D$34,MATCH(A211,Entities!$A$5:$A$34,0))</f>
        <v>Americas</v>
      </c>
      <c r="D211" s="12" t="s">
        <v>245</v>
      </c>
      <c r="E211" s="12" t="str">
        <f aca="false">INDEX('Risk Taxonomy'!$B$5:$B$24,MATCH(D211,'Risk Taxonomy'!$A$5:$A$24,0))</f>
        <v>Sanctions</v>
      </c>
      <c r="F211" s="28" t="n">
        <f aca="false">IFERROR(SUMPRODUCT((Indicators!$B$5:$B$35=F$4)*Indicators!$N$5:$N$35*'Indicator Scores'!$AG$5:$AG$35)/SUMPRODUCT((Indicators!$B$5:$B$35=F$4)*Indicators!$N$5:$N$35*('Indicator Scores'!$AG$5:$AG$35&gt;0)),0)</f>
        <v>1.42857142857143</v>
      </c>
      <c r="G211" s="28" t="n">
        <f aca="false">IFERROR(SUMPRODUCT((Indicators!$B$5:$B$35=G$4)*Indicators!$N$5:$N$35*'Indicator Scores'!$AG$5:$AG$35)/SUMPRODUCT((Indicators!$B$5:$B$35=G$4)*Indicators!$N$5:$N$35*('Indicator Scores'!$AG$5:$AG$35&gt;0)),0)</f>
        <v>2</v>
      </c>
      <c r="H211" s="28" t="n">
        <f aca="false">IFERROR(SUMPRODUCT((Indicators!$B$5:$B$35=H$4)*Indicators!$N$5:$N$35*'Indicator Scores'!$AG$5:$AG$35)/SUMPRODUCT((Indicators!$B$5:$B$35=H$4)*Indicators!$N$5:$N$35*('Indicator Scores'!$AG$5:$AG$35&gt;0)),0)</f>
        <v>1.25</v>
      </c>
      <c r="I211" s="28" t="n">
        <f aca="false">IFERROR(SUMPRODUCT((Indicators!$B$5:$B$35=I$4)*Indicators!$N$5:$N$35*'Indicator Scores'!$AG$5:$AG$35)/SUMPRODUCT((Indicators!$B$5:$B$35=I$4)*Indicators!$N$5:$N$35*('Indicator Scores'!$AG$5:$AG$35&gt;0)),0)</f>
        <v>2</v>
      </c>
      <c r="J211" s="28" t="n">
        <f aca="false">IFERROR(SUMPRODUCT((Indicators!$B$5:$B$35=J$4)*Indicators!$N$5:$N$35*'Indicator Scores'!$AG$5:$AG$35)/SUMPRODUCT((Indicators!$B$5:$B$35=J$4)*Indicators!$N$5:$N$35*('Indicator Scores'!$AG$5:$AG$35&gt;0)),0)</f>
        <v>1</v>
      </c>
      <c r="K211" s="28" t="n">
        <f aca="false">IFERROR(SUMPRODUCT(F211:J211,INDEX('Factor Weights'!$C$5:$G$11,MATCH(D211,'Factor Weights'!$A$5:$A$11,0),0))/SUMPRODUCT((F211:J211&gt;0)*INDEX('Factor Weights'!$C$5:$G$11,MATCH(D211,'Factor Weights'!$A$5:$A$11,0),0)),0)</f>
        <v>1.56428571428571</v>
      </c>
      <c r="L211" s="29" t="n">
        <f aca="false">MAX(F211:J211)</f>
        <v>2</v>
      </c>
      <c r="M211" s="28" t="n">
        <f aca="false">IF(L211&gt;=Config!$C$13,MAX(K211,Config!$C$14),K211)</f>
        <v>1.56428571428571</v>
      </c>
      <c r="N211" s="30" t="n">
        <f aca="false">IF(Config!$C$12="Weighted average",K211,IF(Config!$C$12="Weighted with floor",M211,L211))</f>
        <v>1.56428571428571</v>
      </c>
      <c r="O211" s="31" t="n">
        <f aca="false">IF(N211&lt;Config!$D$5,"",MATCH(N211,Config!$D$5:$D$9,1))</f>
        <v>1</v>
      </c>
      <c r="P211" s="7" t="str">
        <f aca="false">IF(O211="","No data",INDEX(Config!$B$5:$B$9,O211))</f>
        <v>Low</v>
      </c>
      <c r="Q211" s="32" t="n">
        <v>0</v>
      </c>
      <c r="R211" s="8"/>
      <c r="S211" s="33"/>
      <c r="T211" s="34" t="n">
        <f aca="false">IF(O211="","",IF(AND(S211="Y",Q211&lt;&gt;0),MAX(1,MIN(5,O211+MAX(-Config!$C$27,MIN(Config!$C$27,Q211)))),O211))</f>
        <v>1</v>
      </c>
      <c r="U211" s="35" t="str">
        <f aca="false">IF(T211="","No data",INDEX(Config!$B$5:$B$9,T211))</f>
        <v>Low</v>
      </c>
      <c r="V211" s="7" t="str">
        <f aca="false">IF(Q211=0,"None",IF(S211="Y","Applied","Pending HO approval"))</f>
        <v>None</v>
      </c>
      <c r="W211" s="36" t="n">
        <f aca="false">SUMPRODUCT((Indicators!$N$5:$N$35&gt;0)*('Indicator Data'!$AG$5:$AG$35&lt;&gt;""))/SUMPRODUCT(--(Indicators!$N$5:$N$35&gt;0))</f>
        <v>0.888888888888889</v>
      </c>
    </row>
    <row r="212" customFormat="false" ht="15" hidden="false" customHeight="false" outlineLevel="0" collapsed="false">
      <c r="A212" s="26" t="str">
        <f aca="false">Entities!$A$34</f>
        <v>US</v>
      </c>
      <c r="B212" s="12" t="str">
        <f aca="false">INDEX(Entities!$B$5:$B$34,MATCH(A212,Entities!$A$5:$A$34,0))</f>
        <v>Arab Bank – United States (if retained)</v>
      </c>
      <c r="C212" s="12" t="str">
        <f aca="false">INDEX(Entities!$D$5:$D$34,MATCH(A212,Entities!$A$5:$A$34,0))</f>
        <v>Americas</v>
      </c>
      <c r="D212" s="12" t="s">
        <v>248</v>
      </c>
      <c r="E212" s="12" t="str">
        <f aca="false">INDEX('Risk Taxonomy'!$B$5:$B$24,MATCH(D212,'Risk Taxonomy'!$A$5:$A$24,0))</f>
        <v>Bribery and corruption</v>
      </c>
      <c r="F212" s="28" t="n">
        <f aca="false">IFERROR(SUMPRODUCT((Indicators!$B$5:$B$35=F$4)*Indicators!$O$5:$O$35*'Indicator Scores'!$AG$5:$AG$35)/SUMPRODUCT((Indicators!$B$5:$B$35=F$4)*Indicators!$O$5:$O$35*('Indicator Scores'!$AG$5:$AG$35&gt;0)),0)</f>
        <v>1.11111111111111</v>
      </c>
      <c r="G212" s="28" t="n">
        <f aca="false">IFERROR(SUMPRODUCT((Indicators!$B$5:$B$35=G$4)*Indicators!$O$5:$O$35*'Indicator Scores'!$AG$5:$AG$35)/SUMPRODUCT((Indicators!$B$5:$B$35=G$4)*Indicators!$O$5:$O$35*('Indicator Scores'!$AG$5:$AG$35&gt;0)),0)</f>
        <v>2.2</v>
      </c>
      <c r="H212" s="28" t="n">
        <f aca="false">IFERROR(SUMPRODUCT((Indicators!$B$5:$B$35=H$4)*Indicators!$O$5:$O$35*'Indicator Scores'!$AG$5:$AG$35)/SUMPRODUCT((Indicators!$B$5:$B$35=H$4)*Indicators!$O$5:$O$35*('Indicator Scores'!$AG$5:$AG$35&gt;0)),0)</f>
        <v>1</v>
      </c>
      <c r="I212" s="28" t="n">
        <f aca="false">IFERROR(SUMPRODUCT((Indicators!$B$5:$B$35=I$4)*Indicators!$O$5:$O$35*'Indicator Scores'!$AG$5:$AG$35)/SUMPRODUCT((Indicators!$B$5:$B$35=I$4)*Indicators!$O$5:$O$35*('Indicator Scores'!$AG$5:$AG$35&gt;0)),0)</f>
        <v>1.4</v>
      </c>
      <c r="J212" s="28" t="n">
        <f aca="false">IFERROR(SUMPRODUCT((Indicators!$B$5:$B$35=J$4)*Indicators!$O$5:$O$35*'Indicator Scores'!$AG$5:$AG$35)/SUMPRODUCT((Indicators!$B$5:$B$35=J$4)*Indicators!$O$5:$O$35*('Indicator Scores'!$AG$5:$AG$35&gt;0)),0)</f>
        <v>0</v>
      </c>
      <c r="K212" s="28" t="n">
        <f aca="false">IFERROR(SUMPRODUCT(F212:J212,INDEX('Factor Weights'!$C$5:$G$11,MATCH(D212,'Factor Weights'!$A$5:$A$11,0),0))/SUMPRODUCT((F212:J212&gt;0)*INDEX('Factor Weights'!$C$5:$G$11,MATCH(D212,'Factor Weights'!$A$5:$A$11,0),0)),0)</f>
        <v>1.45925925925926</v>
      </c>
      <c r="L212" s="29" t="n">
        <f aca="false">MAX(F212:J212)</f>
        <v>2.2</v>
      </c>
      <c r="M212" s="28" t="n">
        <f aca="false">IF(L212&gt;=Config!$C$13,MAX(K212,Config!$C$14),K212)</f>
        <v>1.45925925925926</v>
      </c>
      <c r="N212" s="30" t="n">
        <f aca="false">IF(Config!$C$12="Weighted average",K212,IF(Config!$C$12="Weighted with floor",M212,L212))</f>
        <v>1.45925925925926</v>
      </c>
      <c r="O212" s="31" t="n">
        <f aca="false">IF(N212&lt;Config!$D$5,"",MATCH(N212,Config!$D$5:$D$9,1))</f>
        <v>1</v>
      </c>
      <c r="P212" s="7" t="str">
        <f aca="false">IF(O212="","No data",INDEX(Config!$B$5:$B$9,O212))</f>
        <v>Low</v>
      </c>
      <c r="Q212" s="32" t="n">
        <v>0</v>
      </c>
      <c r="R212" s="8"/>
      <c r="S212" s="33"/>
      <c r="T212" s="34" t="n">
        <f aca="false">IF(O212="","",IF(AND(S212="Y",Q212&lt;&gt;0),MAX(1,MIN(5,O212+MAX(-Config!$C$27,MIN(Config!$C$27,Q212)))),O212))</f>
        <v>1</v>
      </c>
      <c r="U212" s="35" t="str">
        <f aca="false">IF(T212="","No data",INDEX(Config!$B$5:$B$9,T212))</f>
        <v>Low</v>
      </c>
      <c r="V212" s="7" t="str">
        <f aca="false">IF(Q212=0,"None",IF(S212="Y","Applied","Pending HO approval"))</f>
        <v>None</v>
      </c>
      <c r="W212" s="36" t="n">
        <f aca="false">SUMPRODUCT((Indicators!$O$5:$O$35&gt;0)*('Indicator Data'!$AG$5:$AG$35&lt;&gt;""))/SUMPRODUCT(--(Indicators!$O$5:$O$35&gt;0))</f>
        <v>0.923076923076923</v>
      </c>
    </row>
    <row r="213" customFormat="false" ht="15" hidden="false" customHeight="false" outlineLevel="0" collapsed="false">
      <c r="A213" s="26" t="str">
        <f aca="false">Entities!$A$34</f>
        <v>US</v>
      </c>
      <c r="B213" s="12" t="str">
        <f aca="false">INDEX(Entities!$B$5:$B$34,MATCH(A213,Entities!$A$5:$A$34,0))</f>
        <v>Arab Bank – United States (if retained)</v>
      </c>
      <c r="C213" s="12" t="str">
        <f aca="false">INDEX(Entities!$D$5:$D$34,MATCH(A213,Entities!$A$5:$A$34,0))</f>
        <v>Americas</v>
      </c>
      <c r="D213" s="12" t="s">
        <v>251</v>
      </c>
      <c r="E213" s="12" t="str">
        <f aca="false">INDEX('Risk Taxonomy'!$B$5:$B$24,MATCH(D213,'Risk Taxonomy'!$A$5:$A$24,0))</f>
        <v>Fraud</v>
      </c>
      <c r="F213" s="28" t="n">
        <f aca="false">IFERROR(SUMPRODUCT((Indicators!$B$5:$B$35=F$4)*Indicators!$P$5:$P$35*'Indicator Scores'!$AG$5:$AG$35)/SUMPRODUCT((Indicators!$B$5:$B$35=F$4)*Indicators!$P$5:$P$35*('Indicator Scores'!$AG$5:$AG$35&gt;0)),0)</f>
        <v>1.66666666666667</v>
      </c>
      <c r="G213" s="28" t="n">
        <f aca="false">IFERROR(SUMPRODUCT((Indicators!$B$5:$B$35=G$4)*Indicators!$P$5:$P$35*'Indicator Scores'!$AG$5:$AG$35)/SUMPRODUCT((Indicators!$B$5:$B$35=G$4)*Indicators!$P$5:$P$35*('Indicator Scores'!$AG$5:$AG$35&gt;0)),0)</f>
        <v>2</v>
      </c>
      <c r="H213" s="28" t="n">
        <f aca="false">IFERROR(SUMPRODUCT((Indicators!$B$5:$B$35=H$4)*Indicators!$P$5:$P$35*'Indicator Scores'!$AG$5:$AG$35)/SUMPRODUCT((Indicators!$B$5:$B$35=H$4)*Indicators!$P$5:$P$35*('Indicator Scores'!$AG$5:$AG$35&gt;0)),0)</f>
        <v>1.4</v>
      </c>
      <c r="I213" s="28" t="n">
        <f aca="false">IFERROR(SUMPRODUCT((Indicators!$B$5:$B$35=I$4)*Indicators!$P$5:$P$35*'Indicator Scores'!$AG$5:$AG$35)/SUMPRODUCT((Indicators!$B$5:$B$35=I$4)*Indicators!$P$5:$P$35*('Indicator Scores'!$AG$5:$AG$35&gt;0)),0)</f>
        <v>2</v>
      </c>
      <c r="J213" s="28" t="n">
        <f aca="false">IFERROR(SUMPRODUCT((Indicators!$B$5:$B$35=J$4)*Indicators!$P$5:$P$35*'Indicator Scores'!$AG$5:$AG$35)/SUMPRODUCT((Indicators!$B$5:$B$35=J$4)*Indicators!$P$5:$P$35*('Indicator Scores'!$AG$5:$AG$35&gt;0)),0)</f>
        <v>2.8</v>
      </c>
      <c r="K213" s="28" t="n">
        <f aca="false">IFERROR(SUMPRODUCT(F213:J213,INDEX('Factor Weights'!$C$5:$G$11,MATCH(D213,'Factor Weights'!$A$5:$A$11,0),0))/SUMPRODUCT((F213:J213&gt;0)*INDEX('Factor Weights'!$C$5:$G$11,MATCH(D213,'Factor Weights'!$A$5:$A$11,0),0)),0)</f>
        <v>1.97333333333333</v>
      </c>
      <c r="L213" s="29" t="n">
        <f aca="false">MAX(F213:J213)</f>
        <v>2.8</v>
      </c>
      <c r="M213" s="28" t="n">
        <f aca="false">IF(L213&gt;=Config!$C$13,MAX(K213,Config!$C$14),K213)</f>
        <v>1.97333333333333</v>
      </c>
      <c r="N213" s="30" t="n">
        <f aca="false">IF(Config!$C$12="Weighted average",K213,IF(Config!$C$12="Weighted with floor",M213,L213))</f>
        <v>1.97333333333333</v>
      </c>
      <c r="O213" s="31" t="n">
        <f aca="false">IF(N213&lt;Config!$D$5,"",MATCH(N213,Config!$D$5:$D$9,1))</f>
        <v>2</v>
      </c>
      <c r="P213" s="7" t="str">
        <f aca="false">IF(O213="","No data",INDEX(Config!$B$5:$B$9,O213))</f>
        <v>Medium-Low</v>
      </c>
      <c r="Q213" s="32" t="n">
        <v>0</v>
      </c>
      <c r="R213" s="8"/>
      <c r="S213" s="33"/>
      <c r="T213" s="34" t="n">
        <f aca="false">IF(O213="","",IF(AND(S213="Y",Q213&lt;&gt;0),MAX(1,MIN(5,O213+MAX(-Config!$C$27,MIN(Config!$C$27,Q213)))),O213))</f>
        <v>2</v>
      </c>
      <c r="U213" s="35" t="str">
        <f aca="false">IF(T213="","No data",INDEX(Config!$B$5:$B$9,T213))</f>
        <v>Medium-Low</v>
      </c>
      <c r="V213" s="7" t="str">
        <f aca="false">IF(Q213=0,"None",IF(S213="Y","Applied","Pending HO approval"))</f>
        <v>None</v>
      </c>
      <c r="W213" s="36" t="n">
        <f aca="false">SUMPRODUCT((Indicators!$P$5:$P$35&gt;0)*('Indicator Data'!$AG$5:$AG$35&lt;&gt;""))/SUMPRODUCT(--(Indicators!$P$5:$P$35&gt;0))</f>
        <v>0.941176470588235</v>
      </c>
    </row>
    <row r="214" customFormat="false" ht="15" hidden="false" customHeight="false" outlineLevel="0" collapsed="false">
      <c r="A214" s="26" t="str">
        <f aca="false">Entities!$A$34</f>
        <v>US</v>
      </c>
      <c r="B214" s="12" t="str">
        <f aca="false">INDEX(Entities!$B$5:$B$34,MATCH(A214,Entities!$A$5:$A$34,0))</f>
        <v>Arab Bank – United States (if retained)</v>
      </c>
      <c r="C214" s="12" t="str">
        <f aca="false">INDEX(Entities!$D$5:$D$34,MATCH(A214,Entities!$A$5:$A$34,0))</f>
        <v>Americas</v>
      </c>
      <c r="D214" s="12" t="s">
        <v>254</v>
      </c>
      <c r="E214" s="12" t="str">
        <f aca="false">INDEX('Risk Taxonomy'!$B$5:$B$24,MATCH(D214,'Risk Taxonomy'!$A$5:$A$24,0))</f>
        <v>Tax evasion and tax transparency</v>
      </c>
      <c r="F214" s="28" t="n">
        <f aca="false">IFERROR(SUMPRODUCT((Indicators!$B$5:$B$35=F$4)*Indicators!$Q$5:$Q$35*'Indicator Scores'!$AG$5:$AG$35)/SUMPRODUCT((Indicators!$B$5:$B$35=F$4)*Indicators!$Q$5:$Q$35*('Indicator Scores'!$AG$5:$AG$35&gt;0)),0)</f>
        <v>1.44444444444444</v>
      </c>
      <c r="G214" s="28" t="n">
        <f aca="false">IFERROR(SUMPRODUCT((Indicators!$B$5:$B$35=G$4)*Indicators!$Q$5:$Q$35*'Indicator Scores'!$AG$5:$AG$35)/SUMPRODUCT((Indicators!$B$5:$B$35=G$4)*Indicators!$Q$5:$Q$35*('Indicator Scores'!$AG$5:$AG$35&gt;0)),0)</f>
        <v>2.16666666666667</v>
      </c>
      <c r="H214" s="28" t="n">
        <f aca="false">IFERROR(SUMPRODUCT((Indicators!$B$5:$B$35=H$4)*Indicators!$Q$5:$Q$35*'Indicator Scores'!$AG$5:$AG$35)/SUMPRODUCT((Indicators!$B$5:$B$35=H$4)*Indicators!$Q$5:$Q$35*('Indicator Scores'!$AG$5:$AG$35&gt;0)),0)</f>
        <v>1.16666666666667</v>
      </c>
      <c r="I214" s="28" t="n">
        <f aca="false">IFERROR(SUMPRODUCT((Indicators!$B$5:$B$35=I$4)*Indicators!$Q$5:$Q$35*'Indicator Scores'!$AG$5:$AG$35)/SUMPRODUCT((Indicators!$B$5:$B$35=I$4)*Indicators!$Q$5:$Q$35*('Indicator Scores'!$AG$5:$AG$35&gt;0)),0)</f>
        <v>2</v>
      </c>
      <c r="J214" s="28" t="n">
        <f aca="false">IFERROR(SUMPRODUCT((Indicators!$B$5:$B$35=J$4)*Indicators!$Q$5:$Q$35*'Indicator Scores'!$AG$5:$AG$35)/SUMPRODUCT((Indicators!$B$5:$B$35=J$4)*Indicators!$Q$5:$Q$35*('Indicator Scores'!$AG$5:$AG$35&gt;0)),0)</f>
        <v>1.6</v>
      </c>
      <c r="K214" s="28" t="n">
        <f aca="false">IFERROR(SUMPRODUCT(F214:J214,INDEX('Factor Weights'!$C$5:$G$11,MATCH(D214,'Factor Weights'!$A$5:$A$11,0),0))/SUMPRODUCT((F214:J214&gt;0)*INDEX('Factor Weights'!$C$5:$G$11,MATCH(D214,'Factor Weights'!$A$5:$A$11,0),0)),0)</f>
        <v>1.64055555555556</v>
      </c>
      <c r="L214" s="29" t="n">
        <f aca="false">MAX(F214:J214)</f>
        <v>2.16666666666667</v>
      </c>
      <c r="M214" s="28" t="n">
        <f aca="false">IF(L214&gt;=Config!$C$13,MAX(K214,Config!$C$14),K214)</f>
        <v>1.64055555555556</v>
      </c>
      <c r="N214" s="30" t="n">
        <f aca="false">IF(Config!$C$12="Weighted average",K214,IF(Config!$C$12="Weighted with floor",M214,L214))</f>
        <v>1.64055555555556</v>
      </c>
      <c r="O214" s="31" t="n">
        <f aca="false">IF(N214&lt;Config!$D$5,"",MATCH(N214,Config!$D$5:$D$9,1))</f>
        <v>1</v>
      </c>
      <c r="P214" s="7" t="str">
        <f aca="false">IF(O214="","No data",INDEX(Config!$B$5:$B$9,O214))</f>
        <v>Low</v>
      </c>
      <c r="Q214" s="32" t="n">
        <v>0</v>
      </c>
      <c r="R214" s="8"/>
      <c r="S214" s="33"/>
      <c r="T214" s="34" t="n">
        <f aca="false">IF(O214="","",IF(AND(S214="Y",Q214&lt;&gt;0),MAX(1,MIN(5,O214+MAX(-Config!$C$27,MIN(Config!$C$27,Q214)))),O214))</f>
        <v>1</v>
      </c>
      <c r="U214" s="35" t="str">
        <f aca="false">IF(T214="","No data",INDEX(Config!$B$5:$B$9,T214))</f>
        <v>Low</v>
      </c>
      <c r="V214" s="7" t="str">
        <f aca="false">IF(Q214=0,"None",IF(S214="Y","Applied","Pending HO approval"))</f>
        <v>None</v>
      </c>
      <c r="W214" s="36" t="n">
        <f aca="false">SUMPRODUCT((Indicators!$Q$5:$Q$35&gt;0)*('Indicator Data'!$AG$5:$AG$35&lt;&gt;""))/SUMPRODUCT(--(Indicators!$Q$5:$Q$35&gt;0))</f>
        <v>1</v>
      </c>
    </row>
  </sheetData>
  <autoFilter ref="A4:W214"/>
  <conditionalFormatting sqref="O5:O214">
    <cfRule type="expression" priority="2" aboveAverage="0" equalAverage="0" bottom="0" percent="0" rank="0" text="" dxfId="0">
      <formula>O5=1</formula>
    </cfRule>
    <cfRule type="expression" priority="3" aboveAverage="0" equalAverage="0" bottom="0" percent="0" rank="0" text="" dxfId="1">
      <formula>O5=2</formula>
    </cfRule>
    <cfRule type="expression" priority="4" aboveAverage="0" equalAverage="0" bottom="0" percent="0" rank="0" text="" dxfId="2">
      <formula>O5=3</formula>
    </cfRule>
    <cfRule type="expression" priority="5" aboveAverage="0" equalAverage="0" bottom="0" percent="0" rank="0" text="" dxfId="3">
      <formula>O5=4</formula>
    </cfRule>
    <cfRule type="expression" priority="6" aboveAverage="0" equalAverage="0" bottom="0" percent="0" rank="0" text="" dxfId="4">
      <formula>O5=5</formula>
    </cfRule>
  </conditionalFormatting>
  <conditionalFormatting sqref="T5:T214">
    <cfRule type="expression" priority="7" aboveAverage="0" equalAverage="0" bottom="0" percent="0" rank="0" text="" dxfId="0">
      <formula>T5=1</formula>
    </cfRule>
    <cfRule type="expression" priority="8" aboveAverage="0" equalAverage="0" bottom="0" percent="0" rank="0" text="" dxfId="1">
      <formula>T5=2</formula>
    </cfRule>
    <cfRule type="expression" priority="9" aboveAverage="0" equalAverage="0" bottom="0" percent="0" rank="0" text="" dxfId="2">
      <formula>T5=3</formula>
    </cfRule>
    <cfRule type="expression" priority="10" aboveAverage="0" equalAverage="0" bottom="0" percent="0" rank="0" text="" dxfId="3">
      <formula>T5=4</formula>
    </cfRule>
    <cfRule type="expression" priority="11" aboveAverage="0" equalAverage="0" bottom="0" percent="0" rank="0" text="" dxfId="4">
      <formula>T5=5</formula>
    </cfRule>
  </conditionalFormatting>
  <dataValidations count="2">
    <dataValidation allowBlank="false" errorStyle="stop" operator="between" showDropDown="false" showErrorMessage="false" showInputMessage="false" sqref="S5:S214" type="list">
      <formula1>Config!$H$15:$H$16</formula1>
      <formula2>0</formula2>
    </dataValidation>
    <dataValidation allowBlank="false" errorStyle="stop" operator="between" showDropDown="false" showErrorMessage="false" showInputMessage="false" sqref="Q5:Q214" type="whole">
      <formula1>-4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8"/>
    <col collapsed="false" customWidth="true" hidden="false" outlineLevel="0" max="5" min="5" style="0" width="34"/>
    <col collapsed="false" customWidth="true" hidden="false" outlineLevel="0" max="6" min="6" style="0" width="10"/>
    <col collapsed="false" customWidth="true" hidden="false" outlineLevel="0" max="10" min="7" style="0" width="11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10"/>
    <col collapsed="false" customWidth="true" hidden="false" outlineLevel="0" max="17" min="17" style="0" width="40"/>
    <col collapsed="false" customWidth="true" hidden="false" outlineLevel="0" max="19" min="18" style="0" width="10"/>
    <col collapsed="false" customWidth="true" hidden="false" outlineLevel="0" max="20" min="20" style="0" width="13"/>
    <col collapsed="false" customWidth="true" hidden="false" outlineLevel="0" max="21" min="21" style="0" width="18"/>
    <col collapsed="false" customWidth="true" hidden="false" outlineLevel="0" max="22" min="22" style="0" width="50"/>
  </cols>
  <sheetData>
    <row r="1" customFormat="false" ht="17.35" hidden="false" customHeight="false" outlineLevel="0" collapsed="false">
      <c r="A1" s="1" t="s">
        <v>433</v>
      </c>
    </row>
    <row r="2" customFormat="false" ht="15" hidden="false" customHeight="false" outlineLevel="0" collapsed="false">
      <c r="A2" s="2" t="s">
        <v>434</v>
      </c>
    </row>
    <row r="4" customFormat="false" ht="42" hidden="false" customHeight="true" outlineLevel="0" collapsed="false">
      <c r="A4" s="5" t="s">
        <v>107</v>
      </c>
      <c r="B4" s="5" t="s">
        <v>108</v>
      </c>
      <c r="C4" s="5" t="s">
        <v>110</v>
      </c>
      <c r="D4" s="5" t="s">
        <v>417</v>
      </c>
      <c r="E4" s="5" t="s">
        <v>300</v>
      </c>
      <c r="F4" s="5" t="s">
        <v>435</v>
      </c>
      <c r="G4" s="5" t="s">
        <v>436</v>
      </c>
      <c r="H4" s="5" t="s">
        <v>437</v>
      </c>
      <c r="I4" s="5" t="s">
        <v>438</v>
      </c>
      <c r="J4" s="5" t="s">
        <v>439</v>
      </c>
      <c r="K4" s="5" t="s">
        <v>440</v>
      </c>
      <c r="L4" s="5" t="s">
        <v>441</v>
      </c>
      <c r="M4" s="5" t="s">
        <v>442</v>
      </c>
      <c r="N4" s="5" t="s">
        <v>422</v>
      </c>
      <c r="O4" s="5" t="s">
        <v>423</v>
      </c>
      <c r="P4" s="5" t="s">
        <v>424</v>
      </c>
      <c r="Q4" s="5" t="s">
        <v>425</v>
      </c>
      <c r="R4" s="5" t="s">
        <v>426</v>
      </c>
      <c r="S4" s="5" t="s">
        <v>427</v>
      </c>
      <c r="T4" s="5" t="s">
        <v>428</v>
      </c>
      <c r="U4" s="5" t="s">
        <v>429</v>
      </c>
      <c r="V4" s="5" t="s">
        <v>443</v>
      </c>
    </row>
    <row r="5" customFormat="false" ht="15" hidden="false" customHeight="false" outlineLevel="0" collapsed="false">
      <c r="A5" s="26" t="str">
        <f aca="false">Entities!$A$5</f>
        <v>JO-HO</v>
      </c>
      <c r="B5" s="12" t="str">
        <f aca="false">INDEX(Entities!$B$5:$B$34,MATCH(A5,Entities!$A$5:$A$34,0))</f>
        <v>Arab Bank plc – Jordan (HO and domestic network)</v>
      </c>
      <c r="C5" s="12" t="str">
        <f aca="false">INDEX(Entities!$D$5:$D$34,MATCH(A5,Entities!$A$5:$A$34,0))</f>
        <v>Jordan (home)</v>
      </c>
      <c r="D5" s="12" t="s">
        <v>257</v>
      </c>
      <c r="E5" s="12" t="str">
        <f aca="false">INDEX('Risk Taxonomy'!$B$5:$B$24,MATCH(D5,'Risk Taxonomy'!$A$5:$A$24,0))</f>
        <v>Regulatory compliance</v>
      </c>
      <c r="F5" s="7" t="str">
        <f aca="false">IF(D5="RC-04",IF(INDEX(Entities!$G$5:$G$34,MATCH(A5,Entities!$A$5:$A$34,0))="Y","Yes","N/A"),"Yes")</f>
        <v>Yes</v>
      </c>
      <c r="G5" s="24" t="n">
        <v>4</v>
      </c>
      <c r="H5" s="24" t="n">
        <v>1</v>
      </c>
      <c r="I5" s="24" t="n">
        <v>4</v>
      </c>
      <c r="J5" s="24" t="n">
        <v>4</v>
      </c>
      <c r="K5" s="24" t="n">
        <v>3</v>
      </c>
      <c r="L5" s="37" t="n">
        <f aca="false">IF(F5="N/A","",IF(COUNT(H5:K5)=0,"",IF(Config!$C$19="Highest dimension",MAX(H5:K5),ROUND(H5*Config!$C$20+I5*Config!$C$21+J5*Config!$C$22+K5*Config!$C$23,1))))</f>
        <v>4</v>
      </c>
      <c r="M5" s="38" t="n">
        <f aca="false">IF(OR(L5="",G5=""),"",G5*L5)</f>
        <v>16</v>
      </c>
      <c r="N5" s="31" t="n">
        <f aca="false">IF(M5="","",MATCH(M5,Config!$E$5:$E$9,1))</f>
        <v>4</v>
      </c>
      <c r="O5" s="7" t="str">
        <f aca="false">IF(F5="N/A","N/A",IF(N5="","Not assessed",INDEX(Config!$B$5:$B$9,N5)))</f>
        <v>Medium-High</v>
      </c>
      <c r="P5" s="32" t="n">
        <v>0</v>
      </c>
      <c r="Q5" s="8"/>
      <c r="R5" s="33"/>
      <c r="S5" s="34" t="n">
        <f aca="false">IF(N5="","",IF(AND(R5="Y",P5&lt;&gt;0),MAX(1,MIN(5,N5+MAX(-Config!$C$27,MIN(Config!$C$27,P5)))),N5))</f>
        <v>4</v>
      </c>
      <c r="T5" s="35" t="str">
        <f aca="false">IF(F5="N/A","N/A",IF(S5="","Not assessed",INDEX(Config!$B$5:$B$9,S5)))</f>
        <v>Medium-High</v>
      </c>
      <c r="U5" s="7" t="str">
        <f aca="false">IF(P5=0,"None",IF(R5="Y","Applied","Pending HO approval"))</f>
        <v>None</v>
      </c>
      <c r="V5" s="8" t="s">
        <v>444</v>
      </c>
    </row>
    <row r="6" customFormat="false" ht="15" hidden="false" customHeight="false" outlineLevel="0" collapsed="false">
      <c r="A6" s="26" t="str">
        <f aca="false">Entities!$A$5</f>
        <v>JO-HO</v>
      </c>
      <c r="B6" s="12" t="str">
        <f aca="false">INDEX(Entities!$B$5:$B$34,MATCH(A6,Entities!$A$5:$A$34,0))</f>
        <v>Arab Bank plc – Jordan (HO and domestic network)</v>
      </c>
      <c r="C6" s="12" t="str">
        <f aca="false">INDEX(Entities!$D$5:$D$34,MATCH(A6,Entities!$A$5:$A$34,0))</f>
        <v>Jordan (home)</v>
      </c>
      <c r="D6" s="12" t="s">
        <v>261</v>
      </c>
      <c r="E6" s="12" t="str">
        <f aca="false">INDEX('Risk Taxonomy'!$B$5:$B$24,MATCH(D6,'Risk Taxonomy'!$A$5:$A$24,0))</f>
        <v>Conduct and consumer protection</v>
      </c>
      <c r="F6" s="7" t="str">
        <f aca="false">IF(D6="RC-04",IF(INDEX(Entities!$G$5:$G$34,MATCH(A6,Entities!$A$5:$A$34,0))="Y","Yes","N/A"),"Yes")</f>
        <v>Yes</v>
      </c>
      <c r="G6" s="24" t="n">
        <v>3</v>
      </c>
      <c r="H6" s="24" t="n">
        <v>2</v>
      </c>
      <c r="I6" s="24" t="n">
        <v>3</v>
      </c>
      <c r="J6" s="24" t="n">
        <v>2</v>
      </c>
      <c r="K6" s="24" t="n">
        <v>2</v>
      </c>
      <c r="L6" s="37" t="n">
        <f aca="false">IF(F6="N/A","",IF(COUNT(H6:K6)=0,"",IF(Config!$C$19="Highest dimension",MAX(H6:K6),ROUND(H6*Config!$C$20+I6*Config!$C$21+J6*Config!$C$22+K6*Config!$C$23,1))))</f>
        <v>3</v>
      </c>
      <c r="M6" s="38" t="n">
        <f aca="false">IF(OR(L6="",G6=""),"",G6*L6)</f>
        <v>9</v>
      </c>
      <c r="N6" s="31" t="n">
        <f aca="false">IF(M6="","",MATCH(M6,Config!$E$5:$E$9,1))</f>
        <v>3</v>
      </c>
      <c r="O6" s="7" t="str">
        <f aca="false">IF(F6="N/A","N/A",IF(N6="","Not assessed",INDEX(Config!$B$5:$B$9,N6)))</f>
        <v>Medium</v>
      </c>
      <c r="P6" s="32" t="n">
        <v>0</v>
      </c>
      <c r="Q6" s="8"/>
      <c r="R6" s="33"/>
      <c r="S6" s="34" t="n">
        <f aca="false">IF(N6="","",IF(AND(R6="Y",P6&lt;&gt;0),MAX(1,MIN(5,N6+MAX(-Config!$C$27,MIN(Config!$C$27,P6)))),N6))</f>
        <v>3</v>
      </c>
      <c r="T6" s="35" t="str">
        <f aca="false">IF(F6="N/A","N/A",IF(S6="","Not assessed",INDEX(Config!$B$5:$B$9,S6)))</f>
        <v>Medium</v>
      </c>
      <c r="U6" s="7" t="str">
        <f aca="false">IF(P6=0,"None",IF(R6="Y","Applied","Pending HO approval"))</f>
        <v>None</v>
      </c>
      <c r="V6" s="8"/>
    </row>
    <row r="7" customFormat="false" ht="15" hidden="false" customHeight="false" outlineLevel="0" collapsed="false">
      <c r="A7" s="26" t="str">
        <f aca="false">Entities!$A$5</f>
        <v>JO-HO</v>
      </c>
      <c r="B7" s="12" t="str">
        <f aca="false">INDEX(Entities!$B$5:$B$34,MATCH(A7,Entities!$A$5:$A$34,0))</f>
        <v>Arab Bank plc – Jordan (HO and domestic network)</v>
      </c>
      <c r="C7" s="12" t="str">
        <f aca="false">INDEX(Entities!$D$5:$D$34,MATCH(A7,Entities!$A$5:$A$34,0))</f>
        <v>Jordan (home)</v>
      </c>
      <c r="D7" s="12" t="s">
        <v>263</v>
      </c>
      <c r="E7" s="12" t="str">
        <f aca="false">INDEX('Risk Taxonomy'!$B$5:$B$24,MATCH(D7,'Risk Taxonomy'!$A$5:$A$24,0))</f>
        <v>Data protection and privacy</v>
      </c>
      <c r="F7" s="7" t="str">
        <f aca="false">IF(D7="RC-04",IF(INDEX(Entities!$G$5:$G$34,MATCH(A7,Entities!$A$5:$A$34,0))="Y","Yes","N/A"),"Yes")</f>
        <v>Yes</v>
      </c>
      <c r="G7" s="24" t="n">
        <v>3</v>
      </c>
      <c r="H7" s="24" t="n">
        <v>2</v>
      </c>
      <c r="I7" s="24" t="n">
        <v>3</v>
      </c>
      <c r="J7" s="24" t="n">
        <v>3</v>
      </c>
      <c r="K7" s="24" t="n">
        <v>2</v>
      </c>
      <c r="L7" s="37" t="n">
        <f aca="false">IF(F7="N/A","",IF(COUNT(H7:K7)=0,"",IF(Config!$C$19="Highest dimension",MAX(H7:K7),ROUND(H7*Config!$C$20+I7*Config!$C$21+J7*Config!$C$22+K7*Config!$C$23,1))))</f>
        <v>3</v>
      </c>
      <c r="M7" s="38" t="n">
        <f aca="false">IF(OR(L7="",G7=""),"",G7*L7)</f>
        <v>9</v>
      </c>
      <c r="N7" s="31" t="n">
        <f aca="false">IF(M7="","",MATCH(M7,Config!$E$5:$E$9,1))</f>
        <v>3</v>
      </c>
      <c r="O7" s="7" t="str">
        <f aca="false">IF(F7="N/A","N/A",IF(N7="","Not assessed",INDEX(Config!$B$5:$B$9,N7)))</f>
        <v>Medium</v>
      </c>
      <c r="P7" s="32" t="n">
        <v>0</v>
      </c>
      <c r="Q7" s="8"/>
      <c r="R7" s="33"/>
      <c r="S7" s="34" t="n">
        <f aca="false">IF(N7="","",IF(AND(R7="Y",P7&lt;&gt;0),MAX(1,MIN(5,N7+MAX(-Config!$C$27,MIN(Config!$C$27,P7)))),N7))</f>
        <v>3</v>
      </c>
      <c r="T7" s="35" t="str">
        <f aca="false">IF(F7="N/A","N/A",IF(S7="","Not assessed",INDEX(Config!$B$5:$B$9,S7)))</f>
        <v>Medium</v>
      </c>
      <c r="U7" s="7" t="str">
        <f aca="false">IF(P7=0,"None",IF(R7="Y","Applied","Pending HO approval"))</f>
        <v>None</v>
      </c>
      <c r="V7" s="8"/>
    </row>
    <row r="8" customFormat="false" ht="15" hidden="false" customHeight="false" outlineLevel="0" collapsed="false">
      <c r="A8" s="26" t="str">
        <f aca="false">Entities!$A$5</f>
        <v>JO-HO</v>
      </c>
      <c r="B8" s="12" t="str">
        <f aca="false">INDEX(Entities!$B$5:$B$34,MATCH(A8,Entities!$A$5:$A$34,0))</f>
        <v>Arab Bank plc – Jordan (HO and domestic network)</v>
      </c>
      <c r="C8" s="12" t="str">
        <f aca="false">INDEX(Entities!$D$5:$D$34,MATCH(A8,Entities!$A$5:$A$34,0))</f>
        <v>Jordan (home)</v>
      </c>
      <c r="D8" s="12" t="s">
        <v>266</v>
      </c>
      <c r="E8" s="12" t="str">
        <f aca="false">INDEX('Risk Taxonomy'!$B$5:$B$24,MATCH(D8,'Risk Taxonomy'!$A$5:$A$24,0))</f>
        <v>Shariah non-compliance</v>
      </c>
      <c r="F8" s="7" t="str">
        <f aca="false">IF(D8="RC-04",IF(INDEX(Entities!$G$5:$G$34,MATCH(A8,Entities!$A$5:$A$34,0))="Y","Yes","N/A"),"Yes")</f>
        <v>N/A</v>
      </c>
      <c r="G8" s="24"/>
      <c r="H8" s="24"/>
      <c r="I8" s="24"/>
      <c r="J8" s="24"/>
      <c r="K8" s="24"/>
      <c r="L8" s="37" t="str">
        <f aca="false">IF(F8="N/A","",IF(COUNT(H8:K8)=0,"",IF(Config!$C$19="Highest dimension",MAX(H8:K8),ROUND(H8*Config!$C$20+I8*Config!$C$21+J8*Config!$C$22+K8*Config!$C$23,1))))</f>
        <v/>
      </c>
      <c r="M8" s="38" t="str">
        <f aca="false">IF(OR(L8="",G8=""),"",G8*L8)</f>
        <v/>
      </c>
      <c r="N8" s="31" t="str">
        <f aca="false">IF(M8="","",MATCH(M8,Config!$E$5:$E$9,1))</f>
        <v/>
      </c>
      <c r="O8" s="7" t="str">
        <f aca="false">IF(F8="N/A","N/A",IF(N8="","Not assessed",INDEX(Config!$B$5:$B$9,N8)))</f>
        <v>N/A</v>
      </c>
      <c r="P8" s="32" t="n">
        <v>0</v>
      </c>
      <c r="Q8" s="8"/>
      <c r="R8" s="33"/>
      <c r="S8" s="34" t="str">
        <f aca="false">IF(N8="","",IF(AND(R8="Y",P8&lt;&gt;0),MAX(1,MIN(5,N8+MAX(-Config!$C$27,MIN(Config!$C$27,P8)))),N8))</f>
        <v/>
      </c>
      <c r="T8" s="35" t="str">
        <f aca="false">IF(F8="N/A","N/A",IF(S8="","Not assessed",INDEX(Config!$B$5:$B$9,S8)))</f>
        <v>N/A</v>
      </c>
      <c r="U8" s="7" t="str">
        <f aca="false">IF(P8=0,"None",IF(R8="Y","Applied","Pending HO approval"))</f>
        <v>None</v>
      </c>
      <c r="V8" s="8"/>
    </row>
    <row r="9" customFormat="false" ht="15" hidden="false" customHeight="false" outlineLevel="0" collapsed="false">
      <c r="A9" s="26" t="str">
        <f aca="false">Entities!$A$5</f>
        <v>JO-HO</v>
      </c>
      <c r="B9" s="12" t="str">
        <f aca="false">INDEX(Entities!$B$5:$B$34,MATCH(A9,Entities!$A$5:$A$34,0))</f>
        <v>Arab Bank plc – Jordan (HO and domestic network)</v>
      </c>
      <c r="C9" s="12" t="str">
        <f aca="false">INDEX(Entities!$D$5:$D$34,MATCH(A9,Entities!$A$5:$A$34,0))</f>
        <v>Jordan (home)</v>
      </c>
      <c r="D9" s="12" t="s">
        <v>270</v>
      </c>
      <c r="E9" s="12" t="str">
        <f aca="false">INDEX('Risk Taxonomy'!$B$5:$B$24,MATCH(D9,'Risk Taxonomy'!$A$5:$A$24,0))</f>
        <v>Credit risk</v>
      </c>
      <c r="F9" s="7" t="str">
        <f aca="false">IF(D9="RC-04",IF(INDEX(Entities!$G$5:$G$34,MATCH(A9,Entities!$A$5:$A$34,0))="Y","Yes","N/A"),"Yes")</f>
        <v>Yes</v>
      </c>
      <c r="G9" s="24" t="n">
        <v>3</v>
      </c>
      <c r="H9" s="24" t="n">
        <v>1</v>
      </c>
      <c r="I9" s="24" t="n">
        <v>3</v>
      </c>
      <c r="J9" s="24" t="n">
        <v>3</v>
      </c>
      <c r="K9" s="24" t="n">
        <v>3</v>
      </c>
      <c r="L9" s="37" t="n">
        <f aca="false">IF(F9="N/A","",IF(COUNT(H9:K9)=0,"",IF(Config!$C$19="Highest dimension",MAX(H9:K9),ROUND(H9*Config!$C$20+I9*Config!$C$21+J9*Config!$C$22+K9*Config!$C$23,1))))</f>
        <v>3</v>
      </c>
      <c r="M9" s="38" t="n">
        <f aca="false">IF(OR(L9="",G9=""),"",G9*L9)</f>
        <v>9</v>
      </c>
      <c r="N9" s="31" t="n">
        <f aca="false">IF(M9="","",MATCH(M9,Config!$E$5:$E$9,1))</f>
        <v>3</v>
      </c>
      <c r="O9" s="7" t="str">
        <f aca="false">IF(F9="N/A","N/A",IF(N9="","Not assessed",INDEX(Config!$B$5:$B$9,N9)))</f>
        <v>Medium</v>
      </c>
      <c r="P9" s="32" t="n">
        <v>0</v>
      </c>
      <c r="Q9" s="8"/>
      <c r="R9" s="33"/>
      <c r="S9" s="34" t="n">
        <f aca="false">IF(N9="","",IF(AND(R9="Y",P9&lt;&gt;0),MAX(1,MIN(5,N9+MAX(-Config!$C$27,MIN(Config!$C$27,P9)))),N9))</f>
        <v>3</v>
      </c>
      <c r="T9" s="35" t="str">
        <f aca="false">IF(F9="N/A","N/A",IF(S9="","Not assessed",INDEX(Config!$B$5:$B$9,S9)))</f>
        <v>Medium</v>
      </c>
      <c r="U9" s="7" t="str">
        <f aca="false">IF(P9=0,"None",IF(R9="Y","Applied","Pending HO approval"))</f>
        <v>None</v>
      </c>
      <c r="V9" s="8"/>
    </row>
    <row r="10" customFormat="false" ht="15" hidden="false" customHeight="false" outlineLevel="0" collapsed="false">
      <c r="A10" s="26" t="str">
        <f aca="false">Entities!$A$5</f>
        <v>JO-HO</v>
      </c>
      <c r="B10" s="12" t="str">
        <f aca="false">INDEX(Entities!$B$5:$B$34,MATCH(A10,Entities!$A$5:$A$34,0))</f>
        <v>Arab Bank plc – Jordan (HO and domestic network)</v>
      </c>
      <c r="C10" s="12" t="str">
        <f aca="false">INDEX(Entities!$D$5:$D$34,MATCH(A10,Entities!$A$5:$A$34,0))</f>
        <v>Jordan (home)</v>
      </c>
      <c r="D10" s="12" t="s">
        <v>275</v>
      </c>
      <c r="E10" s="12" t="str">
        <f aca="false">INDEX('Risk Taxonomy'!$B$5:$B$24,MATCH(D10,'Risk Taxonomy'!$A$5:$A$24,0))</f>
        <v>Market risk</v>
      </c>
      <c r="F10" s="7" t="str">
        <f aca="false">IF(D10="RC-04",IF(INDEX(Entities!$G$5:$G$34,MATCH(A10,Entities!$A$5:$A$34,0))="Y","Yes","N/A"),"Yes")</f>
        <v>Yes</v>
      </c>
      <c r="G10" s="24" t="n">
        <v>3</v>
      </c>
      <c r="H10" s="24" t="n">
        <v>4</v>
      </c>
      <c r="I10" s="24" t="n">
        <v>2</v>
      </c>
      <c r="J10" s="24" t="n">
        <v>3</v>
      </c>
      <c r="K10" s="24" t="n">
        <v>2</v>
      </c>
      <c r="L10" s="37" t="n">
        <f aca="false">IF(F10="N/A","",IF(COUNT(H10:K10)=0,"",IF(Config!$C$19="Highest dimension",MAX(H10:K10),ROUND(H10*Config!$C$20+I10*Config!$C$21+J10*Config!$C$22+K10*Config!$C$23,1))))</f>
        <v>4</v>
      </c>
      <c r="M10" s="38" t="n">
        <f aca="false">IF(OR(L10="",G10=""),"",G10*L10)</f>
        <v>12</v>
      </c>
      <c r="N10" s="31" t="n">
        <f aca="false">IF(M10="","",MATCH(M10,Config!$E$5:$E$9,1))</f>
        <v>3</v>
      </c>
      <c r="O10" s="7" t="str">
        <f aca="false">IF(F10="N/A","N/A",IF(N10="","Not assessed",INDEX(Config!$B$5:$B$9,N10)))</f>
        <v>Medium</v>
      </c>
      <c r="P10" s="32" t="n">
        <v>0</v>
      </c>
      <c r="Q10" s="8"/>
      <c r="R10" s="33"/>
      <c r="S10" s="34" t="n">
        <f aca="false">IF(N10="","",IF(AND(R10="Y",P10&lt;&gt;0),MAX(1,MIN(5,N10+MAX(-Config!$C$27,MIN(Config!$C$27,P10)))),N10))</f>
        <v>3</v>
      </c>
      <c r="T10" s="35" t="str">
        <f aca="false">IF(F10="N/A","N/A",IF(S10="","Not assessed",INDEX(Config!$B$5:$B$9,S10)))</f>
        <v>Medium</v>
      </c>
      <c r="U10" s="7" t="str">
        <f aca="false">IF(P10=0,"None",IF(R10="Y","Applied","Pending HO approval"))</f>
        <v>None</v>
      </c>
      <c r="V10" s="8"/>
    </row>
    <row r="11" customFormat="false" ht="15" hidden="false" customHeight="false" outlineLevel="0" collapsed="false">
      <c r="A11" s="26" t="str">
        <f aca="false">Entities!$A$5</f>
        <v>JO-HO</v>
      </c>
      <c r="B11" s="12" t="str">
        <f aca="false">INDEX(Entities!$B$5:$B$34,MATCH(A11,Entities!$A$5:$A$34,0))</f>
        <v>Arab Bank plc – Jordan (HO and domestic network)</v>
      </c>
      <c r="C11" s="12" t="str">
        <f aca="false">INDEX(Entities!$D$5:$D$34,MATCH(A11,Entities!$A$5:$A$34,0))</f>
        <v>Jordan (home)</v>
      </c>
      <c r="D11" s="12" t="s">
        <v>277</v>
      </c>
      <c r="E11" s="12" t="str">
        <f aca="false">INDEX('Risk Taxonomy'!$B$5:$B$24,MATCH(D11,'Risk Taxonomy'!$A$5:$A$24,0))</f>
        <v>Liquidity and funding risk</v>
      </c>
      <c r="F11" s="7" t="str">
        <f aca="false">IF(D11="RC-04",IF(INDEX(Entities!$G$5:$G$34,MATCH(A11,Entities!$A$5:$A$34,0))="Y","Yes","N/A"),"Yes")</f>
        <v>Yes</v>
      </c>
      <c r="G11" s="24" t="n">
        <v>3</v>
      </c>
      <c r="H11" s="24" t="n">
        <v>3</v>
      </c>
      <c r="I11" s="24" t="n">
        <v>3</v>
      </c>
      <c r="J11" s="24" t="n">
        <v>4</v>
      </c>
      <c r="K11" s="24" t="n">
        <v>2</v>
      </c>
      <c r="L11" s="37" t="n">
        <f aca="false">IF(F11="N/A","",IF(COUNT(H11:K11)=0,"",IF(Config!$C$19="Highest dimension",MAX(H11:K11),ROUND(H11*Config!$C$20+I11*Config!$C$21+J11*Config!$C$22+K11*Config!$C$23,1))))</f>
        <v>4</v>
      </c>
      <c r="M11" s="38" t="n">
        <f aca="false">IF(OR(L11="",G11=""),"",G11*L11)</f>
        <v>12</v>
      </c>
      <c r="N11" s="31" t="n">
        <f aca="false">IF(M11="","",MATCH(M11,Config!$E$5:$E$9,1))</f>
        <v>3</v>
      </c>
      <c r="O11" s="7" t="str">
        <f aca="false">IF(F11="N/A","N/A",IF(N11="","Not assessed",INDEX(Config!$B$5:$B$9,N11)))</f>
        <v>Medium</v>
      </c>
      <c r="P11" s="32" t="n">
        <v>0</v>
      </c>
      <c r="Q11" s="8"/>
      <c r="R11" s="33"/>
      <c r="S11" s="34" t="n">
        <f aca="false">IF(N11="","",IF(AND(R11="Y",P11&lt;&gt;0),MAX(1,MIN(5,N11+MAX(-Config!$C$27,MIN(Config!$C$27,P11)))),N11))</f>
        <v>3</v>
      </c>
      <c r="T11" s="35" t="str">
        <f aca="false">IF(F11="N/A","N/A",IF(S11="","Not assessed",INDEX(Config!$B$5:$B$9,S11)))</f>
        <v>Medium</v>
      </c>
      <c r="U11" s="7" t="str">
        <f aca="false">IF(P11=0,"None",IF(R11="Y","Applied","Pending HO approval"))</f>
        <v>None</v>
      </c>
      <c r="V11" s="8"/>
    </row>
    <row r="12" customFormat="false" ht="15" hidden="false" customHeight="false" outlineLevel="0" collapsed="false">
      <c r="A12" s="26" t="str">
        <f aca="false">Entities!$A$5</f>
        <v>JO-HO</v>
      </c>
      <c r="B12" s="12" t="str">
        <f aca="false">INDEX(Entities!$B$5:$B$34,MATCH(A12,Entities!$A$5:$A$34,0))</f>
        <v>Arab Bank plc – Jordan (HO and domestic network)</v>
      </c>
      <c r="C12" s="12" t="str">
        <f aca="false">INDEX(Entities!$D$5:$D$34,MATCH(A12,Entities!$A$5:$A$34,0))</f>
        <v>Jordan (home)</v>
      </c>
      <c r="D12" s="12" t="s">
        <v>280</v>
      </c>
      <c r="E12" s="12" t="str">
        <f aca="false">INDEX('Risk Taxonomy'!$B$5:$B$24,MATCH(D12,'Risk Taxonomy'!$A$5:$A$24,0))</f>
        <v>Operational risk</v>
      </c>
      <c r="F12" s="7" t="str">
        <f aca="false">IF(D12="RC-04",IF(INDEX(Entities!$G$5:$G$34,MATCH(A12,Entities!$A$5:$A$34,0))="Y","Yes","N/A"),"Yes")</f>
        <v>Yes</v>
      </c>
      <c r="G12" s="24" t="n">
        <v>3</v>
      </c>
      <c r="H12" s="24" t="n">
        <v>2</v>
      </c>
      <c r="I12" s="24" t="n">
        <v>1</v>
      </c>
      <c r="J12" s="24" t="n">
        <v>3</v>
      </c>
      <c r="K12" s="24" t="n">
        <v>4</v>
      </c>
      <c r="L12" s="37" t="n">
        <f aca="false">IF(F12="N/A","",IF(COUNT(H12:K12)=0,"",IF(Config!$C$19="Highest dimension",MAX(H12:K12),ROUND(H12*Config!$C$20+I12*Config!$C$21+J12*Config!$C$22+K12*Config!$C$23,1))))</f>
        <v>4</v>
      </c>
      <c r="M12" s="38" t="n">
        <f aca="false">IF(OR(L12="",G12=""),"",G12*L12)</f>
        <v>12</v>
      </c>
      <c r="N12" s="31" t="n">
        <f aca="false">IF(M12="","",MATCH(M12,Config!$E$5:$E$9,1))</f>
        <v>3</v>
      </c>
      <c r="O12" s="7" t="str">
        <f aca="false">IF(F12="N/A","N/A",IF(N12="","Not assessed",INDEX(Config!$B$5:$B$9,N12)))</f>
        <v>Medium</v>
      </c>
      <c r="P12" s="32" t="n">
        <v>0</v>
      </c>
      <c r="Q12" s="8"/>
      <c r="R12" s="33"/>
      <c r="S12" s="34" t="n">
        <f aca="false">IF(N12="","",IF(AND(R12="Y",P12&lt;&gt;0),MAX(1,MIN(5,N12+MAX(-Config!$C$27,MIN(Config!$C$27,P12)))),N12))</f>
        <v>3</v>
      </c>
      <c r="T12" s="35" t="str">
        <f aca="false">IF(F12="N/A","N/A",IF(S12="","Not assessed",INDEX(Config!$B$5:$B$9,S12)))</f>
        <v>Medium</v>
      </c>
      <c r="U12" s="7" t="str">
        <f aca="false">IF(P12=0,"None",IF(R12="Y","Applied","Pending HO approval"))</f>
        <v>None</v>
      </c>
      <c r="V12" s="8"/>
    </row>
    <row r="13" customFormat="false" ht="15" hidden="false" customHeight="false" outlineLevel="0" collapsed="false">
      <c r="A13" s="26" t="str">
        <f aca="false">Entities!$A$5</f>
        <v>JO-HO</v>
      </c>
      <c r="B13" s="12" t="str">
        <f aca="false">INDEX(Entities!$B$5:$B$34,MATCH(A13,Entities!$A$5:$A$34,0))</f>
        <v>Arab Bank plc – Jordan (HO and domestic network)</v>
      </c>
      <c r="C13" s="12" t="str">
        <f aca="false">INDEX(Entities!$D$5:$D$34,MATCH(A13,Entities!$A$5:$A$34,0))</f>
        <v>Jordan (home)</v>
      </c>
      <c r="D13" s="12" t="s">
        <v>283</v>
      </c>
      <c r="E13" s="12" t="str">
        <f aca="false">INDEX('Risk Taxonomy'!$B$5:$B$24,MATCH(D13,'Risk Taxonomy'!$A$5:$A$24,0))</f>
        <v>Cyber, information security and technology</v>
      </c>
      <c r="F13" s="7" t="str">
        <f aca="false">IF(D13="RC-04",IF(INDEX(Entities!$G$5:$G$34,MATCH(A13,Entities!$A$5:$A$34,0))="Y","Yes","N/A"),"Yes")</f>
        <v>Yes</v>
      </c>
      <c r="G13" s="24" t="n">
        <v>3</v>
      </c>
      <c r="H13" s="24" t="n">
        <v>3</v>
      </c>
      <c r="I13" s="24" t="n">
        <v>3</v>
      </c>
      <c r="J13" s="24" t="n">
        <v>3</v>
      </c>
      <c r="K13" s="24" t="n">
        <v>4</v>
      </c>
      <c r="L13" s="37" t="n">
        <f aca="false">IF(F13="N/A","",IF(COUNT(H13:K13)=0,"",IF(Config!$C$19="Highest dimension",MAX(H13:K13),ROUND(H13*Config!$C$20+I13*Config!$C$21+J13*Config!$C$22+K13*Config!$C$23,1))))</f>
        <v>4</v>
      </c>
      <c r="M13" s="38" t="n">
        <f aca="false">IF(OR(L13="",G13=""),"",G13*L13)</f>
        <v>12</v>
      </c>
      <c r="N13" s="31" t="n">
        <f aca="false">IF(M13="","",MATCH(M13,Config!$E$5:$E$9,1))</f>
        <v>3</v>
      </c>
      <c r="O13" s="7" t="str">
        <f aca="false">IF(F13="N/A","N/A",IF(N13="","Not assessed",INDEX(Config!$B$5:$B$9,N13)))</f>
        <v>Medium</v>
      </c>
      <c r="P13" s="32" t="n">
        <v>0</v>
      </c>
      <c r="Q13" s="8"/>
      <c r="R13" s="33"/>
      <c r="S13" s="34" t="n">
        <f aca="false">IF(N13="","",IF(AND(R13="Y",P13&lt;&gt;0),MAX(1,MIN(5,N13+MAX(-Config!$C$27,MIN(Config!$C$27,P13)))),N13))</f>
        <v>3</v>
      </c>
      <c r="T13" s="35" t="str">
        <f aca="false">IF(F13="N/A","N/A",IF(S13="","Not assessed",INDEX(Config!$B$5:$B$9,S13)))</f>
        <v>Medium</v>
      </c>
      <c r="U13" s="7" t="str">
        <f aca="false">IF(P13=0,"None",IF(R13="Y","Applied","Pending HO approval"))</f>
        <v>None</v>
      </c>
      <c r="V13" s="8"/>
    </row>
    <row r="14" customFormat="false" ht="15" hidden="false" customHeight="false" outlineLevel="0" collapsed="false">
      <c r="A14" s="26" t="str">
        <f aca="false">Entities!$A$5</f>
        <v>JO-HO</v>
      </c>
      <c r="B14" s="12" t="str">
        <f aca="false">INDEX(Entities!$B$5:$B$34,MATCH(A14,Entities!$A$5:$A$34,0))</f>
        <v>Arab Bank plc – Jordan (HO and domestic network)</v>
      </c>
      <c r="C14" s="12" t="str">
        <f aca="false">INDEX(Entities!$D$5:$D$34,MATCH(A14,Entities!$A$5:$A$34,0))</f>
        <v>Jordan (home)</v>
      </c>
      <c r="D14" s="12" t="s">
        <v>286</v>
      </c>
      <c r="E14" s="12" t="str">
        <f aca="false">INDEX('Risk Taxonomy'!$B$5:$B$24,MATCH(D14,'Risk Taxonomy'!$A$5:$A$24,0))</f>
        <v>Third-party and outsourcing</v>
      </c>
      <c r="F14" s="7" t="str">
        <f aca="false">IF(D14="RC-04",IF(INDEX(Entities!$G$5:$G$34,MATCH(A14,Entities!$A$5:$A$34,0))="Y","Yes","N/A"),"Yes")</f>
        <v>Yes</v>
      </c>
      <c r="G14" s="24" t="n">
        <v>3</v>
      </c>
      <c r="H14" s="24" t="n">
        <v>3</v>
      </c>
      <c r="I14" s="24" t="n">
        <v>3</v>
      </c>
      <c r="J14" s="24" t="n">
        <v>3</v>
      </c>
      <c r="K14" s="24" t="n">
        <v>3</v>
      </c>
      <c r="L14" s="37" t="n">
        <f aca="false">IF(F14="N/A","",IF(COUNT(H14:K14)=0,"",IF(Config!$C$19="Highest dimension",MAX(H14:K14),ROUND(H14*Config!$C$20+I14*Config!$C$21+J14*Config!$C$22+K14*Config!$C$23,1))))</f>
        <v>3</v>
      </c>
      <c r="M14" s="38" t="n">
        <f aca="false">IF(OR(L14="",G14=""),"",G14*L14)</f>
        <v>9</v>
      </c>
      <c r="N14" s="31" t="n">
        <f aca="false">IF(M14="","",MATCH(M14,Config!$E$5:$E$9,1))</f>
        <v>3</v>
      </c>
      <c r="O14" s="7" t="str">
        <f aca="false">IF(F14="N/A","N/A",IF(N14="","Not assessed",INDEX(Config!$B$5:$B$9,N14)))</f>
        <v>Medium</v>
      </c>
      <c r="P14" s="32" t="n">
        <v>0</v>
      </c>
      <c r="Q14" s="8"/>
      <c r="R14" s="33"/>
      <c r="S14" s="34" t="n">
        <f aca="false">IF(N14="","",IF(AND(R14="Y",P14&lt;&gt;0),MAX(1,MIN(5,N14+MAX(-Config!$C$27,MIN(Config!$C$27,P14)))),N14))</f>
        <v>3</v>
      </c>
      <c r="T14" s="35" t="str">
        <f aca="false">IF(F14="N/A","N/A",IF(S14="","Not assessed",INDEX(Config!$B$5:$B$9,S14)))</f>
        <v>Medium</v>
      </c>
      <c r="U14" s="7" t="str">
        <f aca="false">IF(P14=0,"None",IF(R14="Y","Applied","Pending HO approval"))</f>
        <v>None</v>
      </c>
      <c r="V14" s="8"/>
    </row>
    <row r="15" customFormat="false" ht="15" hidden="false" customHeight="false" outlineLevel="0" collapsed="false">
      <c r="A15" s="26" t="str">
        <f aca="false">Entities!$A$5</f>
        <v>JO-HO</v>
      </c>
      <c r="B15" s="12" t="str">
        <f aca="false">INDEX(Entities!$B$5:$B$34,MATCH(A15,Entities!$A$5:$A$34,0))</f>
        <v>Arab Bank plc – Jordan (HO and domestic network)</v>
      </c>
      <c r="C15" s="12" t="str">
        <f aca="false">INDEX(Entities!$D$5:$D$34,MATCH(A15,Entities!$A$5:$A$34,0))</f>
        <v>Jordan (home)</v>
      </c>
      <c r="D15" s="12" t="s">
        <v>289</v>
      </c>
      <c r="E15" s="12" t="str">
        <f aca="false">INDEX('Risk Taxonomy'!$B$5:$B$24,MATCH(D15,'Risk Taxonomy'!$A$5:$A$24,0))</f>
        <v>Legal and litigation</v>
      </c>
      <c r="F15" s="7" t="str">
        <f aca="false">IF(D15="RC-04",IF(INDEX(Entities!$G$5:$G$34,MATCH(A15,Entities!$A$5:$A$34,0))="Y","Yes","N/A"),"Yes")</f>
        <v>Yes</v>
      </c>
      <c r="G15" s="24" t="n">
        <v>3</v>
      </c>
      <c r="H15" s="24" t="n">
        <v>2</v>
      </c>
      <c r="I15" s="24" t="n">
        <v>3</v>
      </c>
      <c r="J15" s="24" t="n">
        <v>1</v>
      </c>
      <c r="K15" s="24" t="n">
        <v>2</v>
      </c>
      <c r="L15" s="37" t="n">
        <f aca="false">IF(F15="N/A","",IF(COUNT(H15:K15)=0,"",IF(Config!$C$19="Highest dimension",MAX(H15:K15),ROUND(H15*Config!$C$20+I15*Config!$C$21+J15*Config!$C$22+K15*Config!$C$23,1))))</f>
        <v>3</v>
      </c>
      <c r="M15" s="38" t="n">
        <f aca="false">IF(OR(L15="",G15=""),"",G15*L15)</f>
        <v>9</v>
      </c>
      <c r="N15" s="31" t="n">
        <f aca="false">IF(M15="","",MATCH(M15,Config!$E$5:$E$9,1))</f>
        <v>3</v>
      </c>
      <c r="O15" s="7" t="str">
        <f aca="false">IF(F15="N/A","N/A",IF(N15="","Not assessed",INDEX(Config!$B$5:$B$9,N15)))</f>
        <v>Medium</v>
      </c>
      <c r="P15" s="32" t="n">
        <v>0</v>
      </c>
      <c r="Q15" s="8"/>
      <c r="R15" s="33"/>
      <c r="S15" s="34" t="n">
        <f aca="false">IF(N15="","",IF(AND(R15="Y",P15&lt;&gt;0),MAX(1,MIN(5,N15+MAX(-Config!$C$27,MIN(Config!$C$27,P15)))),N15))</f>
        <v>3</v>
      </c>
      <c r="T15" s="35" t="str">
        <f aca="false">IF(F15="N/A","N/A",IF(S15="","Not assessed",INDEX(Config!$B$5:$B$9,S15)))</f>
        <v>Medium</v>
      </c>
      <c r="U15" s="7" t="str">
        <f aca="false">IF(P15=0,"None",IF(R15="Y","Applied","Pending HO approval"))</f>
        <v>None</v>
      </c>
      <c r="V15" s="8"/>
    </row>
    <row r="16" customFormat="false" ht="15" hidden="false" customHeight="false" outlineLevel="0" collapsed="false">
      <c r="A16" s="26" t="str">
        <f aca="false">Entities!$A$5</f>
        <v>JO-HO</v>
      </c>
      <c r="B16" s="12" t="str">
        <f aca="false">INDEX(Entities!$B$5:$B$34,MATCH(A16,Entities!$A$5:$A$34,0))</f>
        <v>Arab Bank plc – Jordan (HO and domestic network)</v>
      </c>
      <c r="C16" s="12" t="str">
        <f aca="false">INDEX(Entities!$D$5:$D$34,MATCH(A16,Entities!$A$5:$A$34,0))</f>
        <v>Jordan (home)</v>
      </c>
      <c r="D16" s="12" t="s">
        <v>292</v>
      </c>
      <c r="E16" s="12" t="str">
        <f aca="false">INDEX('Risk Taxonomy'!$B$5:$B$24,MATCH(D16,'Risk Taxonomy'!$A$5:$A$24,0))</f>
        <v>Reputational</v>
      </c>
      <c r="F16" s="7" t="str">
        <f aca="false">IF(D16="RC-04",IF(INDEX(Entities!$G$5:$G$34,MATCH(A16,Entities!$A$5:$A$34,0))="Y","Yes","N/A"),"Yes")</f>
        <v>Yes</v>
      </c>
      <c r="G16" s="24" t="n">
        <v>4</v>
      </c>
      <c r="H16" s="24" t="n">
        <v>4</v>
      </c>
      <c r="I16" s="24" t="n">
        <v>3</v>
      </c>
      <c r="J16" s="24" t="n">
        <v>3</v>
      </c>
      <c r="K16" s="24" t="n">
        <v>3</v>
      </c>
      <c r="L16" s="37" t="n">
        <f aca="false">IF(F16="N/A","",IF(COUNT(H16:K16)=0,"",IF(Config!$C$19="Highest dimension",MAX(H16:K16),ROUND(H16*Config!$C$20+I16*Config!$C$21+J16*Config!$C$22+K16*Config!$C$23,1))))</f>
        <v>4</v>
      </c>
      <c r="M16" s="38" t="n">
        <f aca="false">IF(OR(L16="",G16=""),"",G16*L16)</f>
        <v>16</v>
      </c>
      <c r="N16" s="31" t="n">
        <f aca="false">IF(M16="","",MATCH(M16,Config!$E$5:$E$9,1))</f>
        <v>4</v>
      </c>
      <c r="O16" s="7" t="str">
        <f aca="false">IF(F16="N/A","N/A",IF(N16="","Not assessed",INDEX(Config!$B$5:$B$9,N16)))</f>
        <v>Medium-High</v>
      </c>
      <c r="P16" s="32" t="n">
        <v>0</v>
      </c>
      <c r="Q16" s="8"/>
      <c r="R16" s="33"/>
      <c r="S16" s="34" t="n">
        <f aca="false">IF(N16="","",IF(AND(R16="Y",P16&lt;&gt;0),MAX(1,MIN(5,N16+MAX(-Config!$C$27,MIN(Config!$C$27,P16)))),N16))</f>
        <v>4</v>
      </c>
      <c r="T16" s="35" t="str">
        <f aca="false">IF(F16="N/A","N/A",IF(S16="","Not assessed",INDEX(Config!$B$5:$B$9,S16)))</f>
        <v>Medium-High</v>
      </c>
      <c r="U16" s="7" t="str">
        <f aca="false">IF(P16=0,"None",IF(R16="Y","Applied","Pending HO approval"))</f>
        <v>None</v>
      </c>
      <c r="V16" s="8"/>
    </row>
    <row r="17" customFormat="false" ht="15" hidden="false" customHeight="false" outlineLevel="0" collapsed="false">
      <c r="A17" s="26" t="str">
        <f aca="false">Entities!$A$5</f>
        <v>JO-HO</v>
      </c>
      <c r="B17" s="12" t="str">
        <f aca="false">INDEX(Entities!$B$5:$B$34,MATCH(A17,Entities!$A$5:$A$34,0))</f>
        <v>Arab Bank plc – Jordan (HO and domestic network)</v>
      </c>
      <c r="C17" s="12" t="str">
        <f aca="false">INDEX(Entities!$D$5:$D$34,MATCH(A17,Entities!$A$5:$A$34,0))</f>
        <v>Jordan (home)</v>
      </c>
      <c r="D17" s="12" t="s">
        <v>295</v>
      </c>
      <c r="E17" s="12" t="str">
        <f aca="false">INDEX('Risk Taxonomy'!$B$5:$B$24,MATCH(D17,'Risk Taxonomy'!$A$5:$A$24,0))</f>
        <v>Strategic, business model and ESG</v>
      </c>
      <c r="F17" s="7" t="str">
        <f aca="false">IF(D17="RC-04",IF(INDEX(Entities!$G$5:$G$34,MATCH(A17,Entities!$A$5:$A$34,0))="Y","Yes","N/A"),"Yes")</f>
        <v>Yes</v>
      </c>
      <c r="G17" s="24" t="n">
        <v>2</v>
      </c>
      <c r="H17" s="24" t="n">
        <v>2</v>
      </c>
      <c r="I17" s="24" t="n">
        <v>2</v>
      </c>
      <c r="J17" s="24" t="n">
        <v>2</v>
      </c>
      <c r="K17" s="24" t="n">
        <v>3</v>
      </c>
      <c r="L17" s="37" t="n">
        <f aca="false">IF(F17="N/A","",IF(COUNT(H17:K17)=0,"",IF(Config!$C$19="Highest dimension",MAX(H17:K17),ROUND(H17*Config!$C$20+I17*Config!$C$21+J17*Config!$C$22+K17*Config!$C$23,1))))</f>
        <v>3</v>
      </c>
      <c r="M17" s="38" t="n">
        <f aca="false">IF(OR(L17="",G17=""),"",G17*L17)</f>
        <v>6</v>
      </c>
      <c r="N17" s="31" t="n">
        <f aca="false">IF(M17="","",MATCH(M17,Config!$E$5:$E$9,1))</f>
        <v>2</v>
      </c>
      <c r="O17" s="7" t="str">
        <f aca="false">IF(F17="N/A","N/A",IF(N17="","Not assessed",INDEX(Config!$B$5:$B$9,N17)))</f>
        <v>Medium-Low</v>
      </c>
      <c r="P17" s="32" t="n">
        <v>0</v>
      </c>
      <c r="Q17" s="8"/>
      <c r="R17" s="33"/>
      <c r="S17" s="34" t="n">
        <f aca="false">IF(N17="","",IF(AND(R17="Y",P17&lt;&gt;0),MAX(1,MIN(5,N17+MAX(-Config!$C$27,MIN(Config!$C$27,P17)))),N17))</f>
        <v>2</v>
      </c>
      <c r="T17" s="35" t="str">
        <f aca="false">IF(F17="N/A","N/A",IF(S17="","Not assessed",INDEX(Config!$B$5:$B$9,S17)))</f>
        <v>Medium-Low</v>
      </c>
      <c r="U17" s="7" t="str">
        <f aca="false">IF(P17=0,"None",IF(R17="Y","Applied","Pending HO approval"))</f>
        <v>None</v>
      </c>
      <c r="V17" s="8"/>
    </row>
    <row r="18" customFormat="false" ht="15" hidden="false" customHeight="false" outlineLevel="0" collapsed="false">
      <c r="A18" s="26" t="str">
        <f aca="false">Entities!$A$6</f>
        <v>JO-IIAB</v>
      </c>
      <c r="B18" s="12" t="str">
        <f aca="false">INDEX(Entities!$B$5:$B$34,MATCH(A18,Entities!$A$5:$A$34,0))</f>
        <v>Islamic International Arab Bank</v>
      </c>
      <c r="C18" s="12" t="str">
        <f aca="false">INDEX(Entities!$D$5:$D$34,MATCH(A18,Entities!$A$5:$A$34,0))</f>
        <v>Jordan (home)</v>
      </c>
      <c r="D18" s="12" t="s">
        <v>257</v>
      </c>
      <c r="E18" s="12" t="str">
        <f aca="false">INDEX('Risk Taxonomy'!$B$5:$B$24,MATCH(D18,'Risk Taxonomy'!$A$5:$A$24,0))</f>
        <v>Regulatory compliance</v>
      </c>
      <c r="F18" s="7" t="str">
        <f aca="false">IF(D18="RC-04",IF(INDEX(Entities!$G$5:$G$34,MATCH(A18,Entities!$A$5:$A$34,0))="Y","Yes","N/A"),"Yes")</f>
        <v>Yes</v>
      </c>
      <c r="G18" s="24" t="n">
        <v>5</v>
      </c>
      <c r="H18" s="24" t="n">
        <v>3</v>
      </c>
      <c r="I18" s="24" t="n">
        <v>4</v>
      </c>
      <c r="J18" s="24" t="n">
        <v>4</v>
      </c>
      <c r="K18" s="24" t="n">
        <v>2</v>
      </c>
      <c r="L18" s="37" t="n">
        <f aca="false">IF(F18="N/A","",IF(COUNT(H18:K18)=0,"",IF(Config!$C$19="Highest dimension",MAX(H18:K18),ROUND(H18*Config!$C$20+I18*Config!$C$21+J18*Config!$C$22+K18*Config!$C$23,1))))</f>
        <v>4</v>
      </c>
      <c r="M18" s="38" t="n">
        <f aca="false">IF(OR(L18="",G18=""),"",G18*L18)</f>
        <v>20</v>
      </c>
      <c r="N18" s="31" t="n">
        <f aca="false">IF(M18="","",MATCH(M18,Config!$E$5:$E$9,1))</f>
        <v>5</v>
      </c>
      <c r="O18" s="7" t="str">
        <f aca="false">IF(F18="N/A","N/A",IF(N18="","Not assessed",INDEX(Config!$B$5:$B$9,N18)))</f>
        <v>High</v>
      </c>
      <c r="P18" s="32" t="n">
        <v>0</v>
      </c>
      <c r="Q18" s="8"/>
      <c r="R18" s="33"/>
      <c r="S18" s="34" t="n">
        <f aca="false">IF(N18="","",IF(AND(R18="Y",P18&lt;&gt;0),MAX(1,MIN(5,N18+MAX(-Config!$C$27,MIN(Config!$C$27,P18)))),N18))</f>
        <v>5</v>
      </c>
      <c r="T18" s="35" t="str">
        <f aca="false">IF(F18="N/A","N/A",IF(S18="","Not assessed",INDEX(Config!$B$5:$B$9,S18)))</f>
        <v>High</v>
      </c>
      <c r="U18" s="7" t="str">
        <f aca="false">IF(P18=0,"None",IF(R18="Y","Applied","Pending HO approval"))</f>
        <v>None</v>
      </c>
      <c r="V18" s="8"/>
    </row>
    <row r="19" customFormat="false" ht="15" hidden="false" customHeight="false" outlineLevel="0" collapsed="false">
      <c r="A19" s="26" t="str">
        <f aca="false">Entities!$A$6</f>
        <v>JO-IIAB</v>
      </c>
      <c r="B19" s="12" t="str">
        <f aca="false">INDEX(Entities!$B$5:$B$34,MATCH(A19,Entities!$A$5:$A$34,0))</f>
        <v>Islamic International Arab Bank</v>
      </c>
      <c r="C19" s="12" t="str">
        <f aca="false">INDEX(Entities!$D$5:$D$34,MATCH(A19,Entities!$A$5:$A$34,0))</f>
        <v>Jordan (home)</v>
      </c>
      <c r="D19" s="12" t="s">
        <v>261</v>
      </c>
      <c r="E19" s="12" t="str">
        <f aca="false">INDEX('Risk Taxonomy'!$B$5:$B$24,MATCH(D19,'Risk Taxonomy'!$A$5:$A$24,0))</f>
        <v>Conduct and consumer protection</v>
      </c>
      <c r="F19" s="7" t="str">
        <f aca="false">IF(D19="RC-04",IF(INDEX(Entities!$G$5:$G$34,MATCH(A19,Entities!$A$5:$A$34,0))="Y","Yes","N/A"),"Yes")</f>
        <v>Yes</v>
      </c>
      <c r="G19" s="24" t="n">
        <v>3</v>
      </c>
      <c r="H19" s="24" t="n">
        <v>3</v>
      </c>
      <c r="I19" s="24" t="n">
        <v>4</v>
      </c>
      <c r="J19" s="24" t="n">
        <v>3</v>
      </c>
      <c r="K19" s="24" t="n">
        <v>3</v>
      </c>
      <c r="L19" s="37" t="n">
        <f aca="false">IF(F19="N/A","",IF(COUNT(H19:K19)=0,"",IF(Config!$C$19="Highest dimension",MAX(H19:K19),ROUND(H19*Config!$C$20+I19*Config!$C$21+J19*Config!$C$22+K19*Config!$C$23,1))))</f>
        <v>4</v>
      </c>
      <c r="M19" s="38" t="n">
        <f aca="false">IF(OR(L19="",G19=""),"",G19*L19)</f>
        <v>12</v>
      </c>
      <c r="N19" s="31" t="n">
        <f aca="false">IF(M19="","",MATCH(M19,Config!$E$5:$E$9,1))</f>
        <v>3</v>
      </c>
      <c r="O19" s="7" t="str">
        <f aca="false">IF(F19="N/A","N/A",IF(N19="","Not assessed",INDEX(Config!$B$5:$B$9,N19)))</f>
        <v>Medium</v>
      </c>
      <c r="P19" s="32" t="n">
        <v>0</v>
      </c>
      <c r="Q19" s="8"/>
      <c r="R19" s="33"/>
      <c r="S19" s="34" t="n">
        <f aca="false">IF(N19="","",IF(AND(R19="Y",P19&lt;&gt;0),MAX(1,MIN(5,N19+MAX(-Config!$C$27,MIN(Config!$C$27,P19)))),N19))</f>
        <v>3</v>
      </c>
      <c r="T19" s="35" t="str">
        <f aca="false">IF(F19="N/A","N/A",IF(S19="","Not assessed",INDEX(Config!$B$5:$B$9,S19)))</f>
        <v>Medium</v>
      </c>
      <c r="U19" s="7" t="str">
        <f aca="false">IF(P19=0,"None",IF(R19="Y","Applied","Pending HO approval"))</f>
        <v>None</v>
      </c>
      <c r="V19" s="8"/>
    </row>
    <row r="20" customFormat="false" ht="15" hidden="false" customHeight="false" outlineLevel="0" collapsed="false">
      <c r="A20" s="26" t="str">
        <f aca="false">Entities!$A$6</f>
        <v>JO-IIAB</v>
      </c>
      <c r="B20" s="12" t="str">
        <f aca="false">INDEX(Entities!$B$5:$B$34,MATCH(A20,Entities!$A$5:$A$34,0))</f>
        <v>Islamic International Arab Bank</v>
      </c>
      <c r="C20" s="12" t="str">
        <f aca="false">INDEX(Entities!$D$5:$D$34,MATCH(A20,Entities!$A$5:$A$34,0))</f>
        <v>Jordan (home)</v>
      </c>
      <c r="D20" s="12" t="s">
        <v>263</v>
      </c>
      <c r="E20" s="12" t="str">
        <f aca="false">INDEX('Risk Taxonomy'!$B$5:$B$24,MATCH(D20,'Risk Taxonomy'!$A$5:$A$24,0))</f>
        <v>Data protection and privacy</v>
      </c>
      <c r="F20" s="7" t="str">
        <f aca="false">IF(D20="RC-04",IF(INDEX(Entities!$G$5:$G$34,MATCH(A20,Entities!$A$5:$A$34,0))="Y","Yes","N/A"),"Yes")</f>
        <v>Yes</v>
      </c>
      <c r="G20" s="24" t="n">
        <v>2</v>
      </c>
      <c r="H20" s="24" t="n">
        <v>4</v>
      </c>
      <c r="I20" s="24" t="n">
        <v>3</v>
      </c>
      <c r="J20" s="24" t="n">
        <v>3</v>
      </c>
      <c r="K20" s="24" t="n">
        <v>3</v>
      </c>
      <c r="L20" s="37" t="n">
        <f aca="false">IF(F20="N/A","",IF(COUNT(H20:K20)=0,"",IF(Config!$C$19="Highest dimension",MAX(H20:K20),ROUND(H20*Config!$C$20+I20*Config!$C$21+J20*Config!$C$22+K20*Config!$C$23,1))))</f>
        <v>4</v>
      </c>
      <c r="M20" s="38" t="n">
        <f aca="false">IF(OR(L20="",G20=""),"",G20*L20)</f>
        <v>8</v>
      </c>
      <c r="N20" s="31" t="n">
        <f aca="false">IF(M20="","",MATCH(M20,Config!$E$5:$E$9,1))</f>
        <v>2</v>
      </c>
      <c r="O20" s="7" t="str">
        <f aca="false">IF(F20="N/A","N/A",IF(N20="","Not assessed",INDEX(Config!$B$5:$B$9,N20)))</f>
        <v>Medium-Low</v>
      </c>
      <c r="P20" s="32" t="n">
        <v>0</v>
      </c>
      <c r="Q20" s="8"/>
      <c r="R20" s="33"/>
      <c r="S20" s="34" t="n">
        <f aca="false">IF(N20="","",IF(AND(R20="Y",P20&lt;&gt;0),MAX(1,MIN(5,N20+MAX(-Config!$C$27,MIN(Config!$C$27,P20)))),N20))</f>
        <v>2</v>
      </c>
      <c r="T20" s="35" t="str">
        <f aca="false">IF(F20="N/A","N/A",IF(S20="","Not assessed",INDEX(Config!$B$5:$B$9,S20)))</f>
        <v>Medium-Low</v>
      </c>
      <c r="U20" s="7" t="str">
        <f aca="false">IF(P20=0,"None",IF(R20="Y","Applied","Pending HO approval"))</f>
        <v>None</v>
      </c>
      <c r="V20" s="8"/>
    </row>
    <row r="21" customFormat="false" ht="15" hidden="false" customHeight="false" outlineLevel="0" collapsed="false">
      <c r="A21" s="26" t="str">
        <f aca="false">Entities!$A$6</f>
        <v>JO-IIAB</v>
      </c>
      <c r="B21" s="12" t="str">
        <f aca="false">INDEX(Entities!$B$5:$B$34,MATCH(A21,Entities!$A$5:$A$34,0))</f>
        <v>Islamic International Arab Bank</v>
      </c>
      <c r="C21" s="12" t="str">
        <f aca="false">INDEX(Entities!$D$5:$D$34,MATCH(A21,Entities!$A$5:$A$34,0))</f>
        <v>Jordan (home)</v>
      </c>
      <c r="D21" s="12" t="s">
        <v>266</v>
      </c>
      <c r="E21" s="12" t="str">
        <f aca="false">INDEX('Risk Taxonomy'!$B$5:$B$24,MATCH(D21,'Risk Taxonomy'!$A$5:$A$24,0))</f>
        <v>Shariah non-compliance</v>
      </c>
      <c r="F21" s="7" t="str">
        <f aca="false">IF(D21="RC-04",IF(INDEX(Entities!$G$5:$G$34,MATCH(A21,Entities!$A$5:$A$34,0))="Y","Yes","N/A"),"Yes")</f>
        <v>Yes</v>
      </c>
      <c r="G21" s="24" t="n">
        <v>2</v>
      </c>
      <c r="H21" s="24" t="n">
        <v>2</v>
      </c>
      <c r="I21" s="24" t="n">
        <v>4</v>
      </c>
      <c r="J21" s="24" t="n">
        <v>3</v>
      </c>
      <c r="K21" s="24" t="n">
        <v>2</v>
      </c>
      <c r="L21" s="37" t="n">
        <f aca="false">IF(F21="N/A","",IF(COUNT(H21:K21)=0,"",IF(Config!$C$19="Highest dimension",MAX(H21:K21),ROUND(H21*Config!$C$20+I21*Config!$C$21+J21*Config!$C$22+K21*Config!$C$23,1))))</f>
        <v>4</v>
      </c>
      <c r="M21" s="38" t="n">
        <f aca="false">IF(OR(L21="",G21=""),"",G21*L21)</f>
        <v>8</v>
      </c>
      <c r="N21" s="31" t="n">
        <f aca="false">IF(M21="","",MATCH(M21,Config!$E$5:$E$9,1))</f>
        <v>2</v>
      </c>
      <c r="O21" s="7" t="str">
        <f aca="false">IF(F21="N/A","N/A",IF(N21="","Not assessed",INDEX(Config!$B$5:$B$9,N21)))</f>
        <v>Medium-Low</v>
      </c>
      <c r="P21" s="32" t="n">
        <v>0</v>
      </c>
      <c r="Q21" s="8"/>
      <c r="R21" s="33"/>
      <c r="S21" s="34" t="n">
        <f aca="false">IF(N21="","",IF(AND(R21="Y",P21&lt;&gt;0),MAX(1,MIN(5,N21+MAX(-Config!$C$27,MIN(Config!$C$27,P21)))),N21))</f>
        <v>2</v>
      </c>
      <c r="T21" s="35" t="str">
        <f aca="false">IF(F21="N/A","N/A",IF(S21="","Not assessed",INDEX(Config!$B$5:$B$9,S21)))</f>
        <v>Medium-Low</v>
      </c>
      <c r="U21" s="7" t="str">
        <f aca="false">IF(P21=0,"None",IF(R21="Y","Applied","Pending HO approval"))</f>
        <v>None</v>
      </c>
      <c r="V21" s="8"/>
    </row>
    <row r="22" customFormat="false" ht="15" hidden="false" customHeight="false" outlineLevel="0" collapsed="false">
      <c r="A22" s="26" t="str">
        <f aca="false">Entities!$A$6</f>
        <v>JO-IIAB</v>
      </c>
      <c r="B22" s="12" t="str">
        <f aca="false">INDEX(Entities!$B$5:$B$34,MATCH(A22,Entities!$A$5:$A$34,0))</f>
        <v>Islamic International Arab Bank</v>
      </c>
      <c r="C22" s="12" t="str">
        <f aca="false">INDEX(Entities!$D$5:$D$34,MATCH(A22,Entities!$A$5:$A$34,0))</f>
        <v>Jordan (home)</v>
      </c>
      <c r="D22" s="12" t="s">
        <v>270</v>
      </c>
      <c r="E22" s="12" t="str">
        <f aca="false">INDEX('Risk Taxonomy'!$B$5:$B$24,MATCH(D22,'Risk Taxonomy'!$A$5:$A$24,0))</f>
        <v>Credit risk</v>
      </c>
      <c r="F22" s="7" t="str">
        <f aca="false">IF(D22="RC-04",IF(INDEX(Entities!$G$5:$G$34,MATCH(A22,Entities!$A$5:$A$34,0))="Y","Yes","N/A"),"Yes")</f>
        <v>Yes</v>
      </c>
      <c r="G22" s="24" t="n">
        <v>4</v>
      </c>
      <c r="H22" s="24" t="n">
        <v>2</v>
      </c>
      <c r="I22" s="24" t="n">
        <v>4</v>
      </c>
      <c r="J22" s="24" t="n">
        <v>3</v>
      </c>
      <c r="K22" s="24" t="n">
        <v>3</v>
      </c>
      <c r="L22" s="37" t="n">
        <f aca="false">IF(F22="N/A","",IF(COUNT(H22:K22)=0,"",IF(Config!$C$19="Highest dimension",MAX(H22:K22),ROUND(H22*Config!$C$20+I22*Config!$C$21+J22*Config!$C$22+K22*Config!$C$23,1))))</f>
        <v>4</v>
      </c>
      <c r="M22" s="38" t="n">
        <f aca="false">IF(OR(L22="",G22=""),"",G22*L22)</f>
        <v>16</v>
      </c>
      <c r="N22" s="31" t="n">
        <f aca="false">IF(M22="","",MATCH(M22,Config!$E$5:$E$9,1))</f>
        <v>4</v>
      </c>
      <c r="O22" s="7" t="str">
        <f aca="false">IF(F22="N/A","N/A",IF(N22="","Not assessed",INDEX(Config!$B$5:$B$9,N22)))</f>
        <v>Medium-High</v>
      </c>
      <c r="P22" s="32" t="n">
        <v>0</v>
      </c>
      <c r="Q22" s="8"/>
      <c r="R22" s="33"/>
      <c r="S22" s="34" t="n">
        <f aca="false">IF(N22="","",IF(AND(R22="Y",P22&lt;&gt;0),MAX(1,MIN(5,N22+MAX(-Config!$C$27,MIN(Config!$C$27,P22)))),N22))</f>
        <v>4</v>
      </c>
      <c r="T22" s="35" t="str">
        <f aca="false">IF(F22="N/A","N/A",IF(S22="","Not assessed",INDEX(Config!$B$5:$B$9,S22)))</f>
        <v>Medium-High</v>
      </c>
      <c r="U22" s="7" t="str">
        <f aca="false">IF(P22=0,"None",IF(R22="Y","Applied","Pending HO approval"))</f>
        <v>None</v>
      </c>
      <c r="V22" s="8"/>
    </row>
    <row r="23" customFormat="false" ht="15" hidden="false" customHeight="false" outlineLevel="0" collapsed="false">
      <c r="A23" s="26" t="str">
        <f aca="false">Entities!$A$6</f>
        <v>JO-IIAB</v>
      </c>
      <c r="B23" s="12" t="str">
        <f aca="false">INDEX(Entities!$B$5:$B$34,MATCH(A23,Entities!$A$5:$A$34,0))</f>
        <v>Islamic International Arab Bank</v>
      </c>
      <c r="C23" s="12" t="str">
        <f aca="false">INDEX(Entities!$D$5:$D$34,MATCH(A23,Entities!$A$5:$A$34,0))</f>
        <v>Jordan (home)</v>
      </c>
      <c r="D23" s="12" t="s">
        <v>275</v>
      </c>
      <c r="E23" s="12" t="str">
        <f aca="false">INDEX('Risk Taxonomy'!$B$5:$B$24,MATCH(D23,'Risk Taxonomy'!$A$5:$A$24,0))</f>
        <v>Market risk</v>
      </c>
      <c r="F23" s="7" t="str">
        <f aca="false">IF(D23="RC-04",IF(INDEX(Entities!$G$5:$G$34,MATCH(A23,Entities!$A$5:$A$34,0))="Y","Yes","N/A"),"Yes")</f>
        <v>Yes</v>
      </c>
      <c r="G23" s="24" t="n">
        <v>3</v>
      </c>
      <c r="H23" s="24" t="n">
        <v>3</v>
      </c>
      <c r="I23" s="24" t="n">
        <v>3</v>
      </c>
      <c r="J23" s="24" t="n">
        <v>4</v>
      </c>
      <c r="K23" s="24" t="n">
        <v>3</v>
      </c>
      <c r="L23" s="37" t="n">
        <f aca="false">IF(F23="N/A","",IF(COUNT(H23:K23)=0,"",IF(Config!$C$19="Highest dimension",MAX(H23:K23),ROUND(H23*Config!$C$20+I23*Config!$C$21+J23*Config!$C$22+K23*Config!$C$23,1))))</f>
        <v>4</v>
      </c>
      <c r="M23" s="38" t="n">
        <f aca="false">IF(OR(L23="",G23=""),"",G23*L23)</f>
        <v>12</v>
      </c>
      <c r="N23" s="31" t="n">
        <f aca="false">IF(M23="","",MATCH(M23,Config!$E$5:$E$9,1))</f>
        <v>3</v>
      </c>
      <c r="O23" s="7" t="str">
        <f aca="false">IF(F23="N/A","N/A",IF(N23="","Not assessed",INDEX(Config!$B$5:$B$9,N23)))</f>
        <v>Medium</v>
      </c>
      <c r="P23" s="32" t="n">
        <v>0</v>
      </c>
      <c r="Q23" s="8"/>
      <c r="R23" s="33"/>
      <c r="S23" s="34" t="n">
        <f aca="false">IF(N23="","",IF(AND(R23="Y",P23&lt;&gt;0),MAX(1,MIN(5,N23+MAX(-Config!$C$27,MIN(Config!$C$27,P23)))),N23))</f>
        <v>3</v>
      </c>
      <c r="T23" s="35" t="str">
        <f aca="false">IF(F23="N/A","N/A",IF(S23="","Not assessed",INDEX(Config!$B$5:$B$9,S23)))</f>
        <v>Medium</v>
      </c>
      <c r="U23" s="7" t="str">
        <f aca="false">IF(P23=0,"None",IF(R23="Y","Applied","Pending HO approval"))</f>
        <v>None</v>
      </c>
      <c r="V23" s="8"/>
    </row>
    <row r="24" customFormat="false" ht="15" hidden="false" customHeight="false" outlineLevel="0" collapsed="false">
      <c r="A24" s="26" t="str">
        <f aca="false">Entities!$A$6</f>
        <v>JO-IIAB</v>
      </c>
      <c r="B24" s="12" t="str">
        <f aca="false">INDEX(Entities!$B$5:$B$34,MATCH(A24,Entities!$A$5:$A$34,0))</f>
        <v>Islamic International Arab Bank</v>
      </c>
      <c r="C24" s="12" t="str">
        <f aca="false">INDEX(Entities!$D$5:$D$34,MATCH(A24,Entities!$A$5:$A$34,0))</f>
        <v>Jordan (home)</v>
      </c>
      <c r="D24" s="12" t="s">
        <v>277</v>
      </c>
      <c r="E24" s="12" t="str">
        <f aca="false">INDEX('Risk Taxonomy'!$B$5:$B$24,MATCH(D24,'Risk Taxonomy'!$A$5:$A$24,0))</f>
        <v>Liquidity and funding risk</v>
      </c>
      <c r="F24" s="7" t="str">
        <f aca="false">IF(D24="RC-04",IF(INDEX(Entities!$G$5:$G$34,MATCH(A24,Entities!$A$5:$A$34,0))="Y","Yes","N/A"),"Yes")</f>
        <v>Yes</v>
      </c>
      <c r="G24" s="24" t="n">
        <v>2</v>
      </c>
      <c r="H24" s="24" t="n">
        <v>3</v>
      </c>
      <c r="I24" s="24" t="n">
        <v>2</v>
      </c>
      <c r="J24" s="24" t="n">
        <v>2</v>
      </c>
      <c r="K24" s="24" t="n">
        <v>3</v>
      </c>
      <c r="L24" s="37" t="n">
        <f aca="false">IF(F24="N/A","",IF(COUNT(H24:K24)=0,"",IF(Config!$C$19="Highest dimension",MAX(H24:K24),ROUND(H24*Config!$C$20+I24*Config!$C$21+J24*Config!$C$22+K24*Config!$C$23,1))))</f>
        <v>3</v>
      </c>
      <c r="M24" s="38" t="n">
        <f aca="false">IF(OR(L24="",G24=""),"",G24*L24)</f>
        <v>6</v>
      </c>
      <c r="N24" s="31" t="n">
        <f aca="false">IF(M24="","",MATCH(M24,Config!$E$5:$E$9,1))</f>
        <v>2</v>
      </c>
      <c r="O24" s="7" t="str">
        <f aca="false">IF(F24="N/A","N/A",IF(N24="","Not assessed",INDEX(Config!$B$5:$B$9,N24)))</f>
        <v>Medium-Low</v>
      </c>
      <c r="P24" s="32" t="n">
        <v>0</v>
      </c>
      <c r="Q24" s="8"/>
      <c r="R24" s="33"/>
      <c r="S24" s="34" t="n">
        <f aca="false">IF(N24="","",IF(AND(R24="Y",P24&lt;&gt;0),MAX(1,MIN(5,N24+MAX(-Config!$C$27,MIN(Config!$C$27,P24)))),N24))</f>
        <v>2</v>
      </c>
      <c r="T24" s="35" t="str">
        <f aca="false">IF(F24="N/A","N/A",IF(S24="","Not assessed",INDEX(Config!$B$5:$B$9,S24)))</f>
        <v>Medium-Low</v>
      </c>
      <c r="U24" s="7" t="str">
        <f aca="false">IF(P24=0,"None",IF(R24="Y","Applied","Pending HO approval"))</f>
        <v>None</v>
      </c>
      <c r="V24" s="8"/>
    </row>
    <row r="25" customFormat="false" ht="15" hidden="false" customHeight="false" outlineLevel="0" collapsed="false">
      <c r="A25" s="26" t="str">
        <f aca="false">Entities!$A$6</f>
        <v>JO-IIAB</v>
      </c>
      <c r="B25" s="12" t="str">
        <f aca="false">INDEX(Entities!$B$5:$B$34,MATCH(A25,Entities!$A$5:$A$34,0))</f>
        <v>Islamic International Arab Bank</v>
      </c>
      <c r="C25" s="12" t="str">
        <f aca="false">INDEX(Entities!$D$5:$D$34,MATCH(A25,Entities!$A$5:$A$34,0))</f>
        <v>Jordan (home)</v>
      </c>
      <c r="D25" s="12" t="s">
        <v>280</v>
      </c>
      <c r="E25" s="12" t="str">
        <f aca="false">INDEX('Risk Taxonomy'!$B$5:$B$24,MATCH(D25,'Risk Taxonomy'!$A$5:$A$24,0))</f>
        <v>Operational risk</v>
      </c>
      <c r="F25" s="7" t="str">
        <f aca="false">IF(D25="RC-04",IF(INDEX(Entities!$G$5:$G$34,MATCH(A25,Entities!$A$5:$A$34,0))="Y","Yes","N/A"),"Yes")</f>
        <v>Yes</v>
      </c>
      <c r="G25" s="24" t="n">
        <v>2</v>
      </c>
      <c r="H25" s="24" t="n">
        <v>4</v>
      </c>
      <c r="I25" s="24" t="n">
        <v>3</v>
      </c>
      <c r="J25" s="24" t="n">
        <v>3</v>
      </c>
      <c r="K25" s="24" t="n">
        <v>2</v>
      </c>
      <c r="L25" s="37" t="n">
        <f aca="false">IF(F25="N/A","",IF(COUNT(H25:K25)=0,"",IF(Config!$C$19="Highest dimension",MAX(H25:K25),ROUND(H25*Config!$C$20+I25*Config!$C$21+J25*Config!$C$22+K25*Config!$C$23,1))))</f>
        <v>4</v>
      </c>
      <c r="M25" s="38" t="n">
        <f aca="false">IF(OR(L25="",G25=""),"",G25*L25)</f>
        <v>8</v>
      </c>
      <c r="N25" s="31" t="n">
        <f aca="false">IF(M25="","",MATCH(M25,Config!$E$5:$E$9,1))</f>
        <v>2</v>
      </c>
      <c r="O25" s="7" t="str">
        <f aca="false">IF(F25="N/A","N/A",IF(N25="","Not assessed",INDEX(Config!$B$5:$B$9,N25)))</f>
        <v>Medium-Low</v>
      </c>
      <c r="P25" s="32" t="n">
        <v>0</v>
      </c>
      <c r="Q25" s="8"/>
      <c r="R25" s="33"/>
      <c r="S25" s="34" t="n">
        <f aca="false">IF(N25="","",IF(AND(R25="Y",P25&lt;&gt;0),MAX(1,MIN(5,N25+MAX(-Config!$C$27,MIN(Config!$C$27,P25)))),N25))</f>
        <v>2</v>
      </c>
      <c r="T25" s="35" t="str">
        <f aca="false">IF(F25="N/A","N/A",IF(S25="","Not assessed",INDEX(Config!$B$5:$B$9,S25)))</f>
        <v>Medium-Low</v>
      </c>
      <c r="U25" s="7" t="str">
        <f aca="false">IF(P25=0,"None",IF(R25="Y","Applied","Pending HO approval"))</f>
        <v>None</v>
      </c>
      <c r="V25" s="8"/>
    </row>
    <row r="26" customFormat="false" ht="15" hidden="false" customHeight="false" outlineLevel="0" collapsed="false">
      <c r="A26" s="26" t="str">
        <f aca="false">Entities!$A$6</f>
        <v>JO-IIAB</v>
      </c>
      <c r="B26" s="12" t="str">
        <f aca="false">INDEX(Entities!$B$5:$B$34,MATCH(A26,Entities!$A$5:$A$34,0))</f>
        <v>Islamic International Arab Bank</v>
      </c>
      <c r="C26" s="12" t="str">
        <f aca="false">INDEX(Entities!$D$5:$D$34,MATCH(A26,Entities!$A$5:$A$34,0))</f>
        <v>Jordan (home)</v>
      </c>
      <c r="D26" s="12" t="s">
        <v>283</v>
      </c>
      <c r="E26" s="12" t="str">
        <f aca="false">INDEX('Risk Taxonomy'!$B$5:$B$24,MATCH(D26,'Risk Taxonomy'!$A$5:$A$24,0))</f>
        <v>Cyber, information security and technology</v>
      </c>
      <c r="F26" s="7" t="str">
        <f aca="false">IF(D26="RC-04",IF(INDEX(Entities!$G$5:$G$34,MATCH(A26,Entities!$A$5:$A$34,0))="Y","Yes","N/A"),"Yes")</f>
        <v>Yes</v>
      </c>
      <c r="G26" s="24" t="n">
        <v>4</v>
      </c>
      <c r="H26" s="24" t="n">
        <v>2</v>
      </c>
      <c r="I26" s="24" t="n">
        <v>3</v>
      </c>
      <c r="J26" s="24" t="n">
        <v>3</v>
      </c>
      <c r="K26" s="24" t="n">
        <v>3</v>
      </c>
      <c r="L26" s="37" t="n">
        <f aca="false">IF(F26="N/A","",IF(COUNT(H26:K26)=0,"",IF(Config!$C$19="Highest dimension",MAX(H26:K26),ROUND(H26*Config!$C$20+I26*Config!$C$21+J26*Config!$C$22+K26*Config!$C$23,1))))</f>
        <v>3</v>
      </c>
      <c r="M26" s="38" t="n">
        <f aca="false">IF(OR(L26="",G26=""),"",G26*L26)</f>
        <v>12</v>
      </c>
      <c r="N26" s="31" t="n">
        <f aca="false">IF(M26="","",MATCH(M26,Config!$E$5:$E$9,1))</f>
        <v>3</v>
      </c>
      <c r="O26" s="7" t="str">
        <f aca="false">IF(F26="N/A","N/A",IF(N26="","Not assessed",INDEX(Config!$B$5:$B$9,N26)))</f>
        <v>Medium</v>
      </c>
      <c r="P26" s="32" t="n">
        <v>0</v>
      </c>
      <c r="Q26" s="8"/>
      <c r="R26" s="33"/>
      <c r="S26" s="34" t="n">
        <f aca="false">IF(N26="","",IF(AND(R26="Y",P26&lt;&gt;0),MAX(1,MIN(5,N26+MAX(-Config!$C$27,MIN(Config!$C$27,P26)))),N26))</f>
        <v>3</v>
      </c>
      <c r="T26" s="35" t="str">
        <f aca="false">IF(F26="N/A","N/A",IF(S26="","Not assessed",INDEX(Config!$B$5:$B$9,S26)))</f>
        <v>Medium</v>
      </c>
      <c r="U26" s="7" t="str">
        <f aca="false">IF(P26=0,"None",IF(R26="Y","Applied","Pending HO approval"))</f>
        <v>None</v>
      </c>
      <c r="V26" s="8"/>
    </row>
    <row r="27" customFormat="false" ht="15" hidden="false" customHeight="false" outlineLevel="0" collapsed="false">
      <c r="A27" s="26" t="str">
        <f aca="false">Entities!$A$6</f>
        <v>JO-IIAB</v>
      </c>
      <c r="B27" s="12" t="str">
        <f aca="false">INDEX(Entities!$B$5:$B$34,MATCH(A27,Entities!$A$5:$A$34,0))</f>
        <v>Islamic International Arab Bank</v>
      </c>
      <c r="C27" s="12" t="str">
        <f aca="false">INDEX(Entities!$D$5:$D$34,MATCH(A27,Entities!$A$5:$A$34,0))</f>
        <v>Jordan (home)</v>
      </c>
      <c r="D27" s="12" t="s">
        <v>286</v>
      </c>
      <c r="E27" s="12" t="str">
        <f aca="false">INDEX('Risk Taxonomy'!$B$5:$B$24,MATCH(D27,'Risk Taxonomy'!$A$5:$A$24,0))</f>
        <v>Third-party and outsourcing</v>
      </c>
      <c r="F27" s="7" t="str">
        <f aca="false">IF(D27="RC-04",IF(INDEX(Entities!$G$5:$G$34,MATCH(A27,Entities!$A$5:$A$34,0))="Y","Yes","N/A"),"Yes")</f>
        <v>Yes</v>
      </c>
      <c r="G27" s="24" t="n">
        <v>3</v>
      </c>
      <c r="H27" s="24" t="n">
        <v>3</v>
      </c>
      <c r="I27" s="24" t="n">
        <v>2</v>
      </c>
      <c r="J27" s="24" t="n">
        <v>3</v>
      </c>
      <c r="K27" s="24" t="n">
        <v>4</v>
      </c>
      <c r="L27" s="37" t="n">
        <f aca="false">IF(F27="N/A","",IF(COUNT(H27:K27)=0,"",IF(Config!$C$19="Highest dimension",MAX(H27:K27),ROUND(H27*Config!$C$20+I27*Config!$C$21+J27*Config!$C$22+K27*Config!$C$23,1))))</f>
        <v>4</v>
      </c>
      <c r="M27" s="38" t="n">
        <f aca="false">IF(OR(L27="",G27=""),"",G27*L27)</f>
        <v>12</v>
      </c>
      <c r="N27" s="31" t="n">
        <f aca="false">IF(M27="","",MATCH(M27,Config!$E$5:$E$9,1))</f>
        <v>3</v>
      </c>
      <c r="O27" s="7" t="str">
        <f aca="false">IF(F27="N/A","N/A",IF(N27="","Not assessed",INDEX(Config!$B$5:$B$9,N27)))</f>
        <v>Medium</v>
      </c>
      <c r="P27" s="32" t="n">
        <v>0</v>
      </c>
      <c r="Q27" s="8"/>
      <c r="R27" s="33"/>
      <c r="S27" s="34" t="n">
        <f aca="false">IF(N27="","",IF(AND(R27="Y",P27&lt;&gt;0),MAX(1,MIN(5,N27+MAX(-Config!$C$27,MIN(Config!$C$27,P27)))),N27))</f>
        <v>3</v>
      </c>
      <c r="T27" s="35" t="str">
        <f aca="false">IF(F27="N/A","N/A",IF(S27="","Not assessed",INDEX(Config!$B$5:$B$9,S27)))</f>
        <v>Medium</v>
      </c>
      <c r="U27" s="7" t="str">
        <f aca="false">IF(P27=0,"None",IF(R27="Y","Applied","Pending HO approval"))</f>
        <v>None</v>
      </c>
      <c r="V27" s="8"/>
    </row>
    <row r="28" customFormat="false" ht="15" hidden="false" customHeight="false" outlineLevel="0" collapsed="false">
      <c r="A28" s="26" t="str">
        <f aca="false">Entities!$A$6</f>
        <v>JO-IIAB</v>
      </c>
      <c r="B28" s="12" t="str">
        <f aca="false">INDEX(Entities!$B$5:$B$34,MATCH(A28,Entities!$A$5:$A$34,0))</f>
        <v>Islamic International Arab Bank</v>
      </c>
      <c r="C28" s="12" t="str">
        <f aca="false">INDEX(Entities!$D$5:$D$34,MATCH(A28,Entities!$A$5:$A$34,0))</f>
        <v>Jordan (home)</v>
      </c>
      <c r="D28" s="12" t="s">
        <v>289</v>
      </c>
      <c r="E28" s="12" t="str">
        <f aca="false">INDEX('Risk Taxonomy'!$B$5:$B$24,MATCH(D28,'Risk Taxonomy'!$A$5:$A$24,0))</f>
        <v>Legal and litigation</v>
      </c>
      <c r="F28" s="7" t="str">
        <f aca="false">IF(D28="RC-04",IF(INDEX(Entities!$G$5:$G$34,MATCH(A28,Entities!$A$5:$A$34,0))="Y","Yes","N/A"),"Yes")</f>
        <v>Yes</v>
      </c>
      <c r="G28" s="24" t="n">
        <v>1</v>
      </c>
      <c r="H28" s="24" t="n">
        <v>2</v>
      </c>
      <c r="I28" s="24" t="n">
        <v>4</v>
      </c>
      <c r="J28" s="24" t="n">
        <v>2</v>
      </c>
      <c r="K28" s="24" t="n">
        <v>4</v>
      </c>
      <c r="L28" s="37" t="n">
        <f aca="false">IF(F28="N/A","",IF(COUNT(H28:K28)=0,"",IF(Config!$C$19="Highest dimension",MAX(H28:K28),ROUND(H28*Config!$C$20+I28*Config!$C$21+J28*Config!$C$22+K28*Config!$C$23,1))))</f>
        <v>4</v>
      </c>
      <c r="M28" s="38" t="n">
        <f aca="false">IF(OR(L28="",G28=""),"",G28*L28)</f>
        <v>4</v>
      </c>
      <c r="N28" s="31" t="n">
        <f aca="false">IF(M28="","",MATCH(M28,Config!$E$5:$E$9,1))</f>
        <v>1</v>
      </c>
      <c r="O28" s="7" t="str">
        <f aca="false">IF(F28="N/A","N/A",IF(N28="","Not assessed",INDEX(Config!$B$5:$B$9,N28)))</f>
        <v>Low</v>
      </c>
      <c r="P28" s="32" t="n">
        <v>0</v>
      </c>
      <c r="Q28" s="8"/>
      <c r="R28" s="33"/>
      <c r="S28" s="34" t="n">
        <f aca="false">IF(N28="","",IF(AND(R28="Y",P28&lt;&gt;0),MAX(1,MIN(5,N28+MAX(-Config!$C$27,MIN(Config!$C$27,P28)))),N28))</f>
        <v>1</v>
      </c>
      <c r="T28" s="35" t="str">
        <f aca="false">IF(F28="N/A","N/A",IF(S28="","Not assessed",INDEX(Config!$B$5:$B$9,S28)))</f>
        <v>Low</v>
      </c>
      <c r="U28" s="7" t="str">
        <f aca="false">IF(P28=0,"None",IF(R28="Y","Applied","Pending HO approval"))</f>
        <v>None</v>
      </c>
      <c r="V28" s="8"/>
    </row>
    <row r="29" customFormat="false" ht="15" hidden="false" customHeight="false" outlineLevel="0" collapsed="false">
      <c r="A29" s="26" t="str">
        <f aca="false">Entities!$A$6</f>
        <v>JO-IIAB</v>
      </c>
      <c r="B29" s="12" t="str">
        <f aca="false">INDEX(Entities!$B$5:$B$34,MATCH(A29,Entities!$A$5:$A$34,0))</f>
        <v>Islamic International Arab Bank</v>
      </c>
      <c r="C29" s="12" t="str">
        <f aca="false">INDEX(Entities!$D$5:$D$34,MATCH(A29,Entities!$A$5:$A$34,0))</f>
        <v>Jordan (home)</v>
      </c>
      <c r="D29" s="12" t="s">
        <v>292</v>
      </c>
      <c r="E29" s="12" t="str">
        <f aca="false">INDEX('Risk Taxonomy'!$B$5:$B$24,MATCH(D29,'Risk Taxonomy'!$A$5:$A$24,0))</f>
        <v>Reputational</v>
      </c>
      <c r="F29" s="7" t="str">
        <f aca="false">IF(D29="RC-04",IF(INDEX(Entities!$G$5:$G$34,MATCH(A29,Entities!$A$5:$A$34,0))="Y","Yes","N/A"),"Yes")</f>
        <v>Yes</v>
      </c>
      <c r="G29" s="24" t="n">
        <v>2</v>
      </c>
      <c r="H29" s="24" t="n">
        <v>3</v>
      </c>
      <c r="I29" s="24" t="n">
        <v>2</v>
      </c>
      <c r="J29" s="24" t="n">
        <v>4</v>
      </c>
      <c r="K29" s="24" t="n">
        <v>2</v>
      </c>
      <c r="L29" s="37" t="n">
        <f aca="false">IF(F29="N/A","",IF(COUNT(H29:K29)=0,"",IF(Config!$C$19="Highest dimension",MAX(H29:K29),ROUND(H29*Config!$C$20+I29*Config!$C$21+J29*Config!$C$22+K29*Config!$C$23,1))))</f>
        <v>4</v>
      </c>
      <c r="M29" s="38" t="n">
        <f aca="false">IF(OR(L29="",G29=""),"",G29*L29)</f>
        <v>8</v>
      </c>
      <c r="N29" s="31" t="n">
        <f aca="false">IF(M29="","",MATCH(M29,Config!$E$5:$E$9,1))</f>
        <v>2</v>
      </c>
      <c r="O29" s="7" t="str">
        <f aca="false">IF(F29="N/A","N/A",IF(N29="","Not assessed",INDEX(Config!$B$5:$B$9,N29)))</f>
        <v>Medium-Low</v>
      </c>
      <c r="P29" s="32" t="n">
        <v>0</v>
      </c>
      <c r="Q29" s="8"/>
      <c r="R29" s="33"/>
      <c r="S29" s="34" t="n">
        <f aca="false">IF(N29="","",IF(AND(R29="Y",P29&lt;&gt;0),MAX(1,MIN(5,N29+MAX(-Config!$C$27,MIN(Config!$C$27,P29)))),N29))</f>
        <v>2</v>
      </c>
      <c r="T29" s="35" t="str">
        <f aca="false">IF(F29="N/A","N/A",IF(S29="","Not assessed",INDEX(Config!$B$5:$B$9,S29)))</f>
        <v>Medium-Low</v>
      </c>
      <c r="U29" s="7" t="str">
        <f aca="false">IF(P29=0,"None",IF(R29="Y","Applied","Pending HO approval"))</f>
        <v>None</v>
      </c>
      <c r="V29" s="8"/>
    </row>
    <row r="30" customFormat="false" ht="15" hidden="false" customHeight="false" outlineLevel="0" collapsed="false">
      <c r="A30" s="26" t="str">
        <f aca="false">Entities!$A$6</f>
        <v>JO-IIAB</v>
      </c>
      <c r="B30" s="12" t="str">
        <f aca="false">INDEX(Entities!$B$5:$B$34,MATCH(A30,Entities!$A$5:$A$34,0))</f>
        <v>Islamic International Arab Bank</v>
      </c>
      <c r="C30" s="12" t="str">
        <f aca="false">INDEX(Entities!$D$5:$D$34,MATCH(A30,Entities!$A$5:$A$34,0))</f>
        <v>Jordan (home)</v>
      </c>
      <c r="D30" s="12" t="s">
        <v>295</v>
      </c>
      <c r="E30" s="12" t="str">
        <f aca="false">INDEX('Risk Taxonomy'!$B$5:$B$24,MATCH(D30,'Risk Taxonomy'!$A$5:$A$24,0))</f>
        <v>Strategic, business model and ESG</v>
      </c>
      <c r="F30" s="7" t="str">
        <f aca="false">IF(D30="RC-04",IF(INDEX(Entities!$G$5:$G$34,MATCH(A30,Entities!$A$5:$A$34,0))="Y","Yes","N/A"),"Yes")</f>
        <v>Yes</v>
      </c>
      <c r="G30" s="24" t="n">
        <v>3</v>
      </c>
      <c r="H30" s="24" t="n">
        <v>3</v>
      </c>
      <c r="I30" s="24" t="n">
        <v>4</v>
      </c>
      <c r="J30" s="24" t="n">
        <v>3</v>
      </c>
      <c r="K30" s="24" t="n">
        <v>4</v>
      </c>
      <c r="L30" s="37" t="n">
        <f aca="false">IF(F30="N/A","",IF(COUNT(H30:K30)=0,"",IF(Config!$C$19="Highest dimension",MAX(H30:K30),ROUND(H30*Config!$C$20+I30*Config!$C$21+J30*Config!$C$22+K30*Config!$C$23,1))))</f>
        <v>4</v>
      </c>
      <c r="M30" s="38" t="n">
        <f aca="false">IF(OR(L30="",G30=""),"",G30*L30)</f>
        <v>12</v>
      </c>
      <c r="N30" s="31" t="n">
        <f aca="false">IF(M30="","",MATCH(M30,Config!$E$5:$E$9,1))</f>
        <v>3</v>
      </c>
      <c r="O30" s="7" t="str">
        <f aca="false">IF(F30="N/A","N/A",IF(N30="","Not assessed",INDEX(Config!$B$5:$B$9,N30)))</f>
        <v>Medium</v>
      </c>
      <c r="P30" s="32" t="n">
        <v>0</v>
      </c>
      <c r="Q30" s="8"/>
      <c r="R30" s="33"/>
      <c r="S30" s="34" t="n">
        <f aca="false">IF(N30="","",IF(AND(R30="Y",P30&lt;&gt;0),MAX(1,MIN(5,N30+MAX(-Config!$C$27,MIN(Config!$C$27,P30)))),N30))</f>
        <v>3</v>
      </c>
      <c r="T30" s="35" t="str">
        <f aca="false">IF(F30="N/A","N/A",IF(S30="","Not assessed",INDEX(Config!$B$5:$B$9,S30)))</f>
        <v>Medium</v>
      </c>
      <c r="U30" s="7" t="str">
        <f aca="false">IF(P30=0,"None",IF(R30="Y","Applied","Pending HO approval"))</f>
        <v>None</v>
      </c>
      <c r="V30" s="8"/>
    </row>
    <row r="31" customFormat="false" ht="15" hidden="false" customHeight="false" outlineLevel="0" collapsed="false">
      <c r="A31" s="26" t="str">
        <f aca="false">Entities!$A$7</f>
        <v>JO-INV</v>
      </c>
      <c r="B31" s="12" t="str">
        <f aca="false">INDEX(Entities!$B$5:$B$34,MATCH(A31,Entities!$A$5:$A$34,0))</f>
        <v>Al-Arabi Investment Group (AB Invest)</v>
      </c>
      <c r="C31" s="12" t="str">
        <f aca="false">INDEX(Entities!$D$5:$D$34,MATCH(A31,Entities!$A$5:$A$34,0))</f>
        <v>Jordan (home)</v>
      </c>
      <c r="D31" s="12" t="s">
        <v>257</v>
      </c>
      <c r="E31" s="12" t="str">
        <f aca="false">INDEX('Risk Taxonomy'!$B$5:$B$24,MATCH(D31,'Risk Taxonomy'!$A$5:$A$24,0))</f>
        <v>Regulatory compliance</v>
      </c>
      <c r="F31" s="7" t="str">
        <f aca="false">IF(D31="RC-04",IF(INDEX(Entities!$G$5:$G$34,MATCH(A31,Entities!$A$5:$A$34,0))="Y","Yes","N/A"),"Yes")</f>
        <v>Yes</v>
      </c>
      <c r="G31" s="24" t="n">
        <v>3</v>
      </c>
      <c r="H31" s="24" t="n">
        <v>2</v>
      </c>
      <c r="I31" s="24" t="n">
        <v>1</v>
      </c>
      <c r="J31" s="24" t="n">
        <v>3</v>
      </c>
      <c r="K31" s="24" t="n">
        <v>3</v>
      </c>
      <c r="L31" s="37" t="n">
        <f aca="false">IF(F31="N/A","",IF(COUNT(H31:K31)=0,"",IF(Config!$C$19="Highest dimension",MAX(H31:K31),ROUND(H31*Config!$C$20+I31*Config!$C$21+J31*Config!$C$22+K31*Config!$C$23,1))))</f>
        <v>3</v>
      </c>
      <c r="M31" s="38" t="n">
        <f aca="false">IF(OR(L31="",G31=""),"",G31*L31)</f>
        <v>9</v>
      </c>
      <c r="N31" s="31" t="n">
        <f aca="false">IF(M31="","",MATCH(M31,Config!$E$5:$E$9,1))</f>
        <v>3</v>
      </c>
      <c r="O31" s="7" t="str">
        <f aca="false">IF(F31="N/A","N/A",IF(N31="","Not assessed",INDEX(Config!$B$5:$B$9,N31)))</f>
        <v>Medium</v>
      </c>
      <c r="P31" s="32" t="n">
        <v>0</v>
      </c>
      <c r="Q31" s="8"/>
      <c r="R31" s="33"/>
      <c r="S31" s="34" t="n">
        <f aca="false">IF(N31="","",IF(AND(R31="Y",P31&lt;&gt;0),MAX(1,MIN(5,N31+MAX(-Config!$C$27,MIN(Config!$C$27,P31)))),N31))</f>
        <v>3</v>
      </c>
      <c r="T31" s="35" t="str">
        <f aca="false">IF(F31="N/A","N/A",IF(S31="","Not assessed",INDEX(Config!$B$5:$B$9,S31)))</f>
        <v>Medium</v>
      </c>
      <c r="U31" s="7" t="str">
        <f aca="false">IF(P31=0,"None",IF(R31="Y","Applied","Pending HO approval"))</f>
        <v>None</v>
      </c>
      <c r="V31" s="8"/>
    </row>
    <row r="32" customFormat="false" ht="15" hidden="false" customHeight="false" outlineLevel="0" collapsed="false">
      <c r="A32" s="26" t="str">
        <f aca="false">Entities!$A$7</f>
        <v>JO-INV</v>
      </c>
      <c r="B32" s="12" t="str">
        <f aca="false">INDEX(Entities!$B$5:$B$34,MATCH(A32,Entities!$A$5:$A$34,0))</f>
        <v>Al-Arabi Investment Group (AB Invest)</v>
      </c>
      <c r="C32" s="12" t="str">
        <f aca="false">INDEX(Entities!$D$5:$D$34,MATCH(A32,Entities!$A$5:$A$34,0))</f>
        <v>Jordan (home)</v>
      </c>
      <c r="D32" s="12" t="s">
        <v>261</v>
      </c>
      <c r="E32" s="12" t="str">
        <f aca="false">INDEX('Risk Taxonomy'!$B$5:$B$24,MATCH(D32,'Risk Taxonomy'!$A$5:$A$24,0))</f>
        <v>Conduct and consumer protection</v>
      </c>
      <c r="F32" s="7" t="str">
        <f aca="false">IF(D32="RC-04",IF(INDEX(Entities!$G$5:$G$34,MATCH(A32,Entities!$A$5:$A$34,0))="Y","Yes","N/A"),"Yes")</f>
        <v>Yes</v>
      </c>
      <c r="G32" s="24" t="n">
        <v>3</v>
      </c>
      <c r="H32" s="24" t="n">
        <v>3</v>
      </c>
      <c r="I32" s="24" t="n">
        <v>3</v>
      </c>
      <c r="J32" s="24" t="n">
        <v>4</v>
      </c>
      <c r="K32" s="24" t="n">
        <v>3</v>
      </c>
      <c r="L32" s="37" t="n">
        <f aca="false">IF(F32="N/A","",IF(COUNT(H32:K32)=0,"",IF(Config!$C$19="Highest dimension",MAX(H32:K32),ROUND(H32*Config!$C$20+I32*Config!$C$21+J32*Config!$C$22+K32*Config!$C$23,1))))</f>
        <v>4</v>
      </c>
      <c r="M32" s="38" t="n">
        <f aca="false">IF(OR(L32="",G32=""),"",G32*L32)</f>
        <v>12</v>
      </c>
      <c r="N32" s="31" t="n">
        <f aca="false">IF(M32="","",MATCH(M32,Config!$E$5:$E$9,1))</f>
        <v>3</v>
      </c>
      <c r="O32" s="7" t="str">
        <f aca="false">IF(F32="N/A","N/A",IF(N32="","Not assessed",INDEX(Config!$B$5:$B$9,N32)))</f>
        <v>Medium</v>
      </c>
      <c r="P32" s="32" t="n">
        <v>0</v>
      </c>
      <c r="Q32" s="8"/>
      <c r="R32" s="33"/>
      <c r="S32" s="34" t="n">
        <f aca="false">IF(N32="","",IF(AND(R32="Y",P32&lt;&gt;0),MAX(1,MIN(5,N32+MAX(-Config!$C$27,MIN(Config!$C$27,P32)))),N32))</f>
        <v>3</v>
      </c>
      <c r="T32" s="35" t="str">
        <f aca="false">IF(F32="N/A","N/A",IF(S32="","Not assessed",INDEX(Config!$B$5:$B$9,S32)))</f>
        <v>Medium</v>
      </c>
      <c r="U32" s="7" t="str">
        <f aca="false">IF(P32=0,"None",IF(R32="Y","Applied","Pending HO approval"))</f>
        <v>None</v>
      </c>
      <c r="V32" s="8"/>
    </row>
    <row r="33" customFormat="false" ht="15" hidden="false" customHeight="false" outlineLevel="0" collapsed="false">
      <c r="A33" s="26" t="str">
        <f aca="false">Entities!$A$7</f>
        <v>JO-INV</v>
      </c>
      <c r="B33" s="12" t="str">
        <f aca="false">INDEX(Entities!$B$5:$B$34,MATCH(A33,Entities!$A$5:$A$34,0))</f>
        <v>Al-Arabi Investment Group (AB Invest)</v>
      </c>
      <c r="C33" s="12" t="str">
        <f aca="false">INDEX(Entities!$D$5:$D$34,MATCH(A33,Entities!$A$5:$A$34,0))</f>
        <v>Jordan (home)</v>
      </c>
      <c r="D33" s="12" t="s">
        <v>263</v>
      </c>
      <c r="E33" s="12" t="str">
        <f aca="false">INDEX('Risk Taxonomy'!$B$5:$B$24,MATCH(D33,'Risk Taxonomy'!$A$5:$A$24,0))</f>
        <v>Data protection and privacy</v>
      </c>
      <c r="F33" s="7" t="str">
        <f aca="false">IF(D33="RC-04",IF(INDEX(Entities!$G$5:$G$34,MATCH(A33,Entities!$A$5:$A$34,0))="Y","Yes","N/A"),"Yes")</f>
        <v>Yes</v>
      </c>
      <c r="G33" s="24" t="n">
        <v>2</v>
      </c>
      <c r="H33" s="24" t="n">
        <v>2</v>
      </c>
      <c r="I33" s="24" t="n">
        <v>3</v>
      </c>
      <c r="J33" s="24" t="n">
        <v>4</v>
      </c>
      <c r="K33" s="24" t="n">
        <v>3</v>
      </c>
      <c r="L33" s="37" t="n">
        <f aca="false">IF(F33="N/A","",IF(COUNT(H33:K33)=0,"",IF(Config!$C$19="Highest dimension",MAX(H33:K33),ROUND(H33*Config!$C$20+I33*Config!$C$21+J33*Config!$C$22+K33*Config!$C$23,1))))</f>
        <v>4</v>
      </c>
      <c r="M33" s="38" t="n">
        <f aca="false">IF(OR(L33="",G33=""),"",G33*L33)</f>
        <v>8</v>
      </c>
      <c r="N33" s="31" t="n">
        <f aca="false">IF(M33="","",MATCH(M33,Config!$E$5:$E$9,1))</f>
        <v>2</v>
      </c>
      <c r="O33" s="7" t="str">
        <f aca="false">IF(F33="N/A","N/A",IF(N33="","Not assessed",INDEX(Config!$B$5:$B$9,N33)))</f>
        <v>Medium-Low</v>
      </c>
      <c r="P33" s="32" t="n">
        <v>0</v>
      </c>
      <c r="Q33" s="8"/>
      <c r="R33" s="33"/>
      <c r="S33" s="34" t="n">
        <f aca="false">IF(N33="","",IF(AND(R33="Y",P33&lt;&gt;0),MAX(1,MIN(5,N33+MAX(-Config!$C$27,MIN(Config!$C$27,P33)))),N33))</f>
        <v>2</v>
      </c>
      <c r="T33" s="35" t="str">
        <f aca="false">IF(F33="N/A","N/A",IF(S33="","Not assessed",INDEX(Config!$B$5:$B$9,S33)))</f>
        <v>Medium-Low</v>
      </c>
      <c r="U33" s="7" t="str">
        <f aca="false">IF(P33=0,"None",IF(R33="Y","Applied","Pending HO approval"))</f>
        <v>None</v>
      </c>
      <c r="V33" s="8"/>
    </row>
    <row r="34" customFormat="false" ht="15" hidden="false" customHeight="false" outlineLevel="0" collapsed="false">
      <c r="A34" s="26" t="str">
        <f aca="false">Entities!$A$7</f>
        <v>JO-INV</v>
      </c>
      <c r="B34" s="12" t="str">
        <f aca="false">INDEX(Entities!$B$5:$B$34,MATCH(A34,Entities!$A$5:$A$34,0))</f>
        <v>Al-Arabi Investment Group (AB Invest)</v>
      </c>
      <c r="C34" s="12" t="str">
        <f aca="false">INDEX(Entities!$D$5:$D$34,MATCH(A34,Entities!$A$5:$A$34,0))</f>
        <v>Jordan (home)</v>
      </c>
      <c r="D34" s="12" t="s">
        <v>266</v>
      </c>
      <c r="E34" s="12" t="str">
        <f aca="false">INDEX('Risk Taxonomy'!$B$5:$B$24,MATCH(D34,'Risk Taxonomy'!$A$5:$A$24,0))</f>
        <v>Shariah non-compliance</v>
      </c>
      <c r="F34" s="7" t="str">
        <f aca="false">IF(D34="RC-04",IF(INDEX(Entities!$G$5:$G$34,MATCH(A34,Entities!$A$5:$A$34,0))="Y","Yes","N/A"),"Yes")</f>
        <v>N/A</v>
      </c>
      <c r="G34" s="24"/>
      <c r="H34" s="24"/>
      <c r="I34" s="24"/>
      <c r="J34" s="24"/>
      <c r="K34" s="24"/>
      <c r="L34" s="37" t="str">
        <f aca="false">IF(F34="N/A","",IF(COUNT(H34:K34)=0,"",IF(Config!$C$19="Highest dimension",MAX(H34:K34),ROUND(H34*Config!$C$20+I34*Config!$C$21+J34*Config!$C$22+K34*Config!$C$23,1))))</f>
        <v/>
      </c>
      <c r="M34" s="38" t="str">
        <f aca="false">IF(OR(L34="",G34=""),"",G34*L34)</f>
        <v/>
      </c>
      <c r="N34" s="31" t="str">
        <f aca="false">IF(M34="","",MATCH(M34,Config!$E$5:$E$9,1))</f>
        <v/>
      </c>
      <c r="O34" s="7" t="str">
        <f aca="false">IF(F34="N/A","N/A",IF(N34="","Not assessed",INDEX(Config!$B$5:$B$9,N34)))</f>
        <v>N/A</v>
      </c>
      <c r="P34" s="32" t="n">
        <v>0</v>
      </c>
      <c r="Q34" s="8"/>
      <c r="R34" s="33"/>
      <c r="S34" s="34" t="str">
        <f aca="false">IF(N34="","",IF(AND(R34="Y",P34&lt;&gt;0),MAX(1,MIN(5,N34+MAX(-Config!$C$27,MIN(Config!$C$27,P34)))),N34))</f>
        <v/>
      </c>
      <c r="T34" s="35" t="str">
        <f aca="false">IF(F34="N/A","N/A",IF(S34="","Not assessed",INDEX(Config!$B$5:$B$9,S34)))</f>
        <v>N/A</v>
      </c>
      <c r="U34" s="7" t="str">
        <f aca="false">IF(P34=0,"None",IF(R34="Y","Applied","Pending HO approval"))</f>
        <v>None</v>
      </c>
      <c r="V34" s="8"/>
    </row>
    <row r="35" customFormat="false" ht="15" hidden="false" customHeight="false" outlineLevel="0" collapsed="false">
      <c r="A35" s="26" t="str">
        <f aca="false">Entities!$A$7</f>
        <v>JO-INV</v>
      </c>
      <c r="B35" s="12" t="str">
        <f aca="false">INDEX(Entities!$B$5:$B$34,MATCH(A35,Entities!$A$5:$A$34,0))</f>
        <v>Al-Arabi Investment Group (AB Invest)</v>
      </c>
      <c r="C35" s="12" t="str">
        <f aca="false">INDEX(Entities!$D$5:$D$34,MATCH(A35,Entities!$A$5:$A$34,0))</f>
        <v>Jordan (home)</v>
      </c>
      <c r="D35" s="12" t="s">
        <v>270</v>
      </c>
      <c r="E35" s="12" t="str">
        <f aca="false">INDEX('Risk Taxonomy'!$B$5:$B$24,MATCH(D35,'Risk Taxonomy'!$A$5:$A$24,0))</f>
        <v>Credit risk</v>
      </c>
      <c r="F35" s="7" t="str">
        <f aca="false">IF(D35="RC-04",IF(INDEX(Entities!$G$5:$G$34,MATCH(A35,Entities!$A$5:$A$34,0))="Y","Yes","N/A"),"Yes")</f>
        <v>Yes</v>
      </c>
      <c r="G35" s="24" t="n">
        <v>3</v>
      </c>
      <c r="H35" s="24" t="n">
        <v>4</v>
      </c>
      <c r="I35" s="24" t="n">
        <v>3</v>
      </c>
      <c r="J35" s="24" t="n">
        <v>1</v>
      </c>
      <c r="K35" s="24" t="n">
        <v>2</v>
      </c>
      <c r="L35" s="37" t="n">
        <f aca="false">IF(F35="N/A","",IF(COUNT(H35:K35)=0,"",IF(Config!$C$19="Highest dimension",MAX(H35:K35),ROUND(H35*Config!$C$20+I35*Config!$C$21+J35*Config!$C$22+K35*Config!$C$23,1))))</f>
        <v>4</v>
      </c>
      <c r="M35" s="38" t="n">
        <f aca="false">IF(OR(L35="",G35=""),"",G35*L35)</f>
        <v>12</v>
      </c>
      <c r="N35" s="31" t="n">
        <f aca="false">IF(M35="","",MATCH(M35,Config!$E$5:$E$9,1))</f>
        <v>3</v>
      </c>
      <c r="O35" s="7" t="str">
        <f aca="false">IF(F35="N/A","N/A",IF(N35="","Not assessed",INDEX(Config!$B$5:$B$9,N35)))</f>
        <v>Medium</v>
      </c>
      <c r="P35" s="32" t="n">
        <v>0</v>
      </c>
      <c r="Q35" s="8"/>
      <c r="R35" s="33"/>
      <c r="S35" s="34" t="n">
        <f aca="false">IF(N35="","",IF(AND(R35="Y",P35&lt;&gt;0),MAX(1,MIN(5,N35+MAX(-Config!$C$27,MIN(Config!$C$27,P35)))),N35))</f>
        <v>3</v>
      </c>
      <c r="T35" s="35" t="str">
        <f aca="false">IF(F35="N/A","N/A",IF(S35="","Not assessed",INDEX(Config!$B$5:$B$9,S35)))</f>
        <v>Medium</v>
      </c>
      <c r="U35" s="7" t="str">
        <f aca="false">IF(P35=0,"None",IF(R35="Y","Applied","Pending HO approval"))</f>
        <v>None</v>
      </c>
      <c r="V35" s="8"/>
    </row>
    <row r="36" customFormat="false" ht="15" hidden="false" customHeight="false" outlineLevel="0" collapsed="false">
      <c r="A36" s="26" t="str">
        <f aca="false">Entities!$A$7</f>
        <v>JO-INV</v>
      </c>
      <c r="B36" s="12" t="str">
        <f aca="false">INDEX(Entities!$B$5:$B$34,MATCH(A36,Entities!$A$5:$A$34,0))</f>
        <v>Al-Arabi Investment Group (AB Invest)</v>
      </c>
      <c r="C36" s="12" t="str">
        <f aca="false">INDEX(Entities!$D$5:$D$34,MATCH(A36,Entities!$A$5:$A$34,0))</f>
        <v>Jordan (home)</v>
      </c>
      <c r="D36" s="12" t="s">
        <v>275</v>
      </c>
      <c r="E36" s="12" t="str">
        <f aca="false">INDEX('Risk Taxonomy'!$B$5:$B$24,MATCH(D36,'Risk Taxonomy'!$A$5:$A$24,0))</f>
        <v>Market risk</v>
      </c>
      <c r="F36" s="7" t="str">
        <f aca="false">IF(D36="RC-04",IF(INDEX(Entities!$G$5:$G$34,MATCH(A36,Entities!$A$5:$A$34,0))="Y","Yes","N/A"),"Yes")</f>
        <v>Yes</v>
      </c>
      <c r="G36" s="24" t="n">
        <v>2</v>
      </c>
      <c r="H36" s="24" t="n">
        <v>4</v>
      </c>
      <c r="I36" s="24" t="n">
        <v>2</v>
      </c>
      <c r="J36" s="24" t="n">
        <v>2</v>
      </c>
      <c r="K36" s="24" t="n">
        <v>2</v>
      </c>
      <c r="L36" s="37" t="n">
        <f aca="false">IF(F36="N/A","",IF(COUNT(H36:K36)=0,"",IF(Config!$C$19="Highest dimension",MAX(H36:K36),ROUND(H36*Config!$C$20+I36*Config!$C$21+J36*Config!$C$22+K36*Config!$C$23,1))))</f>
        <v>4</v>
      </c>
      <c r="M36" s="38" t="n">
        <f aca="false">IF(OR(L36="",G36=""),"",G36*L36)</f>
        <v>8</v>
      </c>
      <c r="N36" s="31" t="n">
        <f aca="false">IF(M36="","",MATCH(M36,Config!$E$5:$E$9,1))</f>
        <v>2</v>
      </c>
      <c r="O36" s="7" t="str">
        <f aca="false">IF(F36="N/A","N/A",IF(N36="","Not assessed",INDEX(Config!$B$5:$B$9,N36)))</f>
        <v>Medium-Low</v>
      </c>
      <c r="P36" s="32" t="n">
        <v>0</v>
      </c>
      <c r="Q36" s="8"/>
      <c r="R36" s="33"/>
      <c r="S36" s="34" t="n">
        <f aca="false">IF(N36="","",IF(AND(R36="Y",P36&lt;&gt;0),MAX(1,MIN(5,N36+MAX(-Config!$C$27,MIN(Config!$C$27,P36)))),N36))</f>
        <v>2</v>
      </c>
      <c r="T36" s="35" t="str">
        <f aca="false">IF(F36="N/A","N/A",IF(S36="","Not assessed",INDEX(Config!$B$5:$B$9,S36)))</f>
        <v>Medium-Low</v>
      </c>
      <c r="U36" s="7" t="str">
        <f aca="false">IF(P36=0,"None",IF(R36="Y","Applied","Pending HO approval"))</f>
        <v>None</v>
      </c>
      <c r="V36" s="8"/>
    </row>
    <row r="37" customFormat="false" ht="15" hidden="false" customHeight="false" outlineLevel="0" collapsed="false">
      <c r="A37" s="26" t="str">
        <f aca="false">Entities!$A$7</f>
        <v>JO-INV</v>
      </c>
      <c r="B37" s="12" t="str">
        <f aca="false">INDEX(Entities!$B$5:$B$34,MATCH(A37,Entities!$A$5:$A$34,0))</f>
        <v>Al-Arabi Investment Group (AB Invest)</v>
      </c>
      <c r="C37" s="12" t="str">
        <f aca="false">INDEX(Entities!$D$5:$D$34,MATCH(A37,Entities!$A$5:$A$34,0))</f>
        <v>Jordan (home)</v>
      </c>
      <c r="D37" s="12" t="s">
        <v>277</v>
      </c>
      <c r="E37" s="12" t="str">
        <f aca="false">INDEX('Risk Taxonomy'!$B$5:$B$24,MATCH(D37,'Risk Taxonomy'!$A$5:$A$24,0))</f>
        <v>Liquidity and funding risk</v>
      </c>
      <c r="F37" s="7" t="str">
        <f aca="false">IF(D37="RC-04",IF(INDEX(Entities!$G$5:$G$34,MATCH(A37,Entities!$A$5:$A$34,0))="Y","Yes","N/A"),"Yes")</f>
        <v>Yes</v>
      </c>
      <c r="G37" s="24" t="n">
        <v>4</v>
      </c>
      <c r="H37" s="24" t="n">
        <v>2</v>
      </c>
      <c r="I37" s="24" t="n">
        <v>3</v>
      </c>
      <c r="J37" s="24" t="n">
        <v>4</v>
      </c>
      <c r="K37" s="24" t="n">
        <v>3</v>
      </c>
      <c r="L37" s="37" t="n">
        <f aca="false">IF(F37="N/A","",IF(COUNT(H37:K37)=0,"",IF(Config!$C$19="Highest dimension",MAX(H37:K37),ROUND(H37*Config!$C$20+I37*Config!$C$21+J37*Config!$C$22+K37*Config!$C$23,1))))</f>
        <v>4</v>
      </c>
      <c r="M37" s="38" t="n">
        <f aca="false">IF(OR(L37="",G37=""),"",G37*L37)</f>
        <v>16</v>
      </c>
      <c r="N37" s="31" t="n">
        <f aca="false">IF(M37="","",MATCH(M37,Config!$E$5:$E$9,1))</f>
        <v>4</v>
      </c>
      <c r="O37" s="7" t="str">
        <f aca="false">IF(F37="N/A","N/A",IF(N37="","Not assessed",INDEX(Config!$B$5:$B$9,N37)))</f>
        <v>Medium-High</v>
      </c>
      <c r="P37" s="32" t="n">
        <v>0</v>
      </c>
      <c r="Q37" s="8"/>
      <c r="R37" s="33"/>
      <c r="S37" s="34" t="n">
        <f aca="false">IF(N37="","",IF(AND(R37="Y",P37&lt;&gt;0),MAX(1,MIN(5,N37+MAX(-Config!$C$27,MIN(Config!$C$27,P37)))),N37))</f>
        <v>4</v>
      </c>
      <c r="T37" s="35" t="str">
        <f aca="false">IF(F37="N/A","N/A",IF(S37="","Not assessed",INDEX(Config!$B$5:$B$9,S37)))</f>
        <v>Medium-High</v>
      </c>
      <c r="U37" s="7" t="str">
        <f aca="false">IF(P37=0,"None",IF(R37="Y","Applied","Pending HO approval"))</f>
        <v>None</v>
      </c>
      <c r="V37" s="8"/>
    </row>
    <row r="38" customFormat="false" ht="15" hidden="false" customHeight="false" outlineLevel="0" collapsed="false">
      <c r="A38" s="26" t="str">
        <f aca="false">Entities!$A$7</f>
        <v>JO-INV</v>
      </c>
      <c r="B38" s="12" t="str">
        <f aca="false">INDEX(Entities!$B$5:$B$34,MATCH(A38,Entities!$A$5:$A$34,0))</f>
        <v>Al-Arabi Investment Group (AB Invest)</v>
      </c>
      <c r="C38" s="12" t="str">
        <f aca="false">INDEX(Entities!$D$5:$D$34,MATCH(A38,Entities!$A$5:$A$34,0))</f>
        <v>Jordan (home)</v>
      </c>
      <c r="D38" s="12" t="s">
        <v>280</v>
      </c>
      <c r="E38" s="12" t="str">
        <f aca="false">INDEX('Risk Taxonomy'!$B$5:$B$24,MATCH(D38,'Risk Taxonomy'!$A$5:$A$24,0))</f>
        <v>Operational risk</v>
      </c>
      <c r="F38" s="7" t="str">
        <f aca="false">IF(D38="RC-04",IF(INDEX(Entities!$G$5:$G$34,MATCH(A38,Entities!$A$5:$A$34,0))="Y","Yes","N/A"),"Yes")</f>
        <v>Yes</v>
      </c>
      <c r="G38" s="24" t="n">
        <v>3</v>
      </c>
      <c r="H38" s="24" t="n">
        <v>3</v>
      </c>
      <c r="I38" s="24" t="n">
        <v>3</v>
      </c>
      <c r="J38" s="24" t="n">
        <v>2</v>
      </c>
      <c r="K38" s="24" t="n">
        <v>2</v>
      </c>
      <c r="L38" s="37" t="n">
        <f aca="false">IF(F38="N/A","",IF(COUNT(H38:K38)=0,"",IF(Config!$C$19="Highest dimension",MAX(H38:K38),ROUND(H38*Config!$C$20+I38*Config!$C$21+J38*Config!$C$22+K38*Config!$C$23,1))))</f>
        <v>3</v>
      </c>
      <c r="M38" s="38" t="n">
        <f aca="false">IF(OR(L38="",G38=""),"",G38*L38)</f>
        <v>9</v>
      </c>
      <c r="N38" s="31" t="n">
        <f aca="false">IF(M38="","",MATCH(M38,Config!$E$5:$E$9,1))</f>
        <v>3</v>
      </c>
      <c r="O38" s="7" t="str">
        <f aca="false">IF(F38="N/A","N/A",IF(N38="","Not assessed",INDEX(Config!$B$5:$B$9,N38)))</f>
        <v>Medium</v>
      </c>
      <c r="P38" s="32" t="n">
        <v>0</v>
      </c>
      <c r="Q38" s="8"/>
      <c r="R38" s="33"/>
      <c r="S38" s="34" t="n">
        <f aca="false">IF(N38="","",IF(AND(R38="Y",P38&lt;&gt;0),MAX(1,MIN(5,N38+MAX(-Config!$C$27,MIN(Config!$C$27,P38)))),N38))</f>
        <v>3</v>
      </c>
      <c r="T38" s="35" t="str">
        <f aca="false">IF(F38="N/A","N/A",IF(S38="","Not assessed",INDEX(Config!$B$5:$B$9,S38)))</f>
        <v>Medium</v>
      </c>
      <c r="U38" s="7" t="str">
        <f aca="false">IF(P38=0,"None",IF(R38="Y","Applied","Pending HO approval"))</f>
        <v>None</v>
      </c>
      <c r="V38" s="8"/>
    </row>
    <row r="39" customFormat="false" ht="15" hidden="false" customHeight="false" outlineLevel="0" collapsed="false">
      <c r="A39" s="26" t="str">
        <f aca="false">Entities!$A$7</f>
        <v>JO-INV</v>
      </c>
      <c r="B39" s="12" t="str">
        <f aca="false">INDEX(Entities!$B$5:$B$34,MATCH(A39,Entities!$A$5:$A$34,0))</f>
        <v>Al-Arabi Investment Group (AB Invest)</v>
      </c>
      <c r="C39" s="12" t="str">
        <f aca="false">INDEX(Entities!$D$5:$D$34,MATCH(A39,Entities!$A$5:$A$34,0))</f>
        <v>Jordan (home)</v>
      </c>
      <c r="D39" s="12" t="s">
        <v>283</v>
      </c>
      <c r="E39" s="12" t="str">
        <f aca="false">INDEX('Risk Taxonomy'!$B$5:$B$24,MATCH(D39,'Risk Taxonomy'!$A$5:$A$24,0))</f>
        <v>Cyber, information security and technology</v>
      </c>
      <c r="F39" s="7" t="str">
        <f aca="false">IF(D39="RC-04",IF(INDEX(Entities!$G$5:$G$34,MATCH(A39,Entities!$A$5:$A$34,0))="Y","Yes","N/A"),"Yes")</f>
        <v>Yes</v>
      </c>
      <c r="G39" s="24" t="n">
        <v>3</v>
      </c>
      <c r="H39" s="24" t="n">
        <v>3</v>
      </c>
      <c r="I39" s="24" t="n">
        <v>2</v>
      </c>
      <c r="J39" s="24" t="n">
        <v>3</v>
      </c>
      <c r="K39" s="24" t="n">
        <v>4</v>
      </c>
      <c r="L39" s="37" t="n">
        <f aca="false">IF(F39="N/A","",IF(COUNT(H39:K39)=0,"",IF(Config!$C$19="Highest dimension",MAX(H39:K39),ROUND(H39*Config!$C$20+I39*Config!$C$21+J39*Config!$C$22+K39*Config!$C$23,1))))</f>
        <v>4</v>
      </c>
      <c r="M39" s="38" t="n">
        <f aca="false">IF(OR(L39="",G39=""),"",G39*L39)</f>
        <v>12</v>
      </c>
      <c r="N39" s="31" t="n">
        <f aca="false">IF(M39="","",MATCH(M39,Config!$E$5:$E$9,1))</f>
        <v>3</v>
      </c>
      <c r="O39" s="7" t="str">
        <f aca="false">IF(F39="N/A","N/A",IF(N39="","Not assessed",INDEX(Config!$B$5:$B$9,N39)))</f>
        <v>Medium</v>
      </c>
      <c r="P39" s="32" t="n">
        <v>0</v>
      </c>
      <c r="Q39" s="8"/>
      <c r="R39" s="33"/>
      <c r="S39" s="34" t="n">
        <f aca="false">IF(N39="","",IF(AND(R39="Y",P39&lt;&gt;0),MAX(1,MIN(5,N39+MAX(-Config!$C$27,MIN(Config!$C$27,P39)))),N39))</f>
        <v>3</v>
      </c>
      <c r="T39" s="35" t="str">
        <f aca="false">IF(F39="N/A","N/A",IF(S39="","Not assessed",INDEX(Config!$B$5:$B$9,S39)))</f>
        <v>Medium</v>
      </c>
      <c r="U39" s="7" t="str">
        <f aca="false">IF(P39=0,"None",IF(R39="Y","Applied","Pending HO approval"))</f>
        <v>None</v>
      </c>
      <c r="V39" s="8"/>
    </row>
    <row r="40" customFormat="false" ht="15" hidden="false" customHeight="false" outlineLevel="0" collapsed="false">
      <c r="A40" s="26" t="str">
        <f aca="false">Entities!$A$7</f>
        <v>JO-INV</v>
      </c>
      <c r="B40" s="12" t="str">
        <f aca="false">INDEX(Entities!$B$5:$B$34,MATCH(A40,Entities!$A$5:$A$34,0))</f>
        <v>Al-Arabi Investment Group (AB Invest)</v>
      </c>
      <c r="C40" s="12" t="str">
        <f aca="false">INDEX(Entities!$D$5:$D$34,MATCH(A40,Entities!$A$5:$A$34,0))</f>
        <v>Jordan (home)</v>
      </c>
      <c r="D40" s="12" t="s">
        <v>286</v>
      </c>
      <c r="E40" s="12" t="str">
        <f aca="false">INDEX('Risk Taxonomy'!$B$5:$B$24,MATCH(D40,'Risk Taxonomy'!$A$5:$A$24,0))</f>
        <v>Third-party and outsourcing</v>
      </c>
      <c r="F40" s="7" t="str">
        <f aca="false">IF(D40="RC-04",IF(INDEX(Entities!$G$5:$G$34,MATCH(A40,Entities!$A$5:$A$34,0))="Y","Yes","N/A"),"Yes")</f>
        <v>Yes</v>
      </c>
      <c r="G40" s="24" t="n">
        <v>3</v>
      </c>
      <c r="H40" s="24" t="n">
        <v>2</v>
      </c>
      <c r="I40" s="24" t="n">
        <v>4</v>
      </c>
      <c r="J40" s="24" t="n">
        <v>3</v>
      </c>
      <c r="K40" s="24" t="n">
        <v>3</v>
      </c>
      <c r="L40" s="37" t="n">
        <f aca="false">IF(F40="N/A","",IF(COUNT(H40:K40)=0,"",IF(Config!$C$19="Highest dimension",MAX(H40:K40),ROUND(H40*Config!$C$20+I40*Config!$C$21+J40*Config!$C$22+K40*Config!$C$23,1))))</f>
        <v>4</v>
      </c>
      <c r="M40" s="38" t="n">
        <f aca="false">IF(OR(L40="",G40=""),"",G40*L40)</f>
        <v>12</v>
      </c>
      <c r="N40" s="31" t="n">
        <f aca="false">IF(M40="","",MATCH(M40,Config!$E$5:$E$9,1))</f>
        <v>3</v>
      </c>
      <c r="O40" s="7" t="str">
        <f aca="false">IF(F40="N/A","N/A",IF(N40="","Not assessed",INDEX(Config!$B$5:$B$9,N40)))</f>
        <v>Medium</v>
      </c>
      <c r="P40" s="32" t="n">
        <v>0</v>
      </c>
      <c r="Q40" s="8"/>
      <c r="R40" s="33"/>
      <c r="S40" s="34" t="n">
        <f aca="false">IF(N40="","",IF(AND(R40="Y",P40&lt;&gt;0),MAX(1,MIN(5,N40+MAX(-Config!$C$27,MIN(Config!$C$27,P40)))),N40))</f>
        <v>3</v>
      </c>
      <c r="T40" s="35" t="str">
        <f aca="false">IF(F40="N/A","N/A",IF(S40="","Not assessed",INDEX(Config!$B$5:$B$9,S40)))</f>
        <v>Medium</v>
      </c>
      <c r="U40" s="7" t="str">
        <f aca="false">IF(P40=0,"None",IF(R40="Y","Applied","Pending HO approval"))</f>
        <v>None</v>
      </c>
      <c r="V40" s="8"/>
    </row>
    <row r="41" customFormat="false" ht="15" hidden="false" customHeight="false" outlineLevel="0" collapsed="false">
      <c r="A41" s="26" t="str">
        <f aca="false">Entities!$A$7</f>
        <v>JO-INV</v>
      </c>
      <c r="B41" s="12" t="str">
        <f aca="false">INDEX(Entities!$B$5:$B$34,MATCH(A41,Entities!$A$5:$A$34,0))</f>
        <v>Al-Arabi Investment Group (AB Invest)</v>
      </c>
      <c r="C41" s="12" t="str">
        <f aca="false">INDEX(Entities!$D$5:$D$34,MATCH(A41,Entities!$A$5:$A$34,0))</f>
        <v>Jordan (home)</v>
      </c>
      <c r="D41" s="12" t="s">
        <v>289</v>
      </c>
      <c r="E41" s="12" t="str">
        <f aca="false">INDEX('Risk Taxonomy'!$B$5:$B$24,MATCH(D41,'Risk Taxonomy'!$A$5:$A$24,0))</f>
        <v>Legal and litigation</v>
      </c>
      <c r="F41" s="7" t="str">
        <f aca="false">IF(D41="RC-04",IF(INDEX(Entities!$G$5:$G$34,MATCH(A41,Entities!$A$5:$A$34,0))="Y","Yes","N/A"),"Yes")</f>
        <v>Yes</v>
      </c>
      <c r="G41" s="24" t="n">
        <v>2</v>
      </c>
      <c r="H41" s="24" t="n">
        <v>4</v>
      </c>
      <c r="I41" s="24" t="n">
        <v>4</v>
      </c>
      <c r="J41" s="24" t="n">
        <v>3</v>
      </c>
      <c r="K41" s="24" t="n">
        <v>4</v>
      </c>
      <c r="L41" s="37" t="n">
        <f aca="false">IF(F41="N/A","",IF(COUNT(H41:K41)=0,"",IF(Config!$C$19="Highest dimension",MAX(H41:K41),ROUND(H41*Config!$C$20+I41*Config!$C$21+J41*Config!$C$22+K41*Config!$C$23,1))))</f>
        <v>4</v>
      </c>
      <c r="M41" s="38" t="n">
        <f aca="false">IF(OR(L41="",G41=""),"",G41*L41)</f>
        <v>8</v>
      </c>
      <c r="N41" s="31" t="n">
        <f aca="false">IF(M41="","",MATCH(M41,Config!$E$5:$E$9,1))</f>
        <v>2</v>
      </c>
      <c r="O41" s="7" t="str">
        <f aca="false">IF(F41="N/A","N/A",IF(N41="","Not assessed",INDEX(Config!$B$5:$B$9,N41)))</f>
        <v>Medium-Low</v>
      </c>
      <c r="P41" s="32" t="n">
        <v>0</v>
      </c>
      <c r="Q41" s="8"/>
      <c r="R41" s="33"/>
      <c r="S41" s="34" t="n">
        <f aca="false">IF(N41="","",IF(AND(R41="Y",P41&lt;&gt;0),MAX(1,MIN(5,N41+MAX(-Config!$C$27,MIN(Config!$C$27,P41)))),N41))</f>
        <v>2</v>
      </c>
      <c r="T41" s="35" t="str">
        <f aca="false">IF(F41="N/A","N/A",IF(S41="","Not assessed",INDEX(Config!$B$5:$B$9,S41)))</f>
        <v>Medium-Low</v>
      </c>
      <c r="U41" s="7" t="str">
        <f aca="false">IF(P41=0,"None",IF(R41="Y","Applied","Pending HO approval"))</f>
        <v>None</v>
      </c>
      <c r="V41" s="8"/>
    </row>
    <row r="42" customFormat="false" ht="15" hidden="false" customHeight="false" outlineLevel="0" collapsed="false">
      <c r="A42" s="26" t="str">
        <f aca="false">Entities!$A$7</f>
        <v>JO-INV</v>
      </c>
      <c r="B42" s="12" t="str">
        <f aca="false">INDEX(Entities!$B$5:$B$34,MATCH(A42,Entities!$A$5:$A$34,0))</f>
        <v>Al-Arabi Investment Group (AB Invest)</v>
      </c>
      <c r="C42" s="12" t="str">
        <f aca="false">INDEX(Entities!$D$5:$D$34,MATCH(A42,Entities!$A$5:$A$34,0))</f>
        <v>Jordan (home)</v>
      </c>
      <c r="D42" s="12" t="s">
        <v>292</v>
      </c>
      <c r="E42" s="12" t="str">
        <f aca="false">INDEX('Risk Taxonomy'!$B$5:$B$24,MATCH(D42,'Risk Taxonomy'!$A$5:$A$24,0))</f>
        <v>Reputational</v>
      </c>
      <c r="F42" s="7" t="str">
        <f aca="false">IF(D42="RC-04",IF(INDEX(Entities!$G$5:$G$34,MATCH(A42,Entities!$A$5:$A$34,0))="Y","Yes","N/A"),"Yes")</f>
        <v>Yes</v>
      </c>
      <c r="G42" s="24" t="n">
        <v>3</v>
      </c>
      <c r="H42" s="24" t="n">
        <v>3</v>
      </c>
      <c r="I42" s="24" t="n">
        <v>2</v>
      </c>
      <c r="J42" s="24" t="n">
        <v>2</v>
      </c>
      <c r="K42" s="24" t="n">
        <v>3</v>
      </c>
      <c r="L42" s="37" t="n">
        <f aca="false">IF(F42="N/A","",IF(COUNT(H42:K42)=0,"",IF(Config!$C$19="Highest dimension",MAX(H42:K42),ROUND(H42*Config!$C$20+I42*Config!$C$21+J42*Config!$C$22+K42*Config!$C$23,1))))</f>
        <v>3</v>
      </c>
      <c r="M42" s="38" t="n">
        <f aca="false">IF(OR(L42="",G42=""),"",G42*L42)</f>
        <v>9</v>
      </c>
      <c r="N42" s="31" t="n">
        <f aca="false">IF(M42="","",MATCH(M42,Config!$E$5:$E$9,1))</f>
        <v>3</v>
      </c>
      <c r="O42" s="7" t="str">
        <f aca="false">IF(F42="N/A","N/A",IF(N42="","Not assessed",INDEX(Config!$B$5:$B$9,N42)))</f>
        <v>Medium</v>
      </c>
      <c r="P42" s="32" t="n">
        <v>0</v>
      </c>
      <c r="Q42" s="8"/>
      <c r="R42" s="33"/>
      <c r="S42" s="34" t="n">
        <f aca="false">IF(N42="","",IF(AND(R42="Y",P42&lt;&gt;0),MAX(1,MIN(5,N42+MAX(-Config!$C$27,MIN(Config!$C$27,P42)))),N42))</f>
        <v>3</v>
      </c>
      <c r="T42" s="35" t="str">
        <f aca="false">IF(F42="N/A","N/A",IF(S42="","Not assessed",INDEX(Config!$B$5:$B$9,S42)))</f>
        <v>Medium</v>
      </c>
      <c r="U42" s="7" t="str">
        <f aca="false">IF(P42=0,"None",IF(R42="Y","Applied","Pending HO approval"))</f>
        <v>None</v>
      </c>
      <c r="V42" s="8"/>
    </row>
    <row r="43" customFormat="false" ht="15" hidden="false" customHeight="false" outlineLevel="0" collapsed="false">
      <c r="A43" s="26" t="str">
        <f aca="false">Entities!$A$7</f>
        <v>JO-INV</v>
      </c>
      <c r="B43" s="12" t="str">
        <f aca="false">INDEX(Entities!$B$5:$B$34,MATCH(A43,Entities!$A$5:$A$34,0))</f>
        <v>Al-Arabi Investment Group (AB Invest)</v>
      </c>
      <c r="C43" s="12" t="str">
        <f aca="false">INDEX(Entities!$D$5:$D$34,MATCH(A43,Entities!$A$5:$A$34,0))</f>
        <v>Jordan (home)</v>
      </c>
      <c r="D43" s="12" t="s">
        <v>295</v>
      </c>
      <c r="E43" s="12" t="str">
        <f aca="false">INDEX('Risk Taxonomy'!$B$5:$B$24,MATCH(D43,'Risk Taxonomy'!$A$5:$A$24,0))</f>
        <v>Strategic, business model and ESG</v>
      </c>
      <c r="F43" s="7" t="str">
        <f aca="false">IF(D43="RC-04",IF(INDEX(Entities!$G$5:$G$34,MATCH(A43,Entities!$A$5:$A$34,0))="Y","Yes","N/A"),"Yes")</f>
        <v>Yes</v>
      </c>
      <c r="G43" s="24" t="n">
        <v>2</v>
      </c>
      <c r="H43" s="24" t="n">
        <v>3</v>
      </c>
      <c r="I43" s="24" t="n">
        <v>3</v>
      </c>
      <c r="J43" s="24" t="n">
        <v>3</v>
      </c>
      <c r="K43" s="24" t="n">
        <v>2</v>
      </c>
      <c r="L43" s="37" t="n">
        <f aca="false">IF(F43="N/A","",IF(COUNT(H43:K43)=0,"",IF(Config!$C$19="Highest dimension",MAX(H43:K43),ROUND(H43*Config!$C$20+I43*Config!$C$21+J43*Config!$C$22+K43*Config!$C$23,1))))</f>
        <v>3</v>
      </c>
      <c r="M43" s="38" t="n">
        <f aca="false">IF(OR(L43="",G43=""),"",G43*L43)</f>
        <v>6</v>
      </c>
      <c r="N43" s="31" t="n">
        <f aca="false">IF(M43="","",MATCH(M43,Config!$E$5:$E$9,1))</f>
        <v>2</v>
      </c>
      <c r="O43" s="7" t="str">
        <f aca="false">IF(F43="N/A","N/A",IF(N43="","Not assessed",INDEX(Config!$B$5:$B$9,N43)))</f>
        <v>Medium-Low</v>
      </c>
      <c r="P43" s="32" t="n">
        <v>0</v>
      </c>
      <c r="Q43" s="8"/>
      <c r="R43" s="33"/>
      <c r="S43" s="34" t="n">
        <f aca="false">IF(N43="","",IF(AND(R43="Y",P43&lt;&gt;0),MAX(1,MIN(5,N43+MAX(-Config!$C$27,MIN(Config!$C$27,P43)))),N43))</f>
        <v>2</v>
      </c>
      <c r="T43" s="35" t="str">
        <f aca="false">IF(F43="N/A","N/A",IF(S43="","Not assessed",INDEX(Config!$B$5:$B$9,S43)))</f>
        <v>Medium-Low</v>
      </c>
      <c r="U43" s="7" t="str">
        <f aca="false">IF(P43=0,"None",IF(R43="Y","Applied","Pending HO approval"))</f>
        <v>None</v>
      </c>
      <c r="V43" s="8"/>
    </row>
    <row r="44" customFormat="false" ht="15" hidden="false" customHeight="false" outlineLevel="0" collapsed="false">
      <c r="A44" s="26" t="str">
        <f aca="false">Entities!$A$8</f>
        <v>JO-INS</v>
      </c>
      <c r="B44" s="12" t="str">
        <f aca="false">INDEX(Entities!$B$5:$B$34,MATCH(A44,Entities!$A$5:$A$34,0))</f>
        <v>Insurance subsidiary – Jordan</v>
      </c>
      <c r="C44" s="12" t="str">
        <f aca="false">INDEX(Entities!$D$5:$D$34,MATCH(A44,Entities!$A$5:$A$34,0))</f>
        <v>Jordan (home)</v>
      </c>
      <c r="D44" s="12" t="s">
        <v>257</v>
      </c>
      <c r="E44" s="12" t="str">
        <f aca="false">INDEX('Risk Taxonomy'!$B$5:$B$24,MATCH(D44,'Risk Taxonomy'!$A$5:$A$24,0))</f>
        <v>Regulatory compliance</v>
      </c>
      <c r="F44" s="7" t="str">
        <f aca="false">IF(D44="RC-04",IF(INDEX(Entities!$G$5:$G$34,MATCH(A44,Entities!$A$5:$A$34,0))="Y","Yes","N/A"),"Yes")</f>
        <v>Yes</v>
      </c>
      <c r="G44" s="24" t="n">
        <v>3</v>
      </c>
      <c r="H44" s="24" t="n">
        <v>3</v>
      </c>
      <c r="I44" s="24" t="n">
        <v>3</v>
      </c>
      <c r="J44" s="24" t="n">
        <v>1</v>
      </c>
      <c r="K44" s="24" t="n">
        <v>2</v>
      </c>
      <c r="L44" s="37" t="n">
        <f aca="false">IF(F44="N/A","",IF(COUNT(H44:K44)=0,"",IF(Config!$C$19="Highest dimension",MAX(H44:K44),ROUND(H44*Config!$C$20+I44*Config!$C$21+J44*Config!$C$22+K44*Config!$C$23,1))))</f>
        <v>3</v>
      </c>
      <c r="M44" s="38" t="n">
        <f aca="false">IF(OR(L44="",G44=""),"",G44*L44)</f>
        <v>9</v>
      </c>
      <c r="N44" s="31" t="n">
        <f aca="false">IF(M44="","",MATCH(M44,Config!$E$5:$E$9,1))</f>
        <v>3</v>
      </c>
      <c r="O44" s="7" t="str">
        <f aca="false">IF(F44="N/A","N/A",IF(N44="","Not assessed",INDEX(Config!$B$5:$B$9,N44)))</f>
        <v>Medium</v>
      </c>
      <c r="P44" s="32" t="n">
        <v>0</v>
      </c>
      <c r="Q44" s="8"/>
      <c r="R44" s="33"/>
      <c r="S44" s="34" t="n">
        <f aca="false">IF(N44="","",IF(AND(R44="Y",P44&lt;&gt;0),MAX(1,MIN(5,N44+MAX(-Config!$C$27,MIN(Config!$C$27,P44)))),N44))</f>
        <v>3</v>
      </c>
      <c r="T44" s="35" t="str">
        <f aca="false">IF(F44="N/A","N/A",IF(S44="","Not assessed",INDEX(Config!$B$5:$B$9,S44)))</f>
        <v>Medium</v>
      </c>
      <c r="U44" s="7" t="str">
        <f aca="false">IF(P44=0,"None",IF(R44="Y","Applied","Pending HO approval"))</f>
        <v>None</v>
      </c>
      <c r="V44" s="8"/>
    </row>
    <row r="45" customFormat="false" ht="15" hidden="false" customHeight="false" outlineLevel="0" collapsed="false">
      <c r="A45" s="26" t="str">
        <f aca="false">Entities!$A$8</f>
        <v>JO-INS</v>
      </c>
      <c r="B45" s="12" t="str">
        <f aca="false">INDEX(Entities!$B$5:$B$34,MATCH(A45,Entities!$A$5:$A$34,0))</f>
        <v>Insurance subsidiary – Jordan</v>
      </c>
      <c r="C45" s="12" t="str">
        <f aca="false">INDEX(Entities!$D$5:$D$34,MATCH(A45,Entities!$A$5:$A$34,0))</f>
        <v>Jordan (home)</v>
      </c>
      <c r="D45" s="12" t="s">
        <v>261</v>
      </c>
      <c r="E45" s="12" t="str">
        <f aca="false">INDEX('Risk Taxonomy'!$B$5:$B$24,MATCH(D45,'Risk Taxonomy'!$A$5:$A$24,0))</f>
        <v>Conduct and consumer protection</v>
      </c>
      <c r="F45" s="7" t="str">
        <f aca="false">IF(D45="RC-04",IF(INDEX(Entities!$G$5:$G$34,MATCH(A45,Entities!$A$5:$A$34,0))="Y","Yes","N/A"),"Yes")</f>
        <v>Yes</v>
      </c>
      <c r="G45" s="24" t="n">
        <v>3</v>
      </c>
      <c r="H45" s="24" t="n">
        <v>2</v>
      </c>
      <c r="I45" s="24" t="n">
        <v>3</v>
      </c>
      <c r="J45" s="24" t="n">
        <v>2</v>
      </c>
      <c r="K45" s="24" t="n">
        <v>3</v>
      </c>
      <c r="L45" s="37" t="n">
        <f aca="false">IF(F45="N/A","",IF(COUNT(H45:K45)=0,"",IF(Config!$C$19="Highest dimension",MAX(H45:K45),ROUND(H45*Config!$C$20+I45*Config!$C$21+J45*Config!$C$22+K45*Config!$C$23,1))))</f>
        <v>3</v>
      </c>
      <c r="M45" s="38" t="n">
        <f aca="false">IF(OR(L45="",G45=""),"",G45*L45)</f>
        <v>9</v>
      </c>
      <c r="N45" s="31" t="n">
        <f aca="false">IF(M45="","",MATCH(M45,Config!$E$5:$E$9,1))</f>
        <v>3</v>
      </c>
      <c r="O45" s="7" t="str">
        <f aca="false">IF(F45="N/A","N/A",IF(N45="","Not assessed",INDEX(Config!$B$5:$B$9,N45)))</f>
        <v>Medium</v>
      </c>
      <c r="P45" s="32" t="n">
        <v>0</v>
      </c>
      <c r="Q45" s="8"/>
      <c r="R45" s="33"/>
      <c r="S45" s="34" t="n">
        <f aca="false">IF(N45="","",IF(AND(R45="Y",P45&lt;&gt;0),MAX(1,MIN(5,N45+MAX(-Config!$C$27,MIN(Config!$C$27,P45)))),N45))</f>
        <v>3</v>
      </c>
      <c r="T45" s="35" t="str">
        <f aca="false">IF(F45="N/A","N/A",IF(S45="","Not assessed",INDEX(Config!$B$5:$B$9,S45)))</f>
        <v>Medium</v>
      </c>
      <c r="U45" s="7" t="str">
        <f aca="false">IF(P45=0,"None",IF(R45="Y","Applied","Pending HO approval"))</f>
        <v>None</v>
      </c>
      <c r="V45" s="8"/>
    </row>
    <row r="46" customFormat="false" ht="15" hidden="false" customHeight="false" outlineLevel="0" collapsed="false">
      <c r="A46" s="26" t="str">
        <f aca="false">Entities!$A$8</f>
        <v>JO-INS</v>
      </c>
      <c r="B46" s="12" t="str">
        <f aca="false">INDEX(Entities!$B$5:$B$34,MATCH(A46,Entities!$A$5:$A$34,0))</f>
        <v>Insurance subsidiary – Jordan</v>
      </c>
      <c r="C46" s="12" t="str">
        <f aca="false">INDEX(Entities!$D$5:$D$34,MATCH(A46,Entities!$A$5:$A$34,0))</f>
        <v>Jordan (home)</v>
      </c>
      <c r="D46" s="12" t="s">
        <v>263</v>
      </c>
      <c r="E46" s="12" t="str">
        <f aca="false">INDEX('Risk Taxonomy'!$B$5:$B$24,MATCH(D46,'Risk Taxonomy'!$A$5:$A$24,0))</f>
        <v>Data protection and privacy</v>
      </c>
      <c r="F46" s="7" t="str">
        <f aca="false">IF(D46="RC-04",IF(INDEX(Entities!$G$5:$G$34,MATCH(A46,Entities!$A$5:$A$34,0))="Y","Yes","N/A"),"Yes")</f>
        <v>Yes</v>
      </c>
      <c r="G46" s="24" t="n">
        <v>4</v>
      </c>
      <c r="H46" s="24" t="n">
        <v>2</v>
      </c>
      <c r="I46" s="24" t="n">
        <v>4</v>
      </c>
      <c r="J46" s="24" t="n">
        <v>3</v>
      </c>
      <c r="K46" s="24" t="n">
        <v>2</v>
      </c>
      <c r="L46" s="37" t="n">
        <f aca="false">IF(F46="N/A","",IF(COUNT(H46:K46)=0,"",IF(Config!$C$19="Highest dimension",MAX(H46:K46),ROUND(H46*Config!$C$20+I46*Config!$C$21+J46*Config!$C$22+K46*Config!$C$23,1))))</f>
        <v>4</v>
      </c>
      <c r="M46" s="38" t="n">
        <f aca="false">IF(OR(L46="",G46=""),"",G46*L46)</f>
        <v>16</v>
      </c>
      <c r="N46" s="31" t="n">
        <f aca="false">IF(M46="","",MATCH(M46,Config!$E$5:$E$9,1))</f>
        <v>4</v>
      </c>
      <c r="O46" s="7" t="str">
        <f aca="false">IF(F46="N/A","N/A",IF(N46="","Not assessed",INDEX(Config!$B$5:$B$9,N46)))</f>
        <v>Medium-High</v>
      </c>
      <c r="P46" s="32" t="n">
        <v>0</v>
      </c>
      <c r="Q46" s="8"/>
      <c r="R46" s="33"/>
      <c r="S46" s="34" t="n">
        <f aca="false">IF(N46="","",IF(AND(R46="Y",P46&lt;&gt;0),MAX(1,MIN(5,N46+MAX(-Config!$C$27,MIN(Config!$C$27,P46)))),N46))</f>
        <v>4</v>
      </c>
      <c r="T46" s="35" t="str">
        <f aca="false">IF(F46="N/A","N/A",IF(S46="","Not assessed",INDEX(Config!$B$5:$B$9,S46)))</f>
        <v>Medium-High</v>
      </c>
      <c r="U46" s="7" t="str">
        <f aca="false">IF(P46=0,"None",IF(R46="Y","Applied","Pending HO approval"))</f>
        <v>None</v>
      </c>
      <c r="V46" s="8"/>
    </row>
    <row r="47" customFormat="false" ht="15" hidden="false" customHeight="false" outlineLevel="0" collapsed="false">
      <c r="A47" s="26" t="str">
        <f aca="false">Entities!$A$8</f>
        <v>JO-INS</v>
      </c>
      <c r="B47" s="12" t="str">
        <f aca="false">INDEX(Entities!$B$5:$B$34,MATCH(A47,Entities!$A$5:$A$34,0))</f>
        <v>Insurance subsidiary – Jordan</v>
      </c>
      <c r="C47" s="12" t="str">
        <f aca="false">INDEX(Entities!$D$5:$D$34,MATCH(A47,Entities!$A$5:$A$34,0))</f>
        <v>Jordan (home)</v>
      </c>
      <c r="D47" s="12" t="s">
        <v>266</v>
      </c>
      <c r="E47" s="12" t="str">
        <f aca="false">INDEX('Risk Taxonomy'!$B$5:$B$24,MATCH(D47,'Risk Taxonomy'!$A$5:$A$24,0))</f>
        <v>Shariah non-compliance</v>
      </c>
      <c r="F47" s="7" t="str">
        <f aca="false">IF(D47="RC-04",IF(INDEX(Entities!$G$5:$G$34,MATCH(A47,Entities!$A$5:$A$34,0))="Y","Yes","N/A"),"Yes")</f>
        <v>N/A</v>
      </c>
      <c r="G47" s="24"/>
      <c r="H47" s="24"/>
      <c r="I47" s="24"/>
      <c r="J47" s="24"/>
      <c r="K47" s="24"/>
      <c r="L47" s="37" t="str">
        <f aca="false">IF(F47="N/A","",IF(COUNT(H47:K47)=0,"",IF(Config!$C$19="Highest dimension",MAX(H47:K47),ROUND(H47*Config!$C$20+I47*Config!$C$21+J47*Config!$C$22+K47*Config!$C$23,1))))</f>
        <v/>
      </c>
      <c r="M47" s="38" t="str">
        <f aca="false">IF(OR(L47="",G47=""),"",G47*L47)</f>
        <v/>
      </c>
      <c r="N47" s="31" t="str">
        <f aca="false">IF(M47="","",MATCH(M47,Config!$E$5:$E$9,1))</f>
        <v/>
      </c>
      <c r="O47" s="7" t="str">
        <f aca="false">IF(F47="N/A","N/A",IF(N47="","Not assessed",INDEX(Config!$B$5:$B$9,N47)))</f>
        <v>N/A</v>
      </c>
      <c r="P47" s="32" t="n">
        <v>0</v>
      </c>
      <c r="Q47" s="8"/>
      <c r="R47" s="33"/>
      <c r="S47" s="34" t="str">
        <f aca="false">IF(N47="","",IF(AND(R47="Y",P47&lt;&gt;0),MAX(1,MIN(5,N47+MAX(-Config!$C$27,MIN(Config!$C$27,P47)))),N47))</f>
        <v/>
      </c>
      <c r="T47" s="35" t="str">
        <f aca="false">IF(F47="N/A","N/A",IF(S47="","Not assessed",INDEX(Config!$B$5:$B$9,S47)))</f>
        <v>N/A</v>
      </c>
      <c r="U47" s="7" t="str">
        <f aca="false">IF(P47=0,"None",IF(R47="Y","Applied","Pending HO approval"))</f>
        <v>None</v>
      </c>
      <c r="V47" s="8"/>
    </row>
    <row r="48" customFormat="false" ht="15" hidden="false" customHeight="false" outlineLevel="0" collapsed="false">
      <c r="A48" s="26" t="str">
        <f aca="false">Entities!$A$8</f>
        <v>JO-INS</v>
      </c>
      <c r="B48" s="12" t="str">
        <f aca="false">INDEX(Entities!$B$5:$B$34,MATCH(A48,Entities!$A$5:$A$34,0))</f>
        <v>Insurance subsidiary – Jordan</v>
      </c>
      <c r="C48" s="12" t="str">
        <f aca="false">INDEX(Entities!$D$5:$D$34,MATCH(A48,Entities!$A$5:$A$34,0))</f>
        <v>Jordan (home)</v>
      </c>
      <c r="D48" s="12" t="s">
        <v>270</v>
      </c>
      <c r="E48" s="12" t="str">
        <f aca="false">INDEX('Risk Taxonomy'!$B$5:$B$24,MATCH(D48,'Risk Taxonomy'!$A$5:$A$24,0))</f>
        <v>Credit risk</v>
      </c>
      <c r="F48" s="7" t="str">
        <f aca="false">IF(D48="RC-04",IF(INDEX(Entities!$G$5:$G$34,MATCH(A48,Entities!$A$5:$A$34,0))="Y","Yes","N/A"),"Yes")</f>
        <v>Yes</v>
      </c>
      <c r="G48" s="24" t="n">
        <v>3</v>
      </c>
      <c r="H48" s="24" t="n">
        <v>2</v>
      </c>
      <c r="I48" s="24" t="n">
        <v>2</v>
      </c>
      <c r="J48" s="24" t="n">
        <v>3</v>
      </c>
      <c r="K48" s="24" t="n">
        <v>3</v>
      </c>
      <c r="L48" s="37" t="n">
        <f aca="false">IF(F48="N/A","",IF(COUNT(H48:K48)=0,"",IF(Config!$C$19="Highest dimension",MAX(H48:K48),ROUND(H48*Config!$C$20+I48*Config!$C$21+J48*Config!$C$22+K48*Config!$C$23,1))))</f>
        <v>3</v>
      </c>
      <c r="M48" s="38" t="n">
        <f aca="false">IF(OR(L48="",G48=""),"",G48*L48)</f>
        <v>9</v>
      </c>
      <c r="N48" s="31" t="n">
        <f aca="false">IF(M48="","",MATCH(M48,Config!$E$5:$E$9,1))</f>
        <v>3</v>
      </c>
      <c r="O48" s="7" t="str">
        <f aca="false">IF(F48="N/A","N/A",IF(N48="","Not assessed",INDEX(Config!$B$5:$B$9,N48)))</f>
        <v>Medium</v>
      </c>
      <c r="P48" s="32" t="n">
        <v>0</v>
      </c>
      <c r="Q48" s="8"/>
      <c r="R48" s="33"/>
      <c r="S48" s="34" t="n">
        <f aca="false">IF(N48="","",IF(AND(R48="Y",P48&lt;&gt;0),MAX(1,MIN(5,N48+MAX(-Config!$C$27,MIN(Config!$C$27,P48)))),N48))</f>
        <v>3</v>
      </c>
      <c r="T48" s="35" t="str">
        <f aca="false">IF(F48="N/A","N/A",IF(S48="","Not assessed",INDEX(Config!$B$5:$B$9,S48)))</f>
        <v>Medium</v>
      </c>
      <c r="U48" s="7" t="str">
        <f aca="false">IF(P48=0,"None",IF(R48="Y","Applied","Pending HO approval"))</f>
        <v>None</v>
      </c>
      <c r="V48" s="8"/>
    </row>
    <row r="49" customFormat="false" ht="15" hidden="false" customHeight="false" outlineLevel="0" collapsed="false">
      <c r="A49" s="26" t="str">
        <f aca="false">Entities!$A$8</f>
        <v>JO-INS</v>
      </c>
      <c r="B49" s="12" t="str">
        <f aca="false">INDEX(Entities!$B$5:$B$34,MATCH(A49,Entities!$A$5:$A$34,0))</f>
        <v>Insurance subsidiary – Jordan</v>
      </c>
      <c r="C49" s="12" t="str">
        <f aca="false">INDEX(Entities!$D$5:$D$34,MATCH(A49,Entities!$A$5:$A$34,0))</f>
        <v>Jordan (home)</v>
      </c>
      <c r="D49" s="12" t="s">
        <v>275</v>
      </c>
      <c r="E49" s="12" t="str">
        <f aca="false">INDEX('Risk Taxonomy'!$B$5:$B$24,MATCH(D49,'Risk Taxonomy'!$A$5:$A$24,0))</f>
        <v>Market risk</v>
      </c>
      <c r="F49" s="7" t="str">
        <f aca="false">IF(D49="RC-04",IF(INDEX(Entities!$G$5:$G$34,MATCH(A49,Entities!$A$5:$A$34,0))="Y","Yes","N/A"),"Yes")</f>
        <v>Yes</v>
      </c>
      <c r="G49" s="24" t="n">
        <v>3</v>
      </c>
      <c r="H49" s="24" t="n">
        <v>4</v>
      </c>
      <c r="I49" s="24" t="n">
        <v>3</v>
      </c>
      <c r="J49" s="24" t="n">
        <v>4</v>
      </c>
      <c r="K49" s="24" t="n">
        <v>2</v>
      </c>
      <c r="L49" s="37" t="n">
        <f aca="false">IF(F49="N/A","",IF(COUNT(H49:K49)=0,"",IF(Config!$C$19="Highest dimension",MAX(H49:K49),ROUND(H49*Config!$C$20+I49*Config!$C$21+J49*Config!$C$22+K49*Config!$C$23,1))))</f>
        <v>4</v>
      </c>
      <c r="M49" s="38" t="n">
        <f aca="false">IF(OR(L49="",G49=""),"",G49*L49)</f>
        <v>12</v>
      </c>
      <c r="N49" s="31" t="n">
        <f aca="false">IF(M49="","",MATCH(M49,Config!$E$5:$E$9,1))</f>
        <v>3</v>
      </c>
      <c r="O49" s="7" t="str">
        <f aca="false">IF(F49="N/A","N/A",IF(N49="","Not assessed",INDEX(Config!$B$5:$B$9,N49)))</f>
        <v>Medium</v>
      </c>
      <c r="P49" s="32" t="n">
        <v>0</v>
      </c>
      <c r="Q49" s="8"/>
      <c r="R49" s="33"/>
      <c r="S49" s="34" t="n">
        <f aca="false">IF(N49="","",IF(AND(R49="Y",P49&lt;&gt;0),MAX(1,MIN(5,N49+MAX(-Config!$C$27,MIN(Config!$C$27,P49)))),N49))</f>
        <v>3</v>
      </c>
      <c r="T49" s="35" t="str">
        <f aca="false">IF(F49="N/A","N/A",IF(S49="","Not assessed",INDEX(Config!$B$5:$B$9,S49)))</f>
        <v>Medium</v>
      </c>
      <c r="U49" s="7" t="str">
        <f aca="false">IF(P49=0,"None",IF(R49="Y","Applied","Pending HO approval"))</f>
        <v>None</v>
      </c>
      <c r="V49" s="8"/>
    </row>
    <row r="50" customFormat="false" ht="15" hidden="false" customHeight="false" outlineLevel="0" collapsed="false">
      <c r="A50" s="26" t="str">
        <f aca="false">Entities!$A$8</f>
        <v>JO-INS</v>
      </c>
      <c r="B50" s="12" t="str">
        <f aca="false">INDEX(Entities!$B$5:$B$34,MATCH(A50,Entities!$A$5:$A$34,0))</f>
        <v>Insurance subsidiary – Jordan</v>
      </c>
      <c r="C50" s="12" t="str">
        <f aca="false">INDEX(Entities!$D$5:$D$34,MATCH(A50,Entities!$A$5:$A$34,0))</f>
        <v>Jordan (home)</v>
      </c>
      <c r="D50" s="12" t="s">
        <v>277</v>
      </c>
      <c r="E50" s="12" t="str">
        <f aca="false">INDEX('Risk Taxonomy'!$B$5:$B$24,MATCH(D50,'Risk Taxonomy'!$A$5:$A$24,0))</f>
        <v>Liquidity and funding risk</v>
      </c>
      <c r="F50" s="7" t="str">
        <f aca="false">IF(D50="RC-04",IF(INDEX(Entities!$G$5:$G$34,MATCH(A50,Entities!$A$5:$A$34,0))="Y","Yes","N/A"),"Yes")</f>
        <v>Yes</v>
      </c>
      <c r="G50" s="24" t="n">
        <v>3</v>
      </c>
      <c r="H50" s="24" t="n">
        <v>3</v>
      </c>
      <c r="I50" s="24" t="n">
        <v>3</v>
      </c>
      <c r="J50" s="24" t="n">
        <v>4</v>
      </c>
      <c r="K50" s="24" t="n">
        <v>2</v>
      </c>
      <c r="L50" s="37" t="n">
        <f aca="false">IF(F50="N/A","",IF(COUNT(H50:K50)=0,"",IF(Config!$C$19="Highest dimension",MAX(H50:K50),ROUND(H50*Config!$C$20+I50*Config!$C$21+J50*Config!$C$22+K50*Config!$C$23,1))))</f>
        <v>4</v>
      </c>
      <c r="M50" s="38" t="n">
        <f aca="false">IF(OR(L50="",G50=""),"",G50*L50)</f>
        <v>12</v>
      </c>
      <c r="N50" s="31" t="n">
        <f aca="false">IF(M50="","",MATCH(M50,Config!$E$5:$E$9,1))</f>
        <v>3</v>
      </c>
      <c r="O50" s="7" t="str">
        <f aca="false">IF(F50="N/A","N/A",IF(N50="","Not assessed",INDEX(Config!$B$5:$B$9,N50)))</f>
        <v>Medium</v>
      </c>
      <c r="P50" s="32" t="n">
        <v>0</v>
      </c>
      <c r="Q50" s="8"/>
      <c r="R50" s="33"/>
      <c r="S50" s="34" t="n">
        <f aca="false">IF(N50="","",IF(AND(R50="Y",P50&lt;&gt;0),MAX(1,MIN(5,N50+MAX(-Config!$C$27,MIN(Config!$C$27,P50)))),N50))</f>
        <v>3</v>
      </c>
      <c r="T50" s="35" t="str">
        <f aca="false">IF(F50="N/A","N/A",IF(S50="","Not assessed",INDEX(Config!$B$5:$B$9,S50)))</f>
        <v>Medium</v>
      </c>
      <c r="U50" s="7" t="str">
        <f aca="false">IF(P50=0,"None",IF(R50="Y","Applied","Pending HO approval"))</f>
        <v>None</v>
      </c>
      <c r="V50" s="8"/>
    </row>
    <row r="51" customFormat="false" ht="15" hidden="false" customHeight="false" outlineLevel="0" collapsed="false">
      <c r="A51" s="26" t="str">
        <f aca="false">Entities!$A$8</f>
        <v>JO-INS</v>
      </c>
      <c r="B51" s="12" t="str">
        <f aca="false">INDEX(Entities!$B$5:$B$34,MATCH(A51,Entities!$A$5:$A$34,0))</f>
        <v>Insurance subsidiary – Jordan</v>
      </c>
      <c r="C51" s="12" t="str">
        <f aca="false">INDEX(Entities!$D$5:$D$34,MATCH(A51,Entities!$A$5:$A$34,0))</f>
        <v>Jordan (home)</v>
      </c>
      <c r="D51" s="12" t="s">
        <v>280</v>
      </c>
      <c r="E51" s="12" t="str">
        <f aca="false">INDEX('Risk Taxonomy'!$B$5:$B$24,MATCH(D51,'Risk Taxonomy'!$A$5:$A$24,0))</f>
        <v>Operational risk</v>
      </c>
      <c r="F51" s="7" t="str">
        <f aca="false">IF(D51="RC-04",IF(INDEX(Entities!$G$5:$G$34,MATCH(A51,Entities!$A$5:$A$34,0))="Y","Yes","N/A"),"Yes")</f>
        <v>Yes</v>
      </c>
      <c r="G51" s="24" t="n">
        <v>4</v>
      </c>
      <c r="H51" s="24" t="n">
        <v>3</v>
      </c>
      <c r="I51" s="24" t="n">
        <v>2</v>
      </c>
      <c r="J51" s="24" t="n">
        <v>2</v>
      </c>
      <c r="K51" s="24" t="n">
        <v>3</v>
      </c>
      <c r="L51" s="37" t="n">
        <f aca="false">IF(F51="N/A","",IF(COUNT(H51:K51)=0,"",IF(Config!$C$19="Highest dimension",MAX(H51:K51),ROUND(H51*Config!$C$20+I51*Config!$C$21+J51*Config!$C$22+K51*Config!$C$23,1))))</f>
        <v>3</v>
      </c>
      <c r="M51" s="38" t="n">
        <f aca="false">IF(OR(L51="",G51=""),"",G51*L51)</f>
        <v>12</v>
      </c>
      <c r="N51" s="31" t="n">
        <f aca="false">IF(M51="","",MATCH(M51,Config!$E$5:$E$9,1))</f>
        <v>3</v>
      </c>
      <c r="O51" s="7" t="str">
        <f aca="false">IF(F51="N/A","N/A",IF(N51="","Not assessed",INDEX(Config!$B$5:$B$9,N51)))</f>
        <v>Medium</v>
      </c>
      <c r="P51" s="32" t="n">
        <v>0</v>
      </c>
      <c r="Q51" s="8"/>
      <c r="R51" s="33"/>
      <c r="S51" s="34" t="n">
        <f aca="false">IF(N51="","",IF(AND(R51="Y",P51&lt;&gt;0),MAX(1,MIN(5,N51+MAX(-Config!$C$27,MIN(Config!$C$27,P51)))),N51))</f>
        <v>3</v>
      </c>
      <c r="T51" s="35" t="str">
        <f aca="false">IF(F51="N/A","N/A",IF(S51="","Not assessed",INDEX(Config!$B$5:$B$9,S51)))</f>
        <v>Medium</v>
      </c>
      <c r="U51" s="7" t="str">
        <f aca="false">IF(P51=0,"None",IF(R51="Y","Applied","Pending HO approval"))</f>
        <v>None</v>
      </c>
      <c r="V51" s="8"/>
    </row>
    <row r="52" customFormat="false" ht="15" hidden="false" customHeight="false" outlineLevel="0" collapsed="false">
      <c r="A52" s="26" t="str">
        <f aca="false">Entities!$A$8</f>
        <v>JO-INS</v>
      </c>
      <c r="B52" s="12" t="str">
        <f aca="false">INDEX(Entities!$B$5:$B$34,MATCH(A52,Entities!$A$5:$A$34,0))</f>
        <v>Insurance subsidiary – Jordan</v>
      </c>
      <c r="C52" s="12" t="str">
        <f aca="false">INDEX(Entities!$D$5:$D$34,MATCH(A52,Entities!$A$5:$A$34,0))</f>
        <v>Jordan (home)</v>
      </c>
      <c r="D52" s="12" t="s">
        <v>283</v>
      </c>
      <c r="E52" s="12" t="str">
        <f aca="false">INDEX('Risk Taxonomy'!$B$5:$B$24,MATCH(D52,'Risk Taxonomy'!$A$5:$A$24,0))</f>
        <v>Cyber, information security and technology</v>
      </c>
      <c r="F52" s="7" t="str">
        <f aca="false">IF(D52="RC-04",IF(INDEX(Entities!$G$5:$G$34,MATCH(A52,Entities!$A$5:$A$34,0))="Y","Yes","N/A"),"Yes")</f>
        <v>Yes</v>
      </c>
      <c r="G52" s="24" t="n">
        <v>3</v>
      </c>
      <c r="H52" s="24" t="n">
        <v>3</v>
      </c>
      <c r="I52" s="24" t="n">
        <v>3</v>
      </c>
      <c r="J52" s="24" t="n">
        <v>2</v>
      </c>
      <c r="K52" s="24" t="n">
        <v>4</v>
      </c>
      <c r="L52" s="37" t="n">
        <f aca="false">IF(F52="N/A","",IF(COUNT(H52:K52)=0,"",IF(Config!$C$19="Highest dimension",MAX(H52:K52),ROUND(H52*Config!$C$20+I52*Config!$C$21+J52*Config!$C$22+K52*Config!$C$23,1))))</f>
        <v>4</v>
      </c>
      <c r="M52" s="38" t="n">
        <f aca="false">IF(OR(L52="",G52=""),"",G52*L52)</f>
        <v>12</v>
      </c>
      <c r="N52" s="31" t="n">
        <f aca="false">IF(M52="","",MATCH(M52,Config!$E$5:$E$9,1))</f>
        <v>3</v>
      </c>
      <c r="O52" s="7" t="str">
        <f aca="false">IF(F52="N/A","N/A",IF(N52="","Not assessed",INDEX(Config!$B$5:$B$9,N52)))</f>
        <v>Medium</v>
      </c>
      <c r="P52" s="32" t="n">
        <v>0</v>
      </c>
      <c r="Q52" s="8"/>
      <c r="R52" s="33"/>
      <c r="S52" s="34" t="n">
        <f aca="false">IF(N52="","",IF(AND(R52="Y",P52&lt;&gt;0),MAX(1,MIN(5,N52+MAX(-Config!$C$27,MIN(Config!$C$27,P52)))),N52))</f>
        <v>3</v>
      </c>
      <c r="T52" s="35" t="str">
        <f aca="false">IF(F52="N/A","N/A",IF(S52="","Not assessed",INDEX(Config!$B$5:$B$9,S52)))</f>
        <v>Medium</v>
      </c>
      <c r="U52" s="7" t="str">
        <f aca="false">IF(P52=0,"None",IF(R52="Y","Applied","Pending HO approval"))</f>
        <v>None</v>
      </c>
      <c r="V52" s="8"/>
    </row>
    <row r="53" customFormat="false" ht="15" hidden="false" customHeight="false" outlineLevel="0" collapsed="false">
      <c r="A53" s="26" t="str">
        <f aca="false">Entities!$A$8</f>
        <v>JO-INS</v>
      </c>
      <c r="B53" s="12" t="str">
        <f aca="false">INDEX(Entities!$B$5:$B$34,MATCH(A53,Entities!$A$5:$A$34,0))</f>
        <v>Insurance subsidiary – Jordan</v>
      </c>
      <c r="C53" s="12" t="str">
        <f aca="false">INDEX(Entities!$D$5:$D$34,MATCH(A53,Entities!$A$5:$A$34,0))</f>
        <v>Jordan (home)</v>
      </c>
      <c r="D53" s="12" t="s">
        <v>286</v>
      </c>
      <c r="E53" s="12" t="str">
        <f aca="false">INDEX('Risk Taxonomy'!$B$5:$B$24,MATCH(D53,'Risk Taxonomy'!$A$5:$A$24,0))</f>
        <v>Third-party and outsourcing</v>
      </c>
      <c r="F53" s="7" t="str">
        <f aca="false">IF(D53="RC-04",IF(INDEX(Entities!$G$5:$G$34,MATCH(A53,Entities!$A$5:$A$34,0))="Y","Yes","N/A"),"Yes")</f>
        <v>Yes</v>
      </c>
      <c r="G53" s="24" t="n">
        <v>3</v>
      </c>
      <c r="H53" s="24" t="n">
        <v>4</v>
      </c>
      <c r="I53" s="24" t="n">
        <v>3</v>
      </c>
      <c r="J53" s="24" t="n">
        <v>2</v>
      </c>
      <c r="K53" s="24" t="n">
        <v>2</v>
      </c>
      <c r="L53" s="37" t="n">
        <f aca="false">IF(F53="N/A","",IF(COUNT(H53:K53)=0,"",IF(Config!$C$19="Highest dimension",MAX(H53:K53),ROUND(H53*Config!$C$20+I53*Config!$C$21+J53*Config!$C$22+K53*Config!$C$23,1))))</f>
        <v>4</v>
      </c>
      <c r="M53" s="38" t="n">
        <f aca="false">IF(OR(L53="",G53=""),"",G53*L53)</f>
        <v>12</v>
      </c>
      <c r="N53" s="31" t="n">
        <f aca="false">IF(M53="","",MATCH(M53,Config!$E$5:$E$9,1))</f>
        <v>3</v>
      </c>
      <c r="O53" s="7" t="str">
        <f aca="false">IF(F53="N/A","N/A",IF(N53="","Not assessed",INDEX(Config!$B$5:$B$9,N53)))</f>
        <v>Medium</v>
      </c>
      <c r="P53" s="32" t="n">
        <v>0</v>
      </c>
      <c r="Q53" s="8"/>
      <c r="R53" s="33"/>
      <c r="S53" s="34" t="n">
        <f aca="false">IF(N53="","",IF(AND(R53="Y",P53&lt;&gt;0),MAX(1,MIN(5,N53+MAX(-Config!$C$27,MIN(Config!$C$27,P53)))),N53))</f>
        <v>3</v>
      </c>
      <c r="T53" s="35" t="str">
        <f aca="false">IF(F53="N/A","N/A",IF(S53="","Not assessed",INDEX(Config!$B$5:$B$9,S53)))</f>
        <v>Medium</v>
      </c>
      <c r="U53" s="7" t="str">
        <f aca="false">IF(P53=0,"None",IF(R53="Y","Applied","Pending HO approval"))</f>
        <v>None</v>
      </c>
      <c r="V53" s="8"/>
    </row>
    <row r="54" customFormat="false" ht="15" hidden="false" customHeight="false" outlineLevel="0" collapsed="false">
      <c r="A54" s="26" t="str">
        <f aca="false">Entities!$A$8</f>
        <v>JO-INS</v>
      </c>
      <c r="B54" s="12" t="str">
        <f aca="false">INDEX(Entities!$B$5:$B$34,MATCH(A54,Entities!$A$5:$A$34,0))</f>
        <v>Insurance subsidiary – Jordan</v>
      </c>
      <c r="C54" s="12" t="str">
        <f aca="false">INDEX(Entities!$D$5:$D$34,MATCH(A54,Entities!$A$5:$A$34,0))</f>
        <v>Jordan (home)</v>
      </c>
      <c r="D54" s="12" t="s">
        <v>289</v>
      </c>
      <c r="E54" s="12" t="str">
        <f aca="false">INDEX('Risk Taxonomy'!$B$5:$B$24,MATCH(D54,'Risk Taxonomy'!$A$5:$A$24,0))</f>
        <v>Legal and litigation</v>
      </c>
      <c r="F54" s="7" t="str">
        <f aca="false">IF(D54="RC-04",IF(INDEX(Entities!$G$5:$G$34,MATCH(A54,Entities!$A$5:$A$34,0))="Y","Yes","N/A"),"Yes")</f>
        <v>Yes</v>
      </c>
      <c r="G54" s="24" t="n">
        <v>4</v>
      </c>
      <c r="H54" s="24" t="n">
        <v>3</v>
      </c>
      <c r="I54" s="24" t="n">
        <v>2</v>
      </c>
      <c r="J54" s="24" t="n">
        <v>3</v>
      </c>
      <c r="K54" s="24" t="n">
        <v>2</v>
      </c>
      <c r="L54" s="37" t="n">
        <f aca="false">IF(F54="N/A","",IF(COUNT(H54:K54)=0,"",IF(Config!$C$19="Highest dimension",MAX(H54:K54),ROUND(H54*Config!$C$20+I54*Config!$C$21+J54*Config!$C$22+K54*Config!$C$23,1))))</f>
        <v>3</v>
      </c>
      <c r="M54" s="38" t="n">
        <f aca="false">IF(OR(L54="",G54=""),"",G54*L54)</f>
        <v>12</v>
      </c>
      <c r="N54" s="31" t="n">
        <f aca="false">IF(M54="","",MATCH(M54,Config!$E$5:$E$9,1))</f>
        <v>3</v>
      </c>
      <c r="O54" s="7" t="str">
        <f aca="false">IF(F54="N/A","N/A",IF(N54="","Not assessed",INDEX(Config!$B$5:$B$9,N54)))</f>
        <v>Medium</v>
      </c>
      <c r="P54" s="32" t="n">
        <v>0</v>
      </c>
      <c r="Q54" s="8"/>
      <c r="R54" s="33"/>
      <c r="S54" s="34" t="n">
        <f aca="false">IF(N54="","",IF(AND(R54="Y",P54&lt;&gt;0),MAX(1,MIN(5,N54+MAX(-Config!$C$27,MIN(Config!$C$27,P54)))),N54))</f>
        <v>3</v>
      </c>
      <c r="T54" s="35" t="str">
        <f aca="false">IF(F54="N/A","N/A",IF(S54="","Not assessed",INDEX(Config!$B$5:$B$9,S54)))</f>
        <v>Medium</v>
      </c>
      <c r="U54" s="7" t="str">
        <f aca="false">IF(P54=0,"None",IF(R54="Y","Applied","Pending HO approval"))</f>
        <v>None</v>
      </c>
      <c r="V54" s="8"/>
    </row>
    <row r="55" customFormat="false" ht="15" hidden="false" customHeight="false" outlineLevel="0" collapsed="false">
      <c r="A55" s="26" t="str">
        <f aca="false">Entities!$A$8</f>
        <v>JO-INS</v>
      </c>
      <c r="B55" s="12" t="str">
        <f aca="false">INDEX(Entities!$B$5:$B$34,MATCH(A55,Entities!$A$5:$A$34,0))</f>
        <v>Insurance subsidiary – Jordan</v>
      </c>
      <c r="C55" s="12" t="str">
        <f aca="false">INDEX(Entities!$D$5:$D$34,MATCH(A55,Entities!$A$5:$A$34,0))</f>
        <v>Jordan (home)</v>
      </c>
      <c r="D55" s="12" t="s">
        <v>292</v>
      </c>
      <c r="E55" s="12" t="str">
        <f aca="false">INDEX('Risk Taxonomy'!$B$5:$B$24,MATCH(D55,'Risk Taxonomy'!$A$5:$A$24,0))</f>
        <v>Reputational</v>
      </c>
      <c r="F55" s="7" t="str">
        <f aca="false">IF(D55="RC-04",IF(INDEX(Entities!$G$5:$G$34,MATCH(A55,Entities!$A$5:$A$34,0))="Y","Yes","N/A"),"Yes")</f>
        <v>Yes</v>
      </c>
      <c r="G55" s="24" t="n">
        <v>3</v>
      </c>
      <c r="H55" s="24" t="n">
        <v>3</v>
      </c>
      <c r="I55" s="24" t="n">
        <v>3</v>
      </c>
      <c r="J55" s="24" t="n">
        <v>1</v>
      </c>
      <c r="K55" s="24" t="n">
        <v>2</v>
      </c>
      <c r="L55" s="37" t="n">
        <f aca="false">IF(F55="N/A","",IF(COUNT(H55:K55)=0,"",IF(Config!$C$19="Highest dimension",MAX(H55:K55),ROUND(H55*Config!$C$20+I55*Config!$C$21+J55*Config!$C$22+K55*Config!$C$23,1))))</f>
        <v>3</v>
      </c>
      <c r="M55" s="38" t="n">
        <f aca="false">IF(OR(L55="",G55=""),"",G55*L55)</f>
        <v>9</v>
      </c>
      <c r="N55" s="31" t="n">
        <f aca="false">IF(M55="","",MATCH(M55,Config!$E$5:$E$9,1))</f>
        <v>3</v>
      </c>
      <c r="O55" s="7" t="str">
        <f aca="false">IF(F55="N/A","N/A",IF(N55="","Not assessed",INDEX(Config!$B$5:$B$9,N55)))</f>
        <v>Medium</v>
      </c>
      <c r="P55" s="32" t="n">
        <v>0</v>
      </c>
      <c r="Q55" s="8"/>
      <c r="R55" s="33"/>
      <c r="S55" s="34" t="n">
        <f aca="false">IF(N55="","",IF(AND(R55="Y",P55&lt;&gt;0),MAX(1,MIN(5,N55+MAX(-Config!$C$27,MIN(Config!$C$27,P55)))),N55))</f>
        <v>3</v>
      </c>
      <c r="T55" s="35" t="str">
        <f aca="false">IF(F55="N/A","N/A",IF(S55="","Not assessed",INDEX(Config!$B$5:$B$9,S55)))</f>
        <v>Medium</v>
      </c>
      <c r="U55" s="7" t="str">
        <f aca="false">IF(P55=0,"None",IF(R55="Y","Applied","Pending HO approval"))</f>
        <v>None</v>
      </c>
      <c r="V55" s="8"/>
    </row>
    <row r="56" customFormat="false" ht="15" hidden="false" customHeight="false" outlineLevel="0" collapsed="false">
      <c r="A56" s="26" t="str">
        <f aca="false">Entities!$A$8</f>
        <v>JO-INS</v>
      </c>
      <c r="B56" s="12" t="str">
        <f aca="false">INDEX(Entities!$B$5:$B$34,MATCH(A56,Entities!$A$5:$A$34,0))</f>
        <v>Insurance subsidiary – Jordan</v>
      </c>
      <c r="C56" s="12" t="str">
        <f aca="false">INDEX(Entities!$D$5:$D$34,MATCH(A56,Entities!$A$5:$A$34,0))</f>
        <v>Jordan (home)</v>
      </c>
      <c r="D56" s="12" t="s">
        <v>295</v>
      </c>
      <c r="E56" s="12" t="str">
        <f aca="false">INDEX('Risk Taxonomy'!$B$5:$B$24,MATCH(D56,'Risk Taxonomy'!$A$5:$A$24,0))</f>
        <v>Strategic, business model and ESG</v>
      </c>
      <c r="F56" s="7" t="str">
        <f aca="false">IF(D56="RC-04",IF(INDEX(Entities!$G$5:$G$34,MATCH(A56,Entities!$A$5:$A$34,0))="Y","Yes","N/A"),"Yes")</f>
        <v>Yes</v>
      </c>
      <c r="G56" s="24" t="n">
        <v>2</v>
      </c>
      <c r="H56" s="24" t="n">
        <v>3</v>
      </c>
      <c r="I56" s="24" t="n">
        <v>2</v>
      </c>
      <c r="J56" s="24" t="n">
        <v>4</v>
      </c>
      <c r="K56" s="24" t="n">
        <v>1</v>
      </c>
      <c r="L56" s="37" t="n">
        <f aca="false">IF(F56="N/A","",IF(COUNT(H56:K56)=0,"",IF(Config!$C$19="Highest dimension",MAX(H56:K56),ROUND(H56*Config!$C$20+I56*Config!$C$21+J56*Config!$C$22+K56*Config!$C$23,1))))</f>
        <v>4</v>
      </c>
      <c r="M56" s="38" t="n">
        <f aca="false">IF(OR(L56="",G56=""),"",G56*L56)</f>
        <v>8</v>
      </c>
      <c r="N56" s="31" t="n">
        <f aca="false">IF(M56="","",MATCH(M56,Config!$E$5:$E$9,1))</f>
        <v>2</v>
      </c>
      <c r="O56" s="7" t="str">
        <f aca="false">IF(F56="N/A","N/A",IF(N56="","Not assessed",INDEX(Config!$B$5:$B$9,N56)))</f>
        <v>Medium-Low</v>
      </c>
      <c r="P56" s="32" t="n">
        <v>0</v>
      </c>
      <c r="Q56" s="8"/>
      <c r="R56" s="33"/>
      <c r="S56" s="34" t="n">
        <f aca="false">IF(N56="","",IF(AND(R56="Y",P56&lt;&gt;0),MAX(1,MIN(5,N56+MAX(-Config!$C$27,MIN(Config!$C$27,P56)))),N56))</f>
        <v>2</v>
      </c>
      <c r="T56" s="35" t="str">
        <f aca="false">IF(F56="N/A","N/A",IF(S56="","Not assessed",INDEX(Config!$B$5:$B$9,S56)))</f>
        <v>Medium-Low</v>
      </c>
      <c r="U56" s="7" t="str">
        <f aca="false">IF(P56=0,"None",IF(R56="Y","Applied","Pending HO approval"))</f>
        <v>None</v>
      </c>
      <c r="V56" s="8"/>
    </row>
    <row r="57" customFormat="false" ht="15" hidden="false" customHeight="false" outlineLevel="0" collapsed="false">
      <c r="A57" s="26" t="str">
        <f aca="false">Entities!$A$9</f>
        <v>JO-LSG</v>
      </c>
      <c r="B57" s="12" t="str">
        <f aca="false">INDEX(Entities!$B$5:$B$34,MATCH(A57,Entities!$A$5:$A$34,0))</f>
        <v>Leasing subsidiary – Jordan</v>
      </c>
      <c r="C57" s="12" t="str">
        <f aca="false">INDEX(Entities!$D$5:$D$34,MATCH(A57,Entities!$A$5:$A$34,0))</f>
        <v>Jordan (home)</v>
      </c>
      <c r="D57" s="12" t="s">
        <v>257</v>
      </c>
      <c r="E57" s="12" t="str">
        <f aca="false">INDEX('Risk Taxonomy'!$B$5:$B$24,MATCH(D57,'Risk Taxonomy'!$A$5:$A$24,0))</f>
        <v>Regulatory compliance</v>
      </c>
      <c r="F57" s="7" t="str">
        <f aca="false">IF(D57="RC-04",IF(INDEX(Entities!$G$5:$G$34,MATCH(A57,Entities!$A$5:$A$34,0))="Y","Yes","N/A"),"Yes")</f>
        <v>Yes</v>
      </c>
      <c r="G57" s="24" t="n">
        <v>3</v>
      </c>
      <c r="H57" s="24" t="n">
        <v>3</v>
      </c>
      <c r="I57" s="24" t="n">
        <v>3</v>
      </c>
      <c r="J57" s="24" t="n">
        <v>2</v>
      </c>
      <c r="K57" s="24" t="n">
        <v>3</v>
      </c>
      <c r="L57" s="37" t="n">
        <f aca="false">IF(F57="N/A","",IF(COUNT(H57:K57)=0,"",IF(Config!$C$19="Highest dimension",MAX(H57:K57),ROUND(H57*Config!$C$20+I57*Config!$C$21+J57*Config!$C$22+K57*Config!$C$23,1))))</f>
        <v>3</v>
      </c>
      <c r="M57" s="38" t="n">
        <f aca="false">IF(OR(L57="",G57=""),"",G57*L57)</f>
        <v>9</v>
      </c>
      <c r="N57" s="31" t="n">
        <f aca="false">IF(M57="","",MATCH(M57,Config!$E$5:$E$9,1))</f>
        <v>3</v>
      </c>
      <c r="O57" s="7" t="str">
        <f aca="false">IF(F57="N/A","N/A",IF(N57="","Not assessed",INDEX(Config!$B$5:$B$9,N57)))</f>
        <v>Medium</v>
      </c>
      <c r="P57" s="32" t="n">
        <v>0</v>
      </c>
      <c r="Q57" s="8"/>
      <c r="R57" s="33"/>
      <c r="S57" s="34" t="n">
        <f aca="false">IF(N57="","",IF(AND(R57="Y",P57&lt;&gt;0),MAX(1,MIN(5,N57+MAX(-Config!$C$27,MIN(Config!$C$27,P57)))),N57))</f>
        <v>3</v>
      </c>
      <c r="T57" s="35" t="str">
        <f aca="false">IF(F57="N/A","N/A",IF(S57="","Not assessed",INDEX(Config!$B$5:$B$9,S57)))</f>
        <v>Medium</v>
      </c>
      <c r="U57" s="7" t="str">
        <f aca="false">IF(P57=0,"None",IF(R57="Y","Applied","Pending HO approval"))</f>
        <v>None</v>
      </c>
      <c r="V57" s="8"/>
    </row>
    <row r="58" customFormat="false" ht="15" hidden="false" customHeight="false" outlineLevel="0" collapsed="false">
      <c r="A58" s="26" t="str">
        <f aca="false">Entities!$A$9</f>
        <v>JO-LSG</v>
      </c>
      <c r="B58" s="12" t="str">
        <f aca="false">INDEX(Entities!$B$5:$B$34,MATCH(A58,Entities!$A$5:$A$34,0))</f>
        <v>Leasing subsidiary – Jordan</v>
      </c>
      <c r="C58" s="12" t="str">
        <f aca="false">INDEX(Entities!$D$5:$D$34,MATCH(A58,Entities!$A$5:$A$34,0))</f>
        <v>Jordan (home)</v>
      </c>
      <c r="D58" s="12" t="s">
        <v>261</v>
      </c>
      <c r="E58" s="12" t="str">
        <f aca="false">INDEX('Risk Taxonomy'!$B$5:$B$24,MATCH(D58,'Risk Taxonomy'!$A$5:$A$24,0))</f>
        <v>Conduct and consumer protection</v>
      </c>
      <c r="F58" s="7" t="str">
        <f aca="false">IF(D58="RC-04",IF(INDEX(Entities!$G$5:$G$34,MATCH(A58,Entities!$A$5:$A$34,0))="Y","Yes","N/A"),"Yes")</f>
        <v>Yes</v>
      </c>
      <c r="G58" s="24" t="n">
        <v>1</v>
      </c>
      <c r="H58" s="24" t="n">
        <v>3</v>
      </c>
      <c r="I58" s="24" t="n">
        <v>3</v>
      </c>
      <c r="J58" s="24" t="n">
        <v>4</v>
      </c>
      <c r="K58" s="24" t="n">
        <v>3</v>
      </c>
      <c r="L58" s="37" t="n">
        <f aca="false">IF(F58="N/A","",IF(COUNT(H58:K58)=0,"",IF(Config!$C$19="Highest dimension",MAX(H58:K58),ROUND(H58*Config!$C$20+I58*Config!$C$21+J58*Config!$C$22+K58*Config!$C$23,1))))</f>
        <v>4</v>
      </c>
      <c r="M58" s="38" t="n">
        <f aca="false">IF(OR(L58="",G58=""),"",G58*L58)</f>
        <v>4</v>
      </c>
      <c r="N58" s="31" t="n">
        <f aca="false">IF(M58="","",MATCH(M58,Config!$E$5:$E$9,1))</f>
        <v>1</v>
      </c>
      <c r="O58" s="7" t="str">
        <f aca="false">IF(F58="N/A","N/A",IF(N58="","Not assessed",INDEX(Config!$B$5:$B$9,N58)))</f>
        <v>Low</v>
      </c>
      <c r="P58" s="32" t="n">
        <v>0</v>
      </c>
      <c r="Q58" s="8"/>
      <c r="R58" s="33"/>
      <c r="S58" s="34" t="n">
        <f aca="false">IF(N58="","",IF(AND(R58="Y",P58&lt;&gt;0),MAX(1,MIN(5,N58+MAX(-Config!$C$27,MIN(Config!$C$27,P58)))),N58))</f>
        <v>1</v>
      </c>
      <c r="T58" s="35" t="str">
        <f aca="false">IF(F58="N/A","N/A",IF(S58="","Not assessed",INDEX(Config!$B$5:$B$9,S58)))</f>
        <v>Low</v>
      </c>
      <c r="U58" s="7" t="str">
        <f aca="false">IF(P58=0,"None",IF(R58="Y","Applied","Pending HO approval"))</f>
        <v>None</v>
      </c>
      <c r="V58" s="8"/>
    </row>
    <row r="59" customFormat="false" ht="15" hidden="false" customHeight="false" outlineLevel="0" collapsed="false">
      <c r="A59" s="26" t="str">
        <f aca="false">Entities!$A$9</f>
        <v>JO-LSG</v>
      </c>
      <c r="B59" s="12" t="str">
        <f aca="false">INDEX(Entities!$B$5:$B$34,MATCH(A59,Entities!$A$5:$A$34,0))</f>
        <v>Leasing subsidiary – Jordan</v>
      </c>
      <c r="C59" s="12" t="str">
        <f aca="false">INDEX(Entities!$D$5:$D$34,MATCH(A59,Entities!$A$5:$A$34,0))</f>
        <v>Jordan (home)</v>
      </c>
      <c r="D59" s="12" t="s">
        <v>263</v>
      </c>
      <c r="E59" s="12" t="str">
        <f aca="false">INDEX('Risk Taxonomy'!$B$5:$B$24,MATCH(D59,'Risk Taxonomy'!$A$5:$A$24,0))</f>
        <v>Data protection and privacy</v>
      </c>
      <c r="F59" s="7" t="str">
        <f aca="false">IF(D59="RC-04",IF(INDEX(Entities!$G$5:$G$34,MATCH(A59,Entities!$A$5:$A$34,0))="Y","Yes","N/A"),"Yes")</f>
        <v>Yes</v>
      </c>
      <c r="G59" s="24" t="n">
        <v>3</v>
      </c>
      <c r="H59" s="24" t="n">
        <v>4</v>
      </c>
      <c r="I59" s="24" t="n">
        <v>5</v>
      </c>
      <c r="J59" s="24" t="n">
        <v>3</v>
      </c>
      <c r="K59" s="24" t="n">
        <v>3</v>
      </c>
      <c r="L59" s="37" t="n">
        <f aca="false">IF(F59="N/A","",IF(COUNT(H59:K59)=0,"",IF(Config!$C$19="Highest dimension",MAX(H59:K59),ROUND(H59*Config!$C$20+I59*Config!$C$21+J59*Config!$C$22+K59*Config!$C$23,1))))</f>
        <v>5</v>
      </c>
      <c r="M59" s="38" t="n">
        <f aca="false">IF(OR(L59="",G59=""),"",G59*L59)</f>
        <v>15</v>
      </c>
      <c r="N59" s="31" t="n">
        <f aca="false">IF(M59="","",MATCH(M59,Config!$E$5:$E$9,1))</f>
        <v>4</v>
      </c>
      <c r="O59" s="7" t="str">
        <f aca="false">IF(F59="N/A","N/A",IF(N59="","Not assessed",INDEX(Config!$B$5:$B$9,N59)))</f>
        <v>Medium-High</v>
      </c>
      <c r="P59" s="32" t="n">
        <v>0</v>
      </c>
      <c r="Q59" s="8"/>
      <c r="R59" s="33"/>
      <c r="S59" s="34" t="n">
        <f aca="false">IF(N59="","",IF(AND(R59="Y",P59&lt;&gt;0),MAX(1,MIN(5,N59+MAX(-Config!$C$27,MIN(Config!$C$27,P59)))),N59))</f>
        <v>4</v>
      </c>
      <c r="T59" s="35" t="str">
        <f aca="false">IF(F59="N/A","N/A",IF(S59="","Not assessed",INDEX(Config!$B$5:$B$9,S59)))</f>
        <v>Medium-High</v>
      </c>
      <c r="U59" s="7" t="str">
        <f aca="false">IF(P59=0,"None",IF(R59="Y","Applied","Pending HO approval"))</f>
        <v>None</v>
      </c>
      <c r="V59" s="8"/>
    </row>
    <row r="60" customFormat="false" ht="15" hidden="false" customHeight="false" outlineLevel="0" collapsed="false">
      <c r="A60" s="26" t="str">
        <f aca="false">Entities!$A$9</f>
        <v>JO-LSG</v>
      </c>
      <c r="B60" s="12" t="str">
        <f aca="false">INDEX(Entities!$B$5:$B$34,MATCH(A60,Entities!$A$5:$A$34,0))</f>
        <v>Leasing subsidiary – Jordan</v>
      </c>
      <c r="C60" s="12" t="str">
        <f aca="false">INDEX(Entities!$D$5:$D$34,MATCH(A60,Entities!$A$5:$A$34,0))</f>
        <v>Jordan (home)</v>
      </c>
      <c r="D60" s="12" t="s">
        <v>266</v>
      </c>
      <c r="E60" s="12" t="str">
        <f aca="false">INDEX('Risk Taxonomy'!$B$5:$B$24,MATCH(D60,'Risk Taxonomy'!$A$5:$A$24,0))</f>
        <v>Shariah non-compliance</v>
      </c>
      <c r="F60" s="7" t="str">
        <f aca="false">IF(D60="RC-04",IF(INDEX(Entities!$G$5:$G$34,MATCH(A60,Entities!$A$5:$A$34,0))="Y","Yes","N/A"),"Yes")</f>
        <v>N/A</v>
      </c>
      <c r="G60" s="24"/>
      <c r="H60" s="24"/>
      <c r="I60" s="24"/>
      <c r="J60" s="24"/>
      <c r="K60" s="24"/>
      <c r="L60" s="37" t="str">
        <f aca="false">IF(F60="N/A","",IF(COUNT(H60:K60)=0,"",IF(Config!$C$19="Highest dimension",MAX(H60:K60),ROUND(H60*Config!$C$20+I60*Config!$C$21+J60*Config!$C$22+K60*Config!$C$23,1))))</f>
        <v/>
      </c>
      <c r="M60" s="38" t="str">
        <f aca="false">IF(OR(L60="",G60=""),"",G60*L60)</f>
        <v/>
      </c>
      <c r="N60" s="31" t="str">
        <f aca="false">IF(M60="","",MATCH(M60,Config!$E$5:$E$9,1))</f>
        <v/>
      </c>
      <c r="O60" s="7" t="str">
        <f aca="false">IF(F60="N/A","N/A",IF(N60="","Not assessed",INDEX(Config!$B$5:$B$9,N60)))</f>
        <v>N/A</v>
      </c>
      <c r="P60" s="32" t="n">
        <v>0</v>
      </c>
      <c r="Q60" s="8"/>
      <c r="R60" s="33"/>
      <c r="S60" s="34" t="str">
        <f aca="false">IF(N60="","",IF(AND(R60="Y",P60&lt;&gt;0),MAX(1,MIN(5,N60+MAX(-Config!$C$27,MIN(Config!$C$27,P60)))),N60))</f>
        <v/>
      </c>
      <c r="T60" s="35" t="str">
        <f aca="false">IF(F60="N/A","N/A",IF(S60="","Not assessed",INDEX(Config!$B$5:$B$9,S60)))</f>
        <v>N/A</v>
      </c>
      <c r="U60" s="7" t="str">
        <f aca="false">IF(P60=0,"None",IF(R60="Y","Applied","Pending HO approval"))</f>
        <v>None</v>
      </c>
      <c r="V60" s="8"/>
    </row>
    <row r="61" customFormat="false" ht="15" hidden="false" customHeight="false" outlineLevel="0" collapsed="false">
      <c r="A61" s="26" t="str">
        <f aca="false">Entities!$A$9</f>
        <v>JO-LSG</v>
      </c>
      <c r="B61" s="12" t="str">
        <f aca="false">INDEX(Entities!$B$5:$B$34,MATCH(A61,Entities!$A$5:$A$34,0))</f>
        <v>Leasing subsidiary – Jordan</v>
      </c>
      <c r="C61" s="12" t="str">
        <f aca="false">INDEX(Entities!$D$5:$D$34,MATCH(A61,Entities!$A$5:$A$34,0))</f>
        <v>Jordan (home)</v>
      </c>
      <c r="D61" s="12" t="s">
        <v>270</v>
      </c>
      <c r="E61" s="12" t="str">
        <f aca="false">INDEX('Risk Taxonomy'!$B$5:$B$24,MATCH(D61,'Risk Taxonomy'!$A$5:$A$24,0))</f>
        <v>Credit risk</v>
      </c>
      <c r="F61" s="7" t="str">
        <f aca="false">IF(D61="RC-04",IF(INDEX(Entities!$G$5:$G$34,MATCH(A61,Entities!$A$5:$A$34,0))="Y","Yes","N/A"),"Yes")</f>
        <v>Yes</v>
      </c>
      <c r="G61" s="24" t="n">
        <v>4</v>
      </c>
      <c r="H61" s="24" t="n">
        <v>2</v>
      </c>
      <c r="I61" s="24" t="n">
        <v>4</v>
      </c>
      <c r="J61" s="24" t="n">
        <v>4</v>
      </c>
      <c r="K61" s="24" t="n">
        <v>3</v>
      </c>
      <c r="L61" s="37" t="n">
        <f aca="false">IF(F61="N/A","",IF(COUNT(H61:K61)=0,"",IF(Config!$C$19="Highest dimension",MAX(H61:K61),ROUND(H61*Config!$C$20+I61*Config!$C$21+J61*Config!$C$22+K61*Config!$C$23,1))))</f>
        <v>4</v>
      </c>
      <c r="M61" s="38" t="n">
        <f aca="false">IF(OR(L61="",G61=""),"",G61*L61)</f>
        <v>16</v>
      </c>
      <c r="N61" s="31" t="n">
        <f aca="false">IF(M61="","",MATCH(M61,Config!$E$5:$E$9,1))</f>
        <v>4</v>
      </c>
      <c r="O61" s="7" t="str">
        <f aca="false">IF(F61="N/A","N/A",IF(N61="","Not assessed",INDEX(Config!$B$5:$B$9,N61)))</f>
        <v>Medium-High</v>
      </c>
      <c r="P61" s="32" t="n">
        <v>0</v>
      </c>
      <c r="Q61" s="8"/>
      <c r="R61" s="33"/>
      <c r="S61" s="34" t="n">
        <f aca="false">IF(N61="","",IF(AND(R61="Y",P61&lt;&gt;0),MAX(1,MIN(5,N61+MAX(-Config!$C$27,MIN(Config!$C$27,P61)))),N61))</f>
        <v>4</v>
      </c>
      <c r="T61" s="35" t="str">
        <f aca="false">IF(F61="N/A","N/A",IF(S61="","Not assessed",INDEX(Config!$B$5:$B$9,S61)))</f>
        <v>Medium-High</v>
      </c>
      <c r="U61" s="7" t="str">
        <f aca="false">IF(P61=0,"None",IF(R61="Y","Applied","Pending HO approval"))</f>
        <v>None</v>
      </c>
      <c r="V61" s="8"/>
    </row>
    <row r="62" customFormat="false" ht="15" hidden="false" customHeight="false" outlineLevel="0" collapsed="false">
      <c r="A62" s="26" t="str">
        <f aca="false">Entities!$A$9</f>
        <v>JO-LSG</v>
      </c>
      <c r="B62" s="12" t="str">
        <f aca="false">INDEX(Entities!$B$5:$B$34,MATCH(A62,Entities!$A$5:$A$34,0))</f>
        <v>Leasing subsidiary – Jordan</v>
      </c>
      <c r="C62" s="12" t="str">
        <f aca="false">INDEX(Entities!$D$5:$D$34,MATCH(A62,Entities!$A$5:$A$34,0))</f>
        <v>Jordan (home)</v>
      </c>
      <c r="D62" s="12" t="s">
        <v>275</v>
      </c>
      <c r="E62" s="12" t="str">
        <f aca="false">INDEX('Risk Taxonomy'!$B$5:$B$24,MATCH(D62,'Risk Taxonomy'!$A$5:$A$24,0))</f>
        <v>Market risk</v>
      </c>
      <c r="F62" s="7" t="str">
        <f aca="false">IF(D62="RC-04",IF(INDEX(Entities!$G$5:$G$34,MATCH(A62,Entities!$A$5:$A$34,0))="Y","Yes","N/A"),"Yes")</f>
        <v>Yes</v>
      </c>
      <c r="G62" s="24" t="n">
        <v>2</v>
      </c>
      <c r="H62" s="24" t="n">
        <v>3</v>
      </c>
      <c r="I62" s="24" t="n">
        <v>3</v>
      </c>
      <c r="J62" s="24" t="n">
        <v>2</v>
      </c>
      <c r="K62" s="24" t="n">
        <v>2</v>
      </c>
      <c r="L62" s="37" t="n">
        <f aca="false">IF(F62="N/A","",IF(COUNT(H62:K62)=0,"",IF(Config!$C$19="Highest dimension",MAX(H62:K62),ROUND(H62*Config!$C$20+I62*Config!$C$21+J62*Config!$C$22+K62*Config!$C$23,1))))</f>
        <v>3</v>
      </c>
      <c r="M62" s="38" t="n">
        <f aca="false">IF(OR(L62="",G62=""),"",G62*L62)</f>
        <v>6</v>
      </c>
      <c r="N62" s="31" t="n">
        <f aca="false">IF(M62="","",MATCH(M62,Config!$E$5:$E$9,1))</f>
        <v>2</v>
      </c>
      <c r="O62" s="7" t="str">
        <f aca="false">IF(F62="N/A","N/A",IF(N62="","Not assessed",INDEX(Config!$B$5:$B$9,N62)))</f>
        <v>Medium-Low</v>
      </c>
      <c r="P62" s="32" t="n">
        <v>0</v>
      </c>
      <c r="Q62" s="8"/>
      <c r="R62" s="33"/>
      <c r="S62" s="34" t="n">
        <f aca="false">IF(N62="","",IF(AND(R62="Y",P62&lt;&gt;0),MAX(1,MIN(5,N62+MAX(-Config!$C$27,MIN(Config!$C$27,P62)))),N62))</f>
        <v>2</v>
      </c>
      <c r="T62" s="35" t="str">
        <f aca="false">IF(F62="N/A","N/A",IF(S62="","Not assessed",INDEX(Config!$B$5:$B$9,S62)))</f>
        <v>Medium-Low</v>
      </c>
      <c r="U62" s="7" t="str">
        <f aca="false">IF(P62=0,"None",IF(R62="Y","Applied","Pending HO approval"))</f>
        <v>None</v>
      </c>
      <c r="V62" s="8"/>
    </row>
    <row r="63" customFormat="false" ht="15" hidden="false" customHeight="false" outlineLevel="0" collapsed="false">
      <c r="A63" s="26" t="str">
        <f aca="false">Entities!$A$9</f>
        <v>JO-LSG</v>
      </c>
      <c r="B63" s="12" t="str">
        <f aca="false">INDEX(Entities!$B$5:$B$34,MATCH(A63,Entities!$A$5:$A$34,0))</f>
        <v>Leasing subsidiary – Jordan</v>
      </c>
      <c r="C63" s="12" t="str">
        <f aca="false">INDEX(Entities!$D$5:$D$34,MATCH(A63,Entities!$A$5:$A$34,0))</f>
        <v>Jordan (home)</v>
      </c>
      <c r="D63" s="12" t="s">
        <v>277</v>
      </c>
      <c r="E63" s="12" t="str">
        <f aca="false">INDEX('Risk Taxonomy'!$B$5:$B$24,MATCH(D63,'Risk Taxonomy'!$A$5:$A$24,0))</f>
        <v>Liquidity and funding risk</v>
      </c>
      <c r="F63" s="7" t="str">
        <f aca="false">IF(D63="RC-04",IF(INDEX(Entities!$G$5:$G$34,MATCH(A63,Entities!$A$5:$A$34,0))="Y","Yes","N/A"),"Yes")</f>
        <v>Yes</v>
      </c>
      <c r="G63" s="24" t="n">
        <v>3</v>
      </c>
      <c r="H63" s="24" t="n">
        <v>2</v>
      </c>
      <c r="I63" s="24" t="n">
        <v>4</v>
      </c>
      <c r="J63" s="24" t="n">
        <v>3</v>
      </c>
      <c r="K63" s="24" t="n">
        <v>2</v>
      </c>
      <c r="L63" s="37" t="n">
        <f aca="false">IF(F63="N/A","",IF(COUNT(H63:K63)=0,"",IF(Config!$C$19="Highest dimension",MAX(H63:K63),ROUND(H63*Config!$C$20+I63*Config!$C$21+J63*Config!$C$22+K63*Config!$C$23,1))))</f>
        <v>4</v>
      </c>
      <c r="M63" s="38" t="n">
        <f aca="false">IF(OR(L63="",G63=""),"",G63*L63)</f>
        <v>12</v>
      </c>
      <c r="N63" s="31" t="n">
        <f aca="false">IF(M63="","",MATCH(M63,Config!$E$5:$E$9,1))</f>
        <v>3</v>
      </c>
      <c r="O63" s="7" t="str">
        <f aca="false">IF(F63="N/A","N/A",IF(N63="","Not assessed",INDEX(Config!$B$5:$B$9,N63)))</f>
        <v>Medium</v>
      </c>
      <c r="P63" s="32" t="n">
        <v>0</v>
      </c>
      <c r="Q63" s="8"/>
      <c r="R63" s="33"/>
      <c r="S63" s="34" t="n">
        <f aca="false">IF(N63="","",IF(AND(R63="Y",P63&lt;&gt;0),MAX(1,MIN(5,N63+MAX(-Config!$C$27,MIN(Config!$C$27,P63)))),N63))</f>
        <v>3</v>
      </c>
      <c r="T63" s="35" t="str">
        <f aca="false">IF(F63="N/A","N/A",IF(S63="","Not assessed",INDEX(Config!$B$5:$B$9,S63)))</f>
        <v>Medium</v>
      </c>
      <c r="U63" s="7" t="str">
        <f aca="false">IF(P63=0,"None",IF(R63="Y","Applied","Pending HO approval"))</f>
        <v>None</v>
      </c>
      <c r="V63" s="8"/>
    </row>
    <row r="64" customFormat="false" ht="15" hidden="false" customHeight="false" outlineLevel="0" collapsed="false">
      <c r="A64" s="26" t="str">
        <f aca="false">Entities!$A$9</f>
        <v>JO-LSG</v>
      </c>
      <c r="B64" s="12" t="str">
        <f aca="false">INDEX(Entities!$B$5:$B$34,MATCH(A64,Entities!$A$5:$A$34,0))</f>
        <v>Leasing subsidiary – Jordan</v>
      </c>
      <c r="C64" s="12" t="str">
        <f aca="false">INDEX(Entities!$D$5:$D$34,MATCH(A64,Entities!$A$5:$A$34,0))</f>
        <v>Jordan (home)</v>
      </c>
      <c r="D64" s="12" t="s">
        <v>280</v>
      </c>
      <c r="E64" s="12" t="str">
        <f aca="false">INDEX('Risk Taxonomy'!$B$5:$B$24,MATCH(D64,'Risk Taxonomy'!$A$5:$A$24,0))</f>
        <v>Operational risk</v>
      </c>
      <c r="F64" s="7" t="str">
        <f aca="false">IF(D64="RC-04",IF(INDEX(Entities!$G$5:$G$34,MATCH(A64,Entities!$A$5:$A$34,0))="Y","Yes","N/A"),"Yes")</f>
        <v>Yes</v>
      </c>
      <c r="G64" s="24" t="n">
        <v>3</v>
      </c>
      <c r="H64" s="24" t="n">
        <v>3</v>
      </c>
      <c r="I64" s="24" t="n">
        <v>4</v>
      </c>
      <c r="J64" s="24" t="n">
        <v>4</v>
      </c>
      <c r="K64" s="24" t="n">
        <v>2</v>
      </c>
      <c r="L64" s="37" t="n">
        <f aca="false">IF(F64="N/A","",IF(COUNT(H64:K64)=0,"",IF(Config!$C$19="Highest dimension",MAX(H64:K64),ROUND(H64*Config!$C$20+I64*Config!$C$21+J64*Config!$C$22+K64*Config!$C$23,1))))</f>
        <v>4</v>
      </c>
      <c r="M64" s="38" t="n">
        <f aca="false">IF(OR(L64="",G64=""),"",G64*L64)</f>
        <v>12</v>
      </c>
      <c r="N64" s="31" t="n">
        <f aca="false">IF(M64="","",MATCH(M64,Config!$E$5:$E$9,1))</f>
        <v>3</v>
      </c>
      <c r="O64" s="7" t="str">
        <f aca="false">IF(F64="N/A","N/A",IF(N64="","Not assessed",INDEX(Config!$B$5:$B$9,N64)))</f>
        <v>Medium</v>
      </c>
      <c r="P64" s="32" t="n">
        <v>0</v>
      </c>
      <c r="Q64" s="8"/>
      <c r="R64" s="33"/>
      <c r="S64" s="34" t="n">
        <f aca="false">IF(N64="","",IF(AND(R64="Y",P64&lt;&gt;0),MAX(1,MIN(5,N64+MAX(-Config!$C$27,MIN(Config!$C$27,P64)))),N64))</f>
        <v>3</v>
      </c>
      <c r="T64" s="35" t="str">
        <f aca="false">IF(F64="N/A","N/A",IF(S64="","Not assessed",INDEX(Config!$B$5:$B$9,S64)))</f>
        <v>Medium</v>
      </c>
      <c r="U64" s="7" t="str">
        <f aca="false">IF(P64=0,"None",IF(R64="Y","Applied","Pending HO approval"))</f>
        <v>None</v>
      </c>
      <c r="V64" s="8"/>
    </row>
    <row r="65" customFormat="false" ht="15" hidden="false" customHeight="false" outlineLevel="0" collapsed="false">
      <c r="A65" s="26" t="str">
        <f aca="false">Entities!$A$9</f>
        <v>JO-LSG</v>
      </c>
      <c r="B65" s="12" t="str">
        <f aca="false">INDEX(Entities!$B$5:$B$34,MATCH(A65,Entities!$A$5:$A$34,0))</f>
        <v>Leasing subsidiary – Jordan</v>
      </c>
      <c r="C65" s="12" t="str">
        <f aca="false">INDEX(Entities!$D$5:$D$34,MATCH(A65,Entities!$A$5:$A$34,0))</f>
        <v>Jordan (home)</v>
      </c>
      <c r="D65" s="12" t="s">
        <v>283</v>
      </c>
      <c r="E65" s="12" t="str">
        <f aca="false">INDEX('Risk Taxonomy'!$B$5:$B$24,MATCH(D65,'Risk Taxonomy'!$A$5:$A$24,0))</f>
        <v>Cyber, information security and technology</v>
      </c>
      <c r="F65" s="7" t="str">
        <f aca="false">IF(D65="RC-04",IF(INDEX(Entities!$G$5:$G$34,MATCH(A65,Entities!$A$5:$A$34,0))="Y","Yes","N/A"),"Yes")</f>
        <v>Yes</v>
      </c>
      <c r="G65" s="24" t="n">
        <v>4</v>
      </c>
      <c r="H65" s="24" t="n">
        <v>4</v>
      </c>
      <c r="I65" s="24" t="n">
        <v>1</v>
      </c>
      <c r="J65" s="24" t="n">
        <v>2</v>
      </c>
      <c r="K65" s="24" t="n">
        <v>2</v>
      </c>
      <c r="L65" s="37" t="n">
        <f aca="false">IF(F65="N/A","",IF(COUNT(H65:K65)=0,"",IF(Config!$C$19="Highest dimension",MAX(H65:K65),ROUND(H65*Config!$C$20+I65*Config!$C$21+J65*Config!$C$22+K65*Config!$C$23,1))))</f>
        <v>4</v>
      </c>
      <c r="M65" s="38" t="n">
        <f aca="false">IF(OR(L65="",G65=""),"",G65*L65)</f>
        <v>16</v>
      </c>
      <c r="N65" s="31" t="n">
        <f aca="false">IF(M65="","",MATCH(M65,Config!$E$5:$E$9,1))</f>
        <v>4</v>
      </c>
      <c r="O65" s="7" t="str">
        <f aca="false">IF(F65="N/A","N/A",IF(N65="","Not assessed",INDEX(Config!$B$5:$B$9,N65)))</f>
        <v>Medium-High</v>
      </c>
      <c r="P65" s="32" t="n">
        <v>0</v>
      </c>
      <c r="Q65" s="8"/>
      <c r="R65" s="33"/>
      <c r="S65" s="34" t="n">
        <f aca="false">IF(N65="","",IF(AND(R65="Y",P65&lt;&gt;0),MAX(1,MIN(5,N65+MAX(-Config!$C$27,MIN(Config!$C$27,P65)))),N65))</f>
        <v>4</v>
      </c>
      <c r="T65" s="35" t="str">
        <f aca="false">IF(F65="N/A","N/A",IF(S65="","Not assessed",INDEX(Config!$B$5:$B$9,S65)))</f>
        <v>Medium-High</v>
      </c>
      <c r="U65" s="7" t="str">
        <f aca="false">IF(P65=0,"None",IF(R65="Y","Applied","Pending HO approval"))</f>
        <v>None</v>
      </c>
      <c r="V65" s="8"/>
    </row>
    <row r="66" customFormat="false" ht="15" hidden="false" customHeight="false" outlineLevel="0" collapsed="false">
      <c r="A66" s="26" t="str">
        <f aca="false">Entities!$A$9</f>
        <v>JO-LSG</v>
      </c>
      <c r="B66" s="12" t="str">
        <f aca="false">INDEX(Entities!$B$5:$B$34,MATCH(A66,Entities!$A$5:$A$34,0))</f>
        <v>Leasing subsidiary – Jordan</v>
      </c>
      <c r="C66" s="12" t="str">
        <f aca="false">INDEX(Entities!$D$5:$D$34,MATCH(A66,Entities!$A$5:$A$34,0))</f>
        <v>Jordan (home)</v>
      </c>
      <c r="D66" s="12" t="s">
        <v>286</v>
      </c>
      <c r="E66" s="12" t="str">
        <f aca="false">INDEX('Risk Taxonomy'!$B$5:$B$24,MATCH(D66,'Risk Taxonomy'!$A$5:$A$24,0))</f>
        <v>Third-party and outsourcing</v>
      </c>
      <c r="F66" s="7" t="str">
        <f aca="false">IF(D66="RC-04",IF(INDEX(Entities!$G$5:$G$34,MATCH(A66,Entities!$A$5:$A$34,0))="Y","Yes","N/A"),"Yes")</f>
        <v>Yes</v>
      </c>
      <c r="G66" s="24" t="n">
        <v>4</v>
      </c>
      <c r="H66" s="24" t="n">
        <v>3</v>
      </c>
      <c r="I66" s="24" t="n">
        <v>3</v>
      </c>
      <c r="J66" s="24" t="n">
        <v>1</v>
      </c>
      <c r="K66" s="24" t="n">
        <v>4</v>
      </c>
      <c r="L66" s="37" t="n">
        <f aca="false">IF(F66="N/A","",IF(COUNT(H66:K66)=0,"",IF(Config!$C$19="Highest dimension",MAX(H66:K66),ROUND(H66*Config!$C$20+I66*Config!$C$21+J66*Config!$C$22+K66*Config!$C$23,1))))</f>
        <v>4</v>
      </c>
      <c r="M66" s="38" t="n">
        <f aca="false">IF(OR(L66="",G66=""),"",G66*L66)</f>
        <v>16</v>
      </c>
      <c r="N66" s="31" t="n">
        <f aca="false">IF(M66="","",MATCH(M66,Config!$E$5:$E$9,1))</f>
        <v>4</v>
      </c>
      <c r="O66" s="7" t="str">
        <f aca="false">IF(F66="N/A","N/A",IF(N66="","Not assessed",INDEX(Config!$B$5:$B$9,N66)))</f>
        <v>Medium-High</v>
      </c>
      <c r="P66" s="32" t="n">
        <v>0</v>
      </c>
      <c r="Q66" s="8"/>
      <c r="R66" s="33"/>
      <c r="S66" s="34" t="n">
        <f aca="false">IF(N66="","",IF(AND(R66="Y",P66&lt;&gt;0),MAX(1,MIN(5,N66+MAX(-Config!$C$27,MIN(Config!$C$27,P66)))),N66))</f>
        <v>4</v>
      </c>
      <c r="T66" s="35" t="str">
        <f aca="false">IF(F66="N/A","N/A",IF(S66="","Not assessed",INDEX(Config!$B$5:$B$9,S66)))</f>
        <v>Medium-High</v>
      </c>
      <c r="U66" s="7" t="str">
        <f aca="false">IF(P66=0,"None",IF(R66="Y","Applied","Pending HO approval"))</f>
        <v>None</v>
      </c>
      <c r="V66" s="8"/>
    </row>
    <row r="67" customFormat="false" ht="15" hidden="false" customHeight="false" outlineLevel="0" collapsed="false">
      <c r="A67" s="26" t="str">
        <f aca="false">Entities!$A$9</f>
        <v>JO-LSG</v>
      </c>
      <c r="B67" s="12" t="str">
        <f aca="false">INDEX(Entities!$B$5:$B$34,MATCH(A67,Entities!$A$5:$A$34,0))</f>
        <v>Leasing subsidiary – Jordan</v>
      </c>
      <c r="C67" s="12" t="str">
        <f aca="false">INDEX(Entities!$D$5:$D$34,MATCH(A67,Entities!$A$5:$A$34,0))</f>
        <v>Jordan (home)</v>
      </c>
      <c r="D67" s="12" t="s">
        <v>289</v>
      </c>
      <c r="E67" s="12" t="str">
        <f aca="false">INDEX('Risk Taxonomy'!$B$5:$B$24,MATCH(D67,'Risk Taxonomy'!$A$5:$A$24,0))</f>
        <v>Legal and litigation</v>
      </c>
      <c r="F67" s="7" t="str">
        <f aca="false">IF(D67="RC-04",IF(INDEX(Entities!$G$5:$G$34,MATCH(A67,Entities!$A$5:$A$34,0))="Y","Yes","N/A"),"Yes")</f>
        <v>Yes</v>
      </c>
      <c r="G67" s="24" t="n">
        <v>2</v>
      </c>
      <c r="H67" s="24" t="n">
        <v>4</v>
      </c>
      <c r="I67" s="24" t="n">
        <v>4</v>
      </c>
      <c r="J67" s="24" t="n">
        <v>2</v>
      </c>
      <c r="K67" s="24" t="n">
        <v>2</v>
      </c>
      <c r="L67" s="37" t="n">
        <f aca="false">IF(F67="N/A","",IF(COUNT(H67:K67)=0,"",IF(Config!$C$19="Highest dimension",MAX(H67:K67),ROUND(H67*Config!$C$20+I67*Config!$C$21+J67*Config!$C$22+K67*Config!$C$23,1))))</f>
        <v>4</v>
      </c>
      <c r="M67" s="38" t="n">
        <f aca="false">IF(OR(L67="",G67=""),"",G67*L67)</f>
        <v>8</v>
      </c>
      <c r="N67" s="31" t="n">
        <f aca="false">IF(M67="","",MATCH(M67,Config!$E$5:$E$9,1))</f>
        <v>2</v>
      </c>
      <c r="O67" s="7" t="str">
        <f aca="false">IF(F67="N/A","N/A",IF(N67="","Not assessed",INDEX(Config!$B$5:$B$9,N67)))</f>
        <v>Medium-Low</v>
      </c>
      <c r="P67" s="32" t="n">
        <v>0</v>
      </c>
      <c r="Q67" s="8"/>
      <c r="R67" s="33"/>
      <c r="S67" s="34" t="n">
        <f aca="false">IF(N67="","",IF(AND(R67="Y",P67&lt;&gt;0),MAX(1,MIN(5,N67+MAX(-Config!$C$27,MIN(Config!$C$27,P67)))),N67))</f>
        <v>2</v>
      </c>
      <c r="T67" s="35" t="str">
        <f aca="false">IF(F67="N/A","N/A",IF(S67="","Not assessed",INDEX(Config!$B$5:$B$9,S67)))</f>
        <v>Medium-Low</v>
      </c>
      <c r="U67" s="7" t="str">
        <f aca="false">IF(P67=0,"None",IF(R67="Y","Applied","Pending HO approval"))</f>
        <v>None</v>
      </c>
      <c r="V67" s="8"/>
    </row>
    <row r="68" customFormat="false" ht="15" hidden="false" customHeight="false" outlineLevel="0" collapsed="false">
      <c r="A68" s="26" t="str">
        <f aca="false">Entities!$A$9</f>
        <v>JO-LSG</v>
      </c>
      <c r="B68" s="12" t="str">
        <f aca="false">INDEX(Entities!$B$5:$B$34,MATCH(A68,Entities!$A$5:$A$34,0))</f>
        <v>Leasing subsidiary – Jordan</v>
      </c>
      <c r="C68" s="12" t="str">
        <f aca="false">INDEX(Entities!$D$5:$D$34,MATCH(A68,Entities!$A$5:$A$34,0))</f>
        <v>Jordan (home)</v>
      </c>
      <c r="D68" s="12" t="s">
        <v>292</v>
      </c>
      <c r="E68" s="12" t="str">
        <f aca="false">INDEX('Risk Taxonomy'!$B$5:$B$24,MATCH(D68,'Risk Taxonomy'!$A$5:$A$24,0))</f>
        <v>Reputational</v>
      </c>
      <c r="F68" s="7" t="str">
        <f aca="false">IF(D68="RC-04",IF(INDEX(Entities!$G$5:$G$34,MATCH(A68,Entities!$A$5:$A$34,0))="Y","Yes","N/A"),"Yes")</f>
        <v>Yes</v>
      </c>
      <c r="G68" s="24" t="n">
        <v>2</v>
      </c>
      <c r="H68" s="24" t="n">
        <v>2</v>
      </c>
      <c r="I68" s="24" t="n">
        <v>2</v>
      </c>
      <c r="J68" s="24" t="n">
        <v>3</v>
      </c>
      <c r="K68" s="24" t="n">
        <v>3</v>
      </c>
      <c r="L68" s="37" t="n">
        <f aca="false">IF(F68="N/A","",IF(COUNT(H68:K68)=0,"",IF(Config!$C$19="Highest dimension",MAX(H68:K68),ROUND(H68*Config!$C$20+I68*Config!$C$21+J68*Config!$C$22+K68*Config!$C$23,1))))</f>
        <v>3</v>
      </c>
      <c r="M68" s="38" t="n">
        <f aca="false">IF(OR(L68="",G68=""),"",G68*L68)</f>
        <v>6</v>
      </c>
      <c r="N68" s="31" t="n">
        <f aca="false">IF(M68="","",MATCH(M68,Config!$E$5:$E$9,1))</f>
        <v>2</v>
      </c>
      <c r="O68" s="7" t="str">
        <f aca="false">IF(F68="N/A","N/A",IF(N68="","Not assessed",INDEX(Config!$B$5:$B$9,N68)))</f>
        <v>Medium-Low</v>
      </c>
      <c r="P68" s="32" t="n">
        <v>0</v>
      </c>
      <c r="Q68" s="8"/>
      <c r="R68" s="33"/>
      <c r="S68" s="34" t="n">
        <f aca="false">IF(N68="","",IF(AND(R68="Y",P68&lt;&gt;0),MAX(1,MIN(5,N68+MAX(-Config!$C$27,MIN(Config!$C$27,P68)))),N68))</f>
        <v>2</v>
      </c>
      <c r="T68" s="35" t="str">
        <f aca="false">IF(F68="N/A","N/A",IF(S68="","Not assessed",INDEX(Config!$B$5:$B$9,S68)))</f>
        <v>Medium-Low</v>
      </c>
      <c r="U68" s="7" t="str">
        <f aca="false">IF(P68=0,"None",IF(R68="Y","Applied","Pending HO approval"))</f>
        <v>None</v>
      </c>
      <c r="V68" s="8"/>
    </row>
    <row r="69" customFormat="false" ht="15" hidden="false" customHeight="false" outlineLevel="0" collapsed="false">
      <c r="A69" s="26" t="str">
        <f aca="false">Entities!$A$9</f>
        <v>JO-LSG</v>
      </c>
      <c r="B69" s="12" t="str">
        <f aca="false">INDEX(Entities!$B$5:$B$34,MATCH(A69,Entities!$A$5:$A$34,0))</f>
        <v>Leasing subsidiary – Jordan</v>
      </c>
      <c r="C69" s="12" t="str">
        <f aca="false">INDEX(Entities!$D$5:$D$34,MATCH(A69,Entities!$A$5:$A$34,0))</f>
        <v>Jordan (home)</v>
      </c>
      <c r="D69" s="12" t="s">
        <v>295</v>
      </c>
      <c r="E69" s="12" t="str">
        <f aca="false">INDEX('Risk Taxonomy'!$B$5:$B$24,MATCH(D69,'Risk Taxonomy'!$A$5:$A$24,0))</f>
        <v>Strategic, business model and ESG</v>
      </c>
      <c r="F69" s="7" t="str">
        <f aca="false">IF(D69="RC-04",IF(INDEX(Entities!$G$5:$G$34,MATCH(A69,Entities!$A$5:$A$34,0))="Y","Yes","N/A"),"Yes")</f>
        <v>Yes</v>
      </c>
      <c r="G69" s="24" t="n">
        <v>2</v>
      </c>
      <c r="H69" s="24" t="n">
        <v>3</v>
      </c>
      <c r="I69" s="24" t="n">
        <v>3</v>
      </c>
      <c r="J69" s="24" t="n">
        <v>3</v>
      </c>
      <c r="K69" s="24" t="n">
        <v>3</v>
      </c>
      <c r="L69" s="37" t="n">
        <f aca="false">IF(F69="N/A","",IF(COUNT(H69:K69)=0,"",IF(Config!$C$19="Highest dimension",MAX(H69:K69),ROUND(H69*Config!$C$20+I69*Config!$C$21+J69*Config!$C$22+K69*Config!$C$23,1))))</f>
        <v>3</v>
      </c>
      <c r="M69" s="38" t="n">
        <f aca="false">IF(OR(L69="",G69=""),"",G69*L69)</f>
        <v>6</v>
      </c>
      <c r="N69" s="31" t="n">
        <f aca="false">IF(M69="","",MATCH(M69,Config!$E$5:$E$9,1))</f>
        <v>2</v>
      </c>
      <c r="O69" s="7" t="str">
        <f aca="false">IF(F69="N/A","N/A",IF(N69="","Not assessed",INDEX(Config!$B$5:$B$9,N69)))</f>
        <v>Medium-Low</v>
      </c>
      <c r="P69" s="32" t="n">
        <v>0</v>
      </c>
      <c r="Q69" s="8"/>
      <c r="R69" s="33"/>
      <c r="S69" s="34" t="n">
        <f aca="false">IF(N69="","",IF(AND(R69="Y",P69&lt;&gt;0),MAX(1,MIN(5,N69+MAX(-Config!$C$27,MIN(Config!$C$27,P69)))),N69))</f>
        <v>2</v>
      </c>
      <c r="T69" s="35" t="str">
        <f aca="false">IF(F69="N/A","N/A",IF(S69="","Not assessed",INDEX(Config!$B$5:$B$9,S69)))</f>
        <v>Medium-Low</v>
      </c>
      <c r="U69" s="7" t="str">
        <f aca="false">IF(P69=0,"None",IF(R69="Y","Applied","Pending HO approval"))</f>
        <v>None</v>
      </c>
      <c r="V69" s="8"/>
    </row>
    <row r="70" customFormat="false" ht="15" hidden="false" customHeight="false" outlineLevel="0" collapsed="false">
      <c r="A70" s="26" t="str">
        <f aca="false">Entities!$A$10</f>
        <v>PS</v>
      </c>
      <c r="B70" s="12" t="str">
        <f aca="false">INDEX(Entities!$B$5:$B$34,MATCH(A70,Entities!$A$5:$A$34,0))</f>
        <v>Arab Bank – Palestine</v>
      </c>
      <c r="C70" s="12" t="str">
        <f aca="false">INDEX(Entities!$D$5:$D$34,MATCH(A70,Entities!$A$5:$A$34,0))</f>
        <v>Levant</v>
      </c>
      <c r="D70" s="12" t="s">
        <v>257</v>
      </c>
      <c r="E70" s="12" t="str">
        <f aca="false">INDEX('Risk Taxonomy'!$B$5:$B$24,MATCH(D70,'Risk Taxonomy'!$A$5:$A$24,0))</f>
        <v>Regulatory compliance</v>
      </c>
      <c r="F70" s="7" t="str">
        <f aca="false">IF(D70="RC-04",IF(INDEX(Entities!$G$5:$G$34,MATCH(A70,Entities!$A$5:$A$34,0))="Y","Yes","N/A"),"Yes")</f>
        <v>Yes</v>
      </c>
      <c r="G70" s="24" t="n">
        <v>4</v>
      </c>
      <c r="H70" s="24" t="n">
        <v>3</v>
      </c>
      <c r="I70" s="24" t="n">
        <v>5</v>
      </c>
      <c r="J70" s="24" t="n">
        <v>4</v>
      </c>
      <c r="K70" s="24" t="n">
        <v>4</v>
      </c>
      <c r="L70" s="37" t="n">
        <f aca="false">IF(F70="N/A","",IF(COUNT(H70:K70)=0,"",IF(Config!$C$19="Highest dimension",MAX(H70:K70),ROUND(H70*Config!$C$20+I70*Config!$C$21+J70*Config!$C$22+K70*Config!$C$23,1))))</f>
        <v>5</v>
      </c>
      <c r="M70" s="38" t="n">
        <f aca="false">IF(OR(L70="",G70=""),"",G70*L70)</f>
        <v>20</v>
      </c>
      <c r="N70" s="31" t="n">
        <f aca="false">IF(M70="","",MATCH(M70,Config!$E$5:$E$9,1))</f>
        <v>5</v>
      </c>
      <c r="O70" s="7" t="str">
        <f aca="false">IF(F70="N/A","N/A",IF(N70="","Not assessed",INDEX(Config!$B$5:$B$9,N70)))</f>
        <v>High</v>
      </c>
      <c r="P70" s="32" t="n">
        <v>0</v>
      </c>
      <c r="Q70" s="8"/>
      <c r="R70" s="33"/>
      <c r="S70" s="34" t="n">
        <f aca="false">IF(N70="","",IF(AND(R70="Y",P70&lt;&gt;0),MAX(1,MIN(5,N70+MAX(-Config!$C$27,MIN(Config!$C$27,P70)))),N70))</f>
        <v>5</v>
      </c>
      <c r="T70" s="35" t="str">
        <f aca="false">IF(F70="N/A","N/A",IF(S70="","Not assessed",INDEX(Config!$B$5:$B$9,S70)))</f>
        <v>High</v>
      </c>
      <c r="U70" s="7" t="str">
        <f aca="false">IF(P70=0,"None",IF(R70="Y","Applied","Pending HO approval"))</f>
        <v>None</v>
      </c>
      <c r="V70" s="8"/>
    </row>
    <row r="71" customFormat="false" ht="15" hidden="false" customHeight="false" outlineLevel="0" collapsed="false">
      <c r="A71" s="26" t="str">
        <f aca="false">Entities!$A$10</f>
        <v>PS</v>
      </c>
      <c r="B71" s="12" t="str">
        <f aca="false">INDEX(Entities!$B$5:$B$34,MATCH(A71,Entities!$A$5:$A$34,0))</f>
        <v>Arab Bank – Palestine</v>
      </c>
      <c r="C71" s="12" t="str">
        <f aca="false">INDEX(Entities!$D$5:$D$34,MATCH(A71,Entities!$A$5:$A$34,0))</f>
        <v>Levant</v>
      </c>
      <c r="D71" s="12" t="s">
        <v>261</v>
      </c>
      <c r="E71" s="12" t="str">
        <f aca="false">INDEX('Risk Taxonomy'!$B$5:$B$24,MATCH(D71,'Risk Taxonomy'!$A$5:$A$24,0))</f>
        <v>Conduct and consumer protection</v>
      </c>
      <c r="F71" s="7" t="str">
        <f aca="false">IF(D71="RC-04",IF(INDEX(Entities!$G$5:$G$34,MATCH(A71,Entities!$A$5:$A$34,0))="Y","Yes","N/A"),"Yes")</f>
        <v>Yes</v>
      </c>
      <c r="G71" s="24" t="n">
        <v>2</v>
      </c>
      <c r="H71" s="24" t="n">
        <v>3</v>
      </c>
      <c r="I71" s="24" t="n">
        <v>4</v>
      </c>
      <c r="J71" s="24" t="n">
        <v>4</v>
      </c>
      <c r="K71" s="24" t="n">
        <v>4</v>
      </c>
      <c r="L71" s="37" t="n">
        <f aca="false">IF(F71="N/A","",IF(COUNT(H71:K71)=0,"",IF(Config!$C$19="Highest dimension",MAX(H71:K71),ROUND(H71*Config!$C$20+I71*Config!$C$21+J71*Config!$C$22+K71*Config!$C$23,1))))</f>
        <v>4</v>
      </c>
      <c r="M71" s="38" t="n">
        <f aca="false">IF(OR(L71="",G71=""),"",G71*L71)</f>
        <v>8</v>
      </c>
      <c r="N71" s="31" t="n">
        <f aca="false">IF(M71="","",MATCH(M71,Config!$E$5:$E$9,1))</f>
        <v>2</v>
      </c>
      <c r="O71" s="7" t="str">
        <f aca="false">IF(F71="N/A","N/A",IF(N71="","Not assessed",INDEX(Config!$B$5:$B$9,N71)))</f>
        <v>Medium-Low</v>
      </c>
      <c r="P71" s="32" t="n">
        <v>0</v>
      </c>
      <c r="Q71" s="8"/>
      <c r="R71" s="33"/>
      <c r="S71" s="34" t="n">
        <f aca="false">IF(N71="","",IF(AND(R71="Y",P71&lt;&gt;0),MAX(1,MIN(5,N71+MAX(-Config!$C$27,MIN(Config!$C$27,P71)))),N71))</f>
        <v>2</v>
      </c>
      <c r="T71" s="35" t="str">
        <f aca="false">IF(F71="N/A","N/A",IF(S71="","Not assessed",INDEX(Config!$B$5:$B$9,S71)))</f>
        <v>Medium-Low</v>
      </c>
      <c r="U71" s="7" t="str">
        <f aca="false">IF(P71=0,"None",IF(R71="Y","Applied","Pending HO approval"))</f>
        <v>None</v>
      </c>
      <c r="V71" s="8"/>
    </row>
    <row r="72" customFormat="false" ht="15" hidden="false" customHeight="false" outlineLevel="0" collapsed="false">
      <c r="A72" s="26" t="str">
        <f aca="false">Entities!$A$10</f>
        <v>PS</v>
      </c>
      <c r="B72" s="12" t="str">
        <f aca="false">INDEX(Entities!$B$5:$B$34,MATCH(A72,Entities!$A$5:$A$34,0))</f>
        <v>Arab Bank – Palestine</v>
      </c>
      <c r="C72" s="12" t="str">
        <f aca="false">INDEX(Entities!$D$5:$D$34,MATCH(A72,Entities!$A$5:$A$34,0))</f>
        <v>Levant</v>
      </c>
      <c r="D72" s="12" t="s">
        <v>263</v>
      </c>
      <c r="E72" s="12" t="str">
        <f aca="false">INDEX('Risk Taxonomy'!$B$5:$B$24,MATCH(D72,'Risk Taxonomy'!$A$5:$A$24,0))</f>
        <v>Data protection and privacy</v>
      </c>
      <c r="F72" s="7" t="str">
        <f aca="false">IF(D72="RC-04",IF(INDEX(Entities!$G$5:$G$34,MATCH(A72,Entities!$A$5:$A$34,0))="Y","Yes","N/A"),"Yes")</f>
        <v>Yes</v>
      </c>
      <c r="G72" s="24" t="n">
        <v>4</v>
      </c>
      <c r="H72" s="24" t="n">
        <v>4</v>
      </c>
      <c r="I72" s="24" t="n">
        <v>4</v>
      </c>
      <c r="J72" s="24" t="n">
        <v>4</v>
      </c>
      <c r="K72" s="24" t="n">
        <v>4</v>
      </c>
      <c r="L72" s="37" t="n">
        <f aca="false">IF(F72="N/A","",IF(COUNT(H72:K72)=0,"",IF(Config!$C$19="Highest dimension",MAX(H72:K72),ROUND(H72*Config!$C$20+I72*Config!$C$21+J72*Config!$C$22+K72*Config!$C$23,1))))</f>
        <v>4</v>
      </c>
      <c r="M72" s="38" t="n">
        <f aca="false">IF(OR(L72="",G72=""),"",G72*L72)</f>
        <v>16</v>
      </c>
      <c r="N72" s="31" t="n">
        <f aca="false">IF(M72="","",MATCH(M72,Config!$E$5:$E$9,1))</f>
        <v>4</v>
      </c>
      <c r="O72" s="7" t="str">
        <f aca="false">IF(F72="N/A","N/A",IF(N72="","Not assessed",INDEX(Config!$B$5:$B$9,N72)))</f>
        <v>Medium-High</v>
      </c>
      <c r="P72" s="32" t="n">
        <v>0</v>
      </c>
      <c r="Q72" s="8"/>
      <c r="R72" s="33"/>
      <c r="S72" s="34" t="n">
        <f aca="false">IF(N72="","",IF(AND(R72="Y",P72&lt;&gt;0),MAX(1,MIN(5,N72+MAX(-Config!$C$27,MIN(Config!$C$27,P72)))),N72))</f>
        <v>4</v>
      </c>
      <c r="T72" s="35" t="str">
        <f aca="false">IF(F72="N/A","N/A",IF(S72="","Not assessed",INDEX(Config!$B$5:$B$9,S72)))</f>
        <v>Medium-High</v>
      </c>
      <c r="U72" s="7" t="str">
        <f aca="false">IF(P72=0,"None",IF(R72="Y","Applied","Pending HO approval"))</f>
        <v>None</v>
      </c>
      <c r="V72" s="8"/>
    </row>
    <row r="73" customFormat="false" ht="15" hidden="false" customHeight="false" outlineLevel="0" collapsed="false">
      <c r="A73" s="26" t="str">
        <f aca="false">Entities!$A$10</f>
        <v>PS</v>
      </c>
      <c r="B73" s="12" t="str">
        <f aca="false">INDEX(Entities!$B$5:$B$34,MATCH(A73,Entities!$A$5:$A$34,0))</f>
        <v>Arab Bank – Palestine</v>
      </c>
      <c r="C73" s="12" t="str">
        <f aca="false">INDEX(Entities!$D$5:$D$34,MATCH(A73,Entities!$A$5:$A$34,0))</f>
        <v>Levant</v>
      </c>
      <c r="D73" s="12" t="s">
        <v>266</v>
      </c>
      <c r="E73" s="12" t="str">
        <f aca="false">INDEX('Risk Taxonomy'!$B$5:$B$24,MATCH(D73,'Risk Taxonomy'!$A$5:$A$24,0))</f>
        <v>Shariah non-compliance</v>
      </c>
      <c r="F73" s="7" t="str">
        <f aca="false">IF(D73="RC-04",IF(INDEX(Entities!$G$5:$G$34,MATCH(A73,Entities!$A$5:$A$34,0))="Y","Yes","N/A"),"Yes")</f>
        <v>N/A</v>
      </c>
      <c r="G73" s="24"/>
      <c r="H73" s="24"/>
      <c r="I73" s="24"/>
      <c r="J73" s="24"/>
      <c r="K73" s="24"/>
      <c r="L73" s="37" t="str">
        <f aca="false">IF(F73="N/A","",IF(COUNT(H73:K73)=0,"",IF(Config!$C$19="Highest dimension",MAX(H73:K73),ROUND(H73*Config!$C$20+I73*Config!$C$21+J73*Config!$C$22+K73*Config!$C$23,1))))</f>
        <v/>
      </c>
      <c r="M73" s="38" t="str">
        <f aca="false">IF(OR(L73="",G73=""),"",G73*L73)</f>
        <v/>
      </c>
      <c r="N73" s="31" t="str">
        <f aca="false">IF(M73="","",MATCH(M73,Config!$E$5:$E$9,1))</f>
        <v/>
      </c>
      <c r="O73" s="7" t="str">
        <f aca="false">IF(F73="N/A","N/A",IF(N73="","Not assessed",INDEX(Config!$B$5:$B$9,N73)))</f>
        <v>N/A</v>
      </c>
      <c r="P73" s="32" t="n">
        <v>0</v>
      </c>
      <c r="Q73" s="8"/>
      <c r="R73" s="33"/>
      <c r="S73" s="34" t="str">
        <f aca="false">IF(N73="","",IF(AND(R73="Y",P73&lt;&gt;0),MAX(1,MIN(5,N73+MAX(-Config!$C$27,MIN(Config!$C$27,P73)))),N73))</f>
        <v/>
      </c>
      <c r="T73" s="35" t="str">
        <f aca="false">IF(F73="N/A","N/A",IF(S73="","Not assessed",INDEX(Config!$B$5:$B$9,S73)))</f>
        <v>N/A</v>
      </c>
      <c r="U73" s="7" t="str">
        <f aca="false">IF(P73=0,"None",IF(R73="Y","Applied","Pending HO approval"))</f>
        <v>None</v>
      </c>
      <c r="V73" s="8"/>
    </row>
    <row r="74" customFormat="false" ht="15" hidden="false" customHeight="false" outlineLevel="0" collapsed="false">
      <c r="A74" s="26" t="str">
        <f aca="false">Entities!$A$10</f>
        <v>PS</v>
      </c>
      <c r="B74" s="12" t="str">
        <f aca="false">INDEX(Entities!$B$5:$B$34,MATCH(A74,Entities!$A$5:$A$34,0))</f>
        <v>Arab Bank – Palestine</v>
      </c>
      <c r="C74" s="12" t="str">
        <f aca="false">INDEX(Entities!$D$5:$D$34,MATCH(A74,Entities!$A$5:$A$34,0))</f>
        <v>Levant</v>
      </c>
      <c r="D74" s="12" t="s">
        <v>270</v>
      </c>
      <c r="E74" s="12" t="str">
        <f aca="false">INDEX('Risk Taxonomy'!$B$5:$B$24,MATCH(D74,'Risk Taxonomy'!$A$5:$A$24,0))</f>
        <v>Credit risk</v>
      </c>
      <c r="F74" s="7" t="str">
        <f aca="false">IF(D74="RC-04",IF(INDEX(Entities!$G$5:$G$34,MATCH(A74,Entities!$A$5:$A$34,0))="Y","Yes","N/A"),"Yes")</f>
        <v>Yes</v>
      </c>
      <c r="G74" s="24" t="n">
        <v>5</v>
      </c>
      <c r="H74" s="24" t="n">
        <v>4</v>
      </c>
      <c r="I74" s="24" t="n">
        <v>3</v>
      </c>
      <c r="J74" s="24" t="n">
        <v>4</v>
      </c>
      <c r="K74" s="24" t="n">
        <v>3</v>
      </c>
      <c r="L74" s="37" t="n">
        <f aca="false">IF(F74="N/A","",IF(COUNT(H74:K74)=0,"",IF(Config!$C$19="Highest dimension",MAX(H74:K74),ROUND(H74*Config!$C$20+I74*Config!$C$21+J74*Config!$C$22+K74*Config!$C$23,1))))</f>
        <v>4</v>
      </c>
      <c r="M74" s="38" t="n">
        <f aca="false">IF(OR(L74="",G74=""),"",G74*L74)</f>
        <v>20</v>
      </c>
      <c r="N74" s="31" t="n">
        <f aca="false">IF(M74="","",MATCH(M74,Config!$E$5:$E$9,1))</f>
        <v>5</v>
      </c>
      <c r="O74" s="7" t="str">
        <f aca="false">IF(F74="N/A","N/A",IF(N74="","Not assessed",INDEX(Config!$B$5:$B$9,N74)))</f>
        <v>High</v>
      </c>
      <c r="P74" s="32" t="n">
        <v>0</v>
      </c>
      <c r="Q74" s="8"/>
      <c r="R74" s="33"/>
      <c r="S74" s="34" t="n">
        <f aca="false">IF(N74="","",IF(AND(R74="Y",P74&lt;&gt;0),MAX(1,MIN(5,N74+MAX(-Config!$C$27,MIN(Config!$C$27,P74)))),N74))</f>
        <v>5</v>
      </c>
      <c r="T74" s="35" t="str">
        <f aca="false">IF(F74="N/A","N/A",IF(S74="","Not assessed",INDEX(Config!$B$5:$B$9,S74)))</f>
        <v>High</v>
      </c>
      <c r="U74" s="7" t="str">
        <f aca="false">IF(P74=0,"None",IF(R74="Y","Applied","Pending HO approval"))</f>
        <v>None</v>
      </c>
      <c r="V74" s="8"/>
    </row>
    <row r="75" customFormat="false" ht="15" hidden="false" customHeight="false" outlineLevel="0" collapsed="false">
      <c r="A75" s="26" t="str">
        <f aca="false">Entities!$A$10</f>
        <v>PS</v>
      </c>
      <c r="B75" s="12" t="str">
        <f aca="false">INDEX(Entities!$B$5:$B$34,MATCH(A75,Entities!$A$5:$A$34,0))</f>
        <v>Arab Bank – Palestine</v>
      </c>
      <c r="C75" s="12" t="str">
        <f aca="false">INDEX(Entities!$D$5:$D$34,MATCH(A75,Entities!$A$5:$A$34,0))</f>
        <v>Levant</v>
      </c>
      <c r="D75" s="12" t="s">
        <v>275</v>
      </c>
      <c r="E75" s="12" t="str">
        <f aca="false">INDEX('Risk Taxonomy'!$B$5:$B$24,MATCH(D75,'Risk Taxonomy'!$A$5:$A$24,0))</f>
        <v>Market risk</v>
      </c>
      <c r="F75" s="7" t="str">
        <f aca="false">IF(D75="RC-04",IF(INDEX(Entities!$G$5:$G$34,MATCH(A75,Entities!$A$5:$A$34,0))="Y","Yes","N/A"),"Yes")</f>
        <v>Yes</v>
      </c>
      <c r="G75" s="24" t="n">
        <v>4</v>
      </c>
      <c r="H75" s="24" t="n">
        <v>3</v>
      </c>
      <c r="I75" s="24" t="n">
        <v>4</v>
      </c>
      <c r="J75" s="24" t="n">
        <v>4</v>
      </c>
      <c r="K75" s="24" t="n">
        <v>4</v>
      </c>
      <c r="L75" s="37" t="n">
        <f aca="false">IF(F75="N/A","",IF(COUNT(H75:K75)=0,"",IF(Config!$C$19="Highest dimension",MAX(H75:K75),ROUND(H75*Config!$C$20+I75*Config!$C$21+J75*Config!$C$22+K75*Config!$C$23,1))))</f>
        <v>4</v>
      </c>
      <c r="M75" s="38" t="n">
        <f aca="false">IF(OR(L75="",G75=""),"",G75*L75)</f>
        <v>16</v>
      </c>
      <c r="N75" s="31" t="n">
        <f aca="false">IF(M75="","",MATCH(M75,Config!$E$5:$E$9,1))</f>
        <v>4</v>
      </c>
      <c r="O75" s="7" t="str">
        <f aca="false">IF(F75="N/A","N/A",IF(N75="","Not assessed",INDEX(Config!$B$5:$B$9,N75)))</f>
        <v>Medium-High</v>
      </c>
      <c r="P75" s="32" t="n">
        <v>0</v>
      </c>
      <c r="Q75" s="8"/>
      <c r="R75" s="33"/>
      <c r="S75" s="34" t="n">
        <f aca="false">IF(N75="","",IF(AND(R75="Y",P75&lt;&gt;0),MAX(1,MIN(5,N75+MAX(-Config!$C$27,MIN(Config!$C$27,P75)))),N75))</f>
        <v>4</v>
      </c>
      <c r="T75" s="35" t="str">
        <f aca="false">IF(F75="N/A","N/A",IF(S75="","Not assessed",INDEX(Config!$B$5:$B$9,S75)))</f>
        <v>Medium-High</v>
      </c>
      <c r="U75" s="7" t="str">
        <f aca="false">IF(P75=0,"None",IF(R75="Y","Applied","Pending HO approval"))</f>
        <v>None</v>
      </c>
      <c r="V75" s="8"/>
    </row>
    <row r="76" customFormat="false" ht="15" hidden="false" customHeight="false" outlineLevel="0" collapsed="false">
      <c r="A76" s="26" t="str">
        <f aca="false">Entities!$A$10</f>
        <v>PS</v>
      </c>
      <c r="B76" s="12" t="str">
        <f aca="false">INDEX(Entities!$B$5:$B$34,MATCH(A76,Entities!$A$5:$A$34,0))</f>
        <v>Arab Bank – Palestine</v>
      </c>
      <c r="C76" s="12" t="str">
        <f aca="false">INDEX(Entities!$D$5:$D$34,MATCH(A76,Entities!$A$5:$A$34,0))</f>
        <v>Levant</v>
      </c>
      <c r="D76" s="12" t="s">
        <v>277</v>
      </c>
      <c r="E76" s="12" t="str">
        <f aca="false">INDEX('Risk Taxonomy'!$B$5:$B$24,MATCH(D76,'Risk Taxonomy'!$A$5:$A$24,0))</f>
        <v>Liquidity and funding risk</v>
      </c>
      <c r="F76" s="7" t="str">
        <f aca="false">IF(D76="RC-04",IF(INDEX(Entities!$G$5:$G$34,MATCH(A76,Entities!$A$5:$A$34,0))="Y","Yes","N/A"),"Yes")</f>
        <v>Yes</v>
      </c>
      <c r="G76" s="24" t="n">
        <v>4</v>
      </c>
      <c r="H76" s="24" t="n">
        <v>5</v>
      </c>
      <c r="I76" s="24" t="n">
        <v>4</v>
      </c>
      <c r="J76" s="24" t="n">
        <v>4</v>
      </c>
      <c r="K76" s="24" t="n">
        <v>4</v>
      </c>
      <c r="L76" s="37" t="n">
        <f aca="false">IF(F76="N/A","",IF(COUNT(H76:K76)=0,"",IF(Config!$C$19="Highest dimension",MAX(H76:K76),ROUND(H76*Config!$C$20+I76*Config!$C$21+J76*Config!$C$22+K76*Config!$C$23,1))))</f>
        <v>5</v>
      </c>
      <c r="M76" s="38" t="n">
        <f aca="false">IF(OR(L76="",G76=""),"",G76*L76)</f>
        <v>20</v>
      </c>
      <c r="N76" s="31" t="n">
        <f aca="false">IF(M76="","",MATCH(M76,Config!$E$5:$E$9,1))</f>
        <v>5</v>
      </c>
      <c r="O76" s="7" t="str">
        <f aca="false">IF(F76="N/A","N/A",IF(N76="","Not assessed",INDEX(Config!$B$5:$B$9,N76)))</f>
        <v>High</v>
      </c>
      <c r="P76" s="32" t="n">
        <v>0</v>
      </c>
      <c r="Q76" s="8"/>
      <c r="R76" s="33"/>
      <c r="S76" s="34" t="n">
        <f aca="false">IF(N76="","",IF(AND(R76="Y",P76&lt;&gt;0),MAX(1,MIN(5,N76+MAX(-Config!$C$27,MIN(Config!$C$27,P76)))),N76))</f>
        <v>5</v>
      </c>
      <c r="T76" s="35" t="str">
        <f aca="false">IF(F76="N/A","N/A",IF(S76="","Not assessed",INDEX(Config!$B$5:$B$9,S76)))</f>
        <v>High</v>
      </c>
      <c r="U76" s="7" t="str">
        <f aca="false">IF(P76=0,"None",IF(R76="Y","Applied","Pending HO approval"))</f>
        <v>None</v>
      </c>
      <c r="V76" s="8"/>
    </row>
    <row r="77" customFormat="false" ht="15" hidden="false" customHeight="false" outlineLevel="0" collapsed="false">
      <c r="A77" s="26" t="str">
        <f aca="false">Entities!$A$10</f>
        <v>PS</v>
      </c>
      <c r="B77" s="12" t="str">
        <f aca="false">INDEX(Entities!$B$5:$B$34,MATCH(A77,Entities!$A$5:$A$34,0))</f>
        <v>Arab Bank – Palestine</v>
      </c>
      <c r="C77" s="12" t="str">
        <f aca="false">INDEX(Entities!$D$5:$D$34,MATCH(A77,Entities!$A$5:$A$34,0))</f>
        <v>Levant</v>
      </c>
      <c r="D77" s="12" t="s">
        <v>280</v>
      </c>
      <c r="E77" s="12" t="str">
        <f aca="false">INDEX('Risk Taxonomy'!$B$5:$B$24,MATCH(D77,'Risk Taxonomy'!$A$5:$A$24,0))</f>
        <v>Operational risk</v>
      </c>
      <c r="F77" s="7" t="str">
        <f aca="false">IF(D77="RC-04",IF(INDEX(Entities!$G$5:$G$34,MATCH(A77,Entities!$A$5:$A$34,0))="Y","Yes","N/A"),"Yes")</f>
        <v>Yes</v>
      </c>
      <c r="G77" s="24" t="n">
        <v>4</v>
      </c>
      <c r="H77" s="24" t="n">
        <v>4</v>
      </c>
      <c r="I77" s="24" t="n">
        <v>3</v>
      </c>
      <c r="J77" s="24" t="n">
        <v>3</v>
      </c>
      <c r="K77" s="24" t="n">
        <v>3</v>
      </c>
      <c r="L77" s="37" t="n">
        <f aca="false">IF(F77="N/A","",IF(COUNT(H77:K77)=0,"",IF(Config!$C$19="Highest dimension",MAX(H77:K77),ROUND(H77*Config!$C$20+I77*Config!$C$21+J77*Config!$C$22+K77*Config!$C$23,1))))</f>
        <v>4</v>
      </c>
      <c r="M77" s="38" t="n">
        <f aca="false">IF(OR(L77="",G77=""),"",G77*L77)</f>
        <v>16</v>
      </c>
      <c r="N77" s="31" t="n">
        <f aca="false">IF(M77="","",MATCH(M77,Config!$E$5:$E$9,1))</f>
        <v>4</v>
      </c>
      <c r="O77" s="7" t="str">
        <f aca="false">IF(F77="N/A","N/A",IF(N77="","Not assessed",INDEX(Config!$B$5:$B$9,N77)))</f>
        <v>Medium-High</v>
      </c>
      <c r="P77" s="32" t="n">
        <v>0</v>
      </c>
      <c r="Q77" s="8"/>
      <c r="R77" s="33"/>
      <c r="S77" s="34" t="n">
        <f aca="false">IF(N77="","",IF(AND(R77="Y",P77&lt;&gt;0),MAX(1,MIN(5,N77+MAX(-Config!$C$27,MIN(Config!$C$27,P77)))),N77))</f>
        <v>4</v>
      </c>
      <c r="T77" s="35" t="str">
        <f aca="false">IF(F77="N/A","N/A",IF(S77="","Not assessed",INDEX(Config!$B$5:$B$9,S77)))</f>
        <v>Medium-High</v>
      </c>
      <c r="U77" s="7" t="str">
        <f aca="false">IF(P77=0,"None",IF(R77="Y","Applied","Pending HO approval"))</f>
        <v>None</v>
      </c>
      <c r="V77" s="8"/>
    </row>
    <row r="78" customFormat="false" ht="15" hidden="false" customHeight="false" outlineLevel="0" collapsed="false">
      <c r="A78" s="26" t="str">
        <f aca="false">Entities!$A$10</f>
        <v>PS</v>
      </c>
      <c r="B78" s="12" t="str">
        <f aca="false">INDEX(Entities!$B$5:$B$34,MATCH(A78,Entities!$A$5:$A$34,0))</f>
        <v>Arab Bank – Palestine</v>
      </c>
      <c r="C78" s="12" t="str">
        <f aca="false">INDEX(Entities!$D$5:$D$34,MATCH(A78,Entities!$A$5:$A$34,0))</f>
        <v>Levant</v>
      </c>
      <c r="D78" s="12" t="s">
        <v>283</v>
      </c>
      <c r="E78" s="12" t="str">
        <f aca="false">INDEX('Risk Taxonomy'!$B$5:$B$24,MATCH(D78,'Risk Taxonomy'!$A$5:$A$24,0))</f>
        <v>Cyber, information security and technology</v>
      </c>
      <c r="F78" s="7" t="str">
        <f aca="false">IF(D78="RC-04",IF(INDEX(Entities!$G$5:$G$34,MATCH(A78,Entities!$A$5:$A$34,0))="Y","Yes","N/A"),"Yes")</f>
        <v>Yes</v>
      </c>
      <c r="G78" s="24" t="n">
        <v>5</v>
      </c>
      <c r="H78" s="24" t="n">
        <v>4</v>
      </c>
      <c r="I78" s="24" t="n">
        <v>2</v>
      </c>
      <c r="J78" s="24" t="n">
        <v>4</v>
      </c>
      <c r="K78" s="24" t="n">
        <v>4</v>
      </c>
      <c r="L78" s="37" t="n">
        <f aca="false">IF(F78="N/A","",IF(COUNT(H78:K78)=0,"",IF(Config!$C$19="Highest dimension",MAX(H78:K78),ROUND(H78*Config!$C$20+I78*Config!$C$21+J78*Config!$C$22+K78*Config!$C$23,1))))</f>
        <v>4</v>
      </c>
      <c r="M78" s="38" t="n">
        <f aca="false">IF(OR(L78="",G78=""),"",G78*L78)</f>
        <v>20</v>
      </c>
      <c r="N78" s="31" t="n">
        <f aca="false">IF(M78="","",MATCH(M78,Config!$E$5:$E$9,1))</f>
        <v>5</v>
      </c>
      <c r="O78" s="7" t="str">
        <f aca="false">IF(F78="N/A","N/A",IF(N78="","Not assessed",INDEX(Config!$B$5:$B$9,N78)))</f>
        <v>High</v>
      </c>
      <c r="P78" s="32" t="n">
        <v>0</v>
      </c>
      <c r="Q78" s="8"/>
      <c r="R78" s="33"/>
      <c r="S78" s="34" t="n">
        <f aca="false">IF(N78="","",IF(AND(R78="Y",P78&lt;&gt;0),MAX(1,MIN(5,N78+MAX(-Config!$C$27,MIN(Config!$C$27,P78)))),N78))</f>
        <v>5</v>
      </c>
      <c r="T78" s="35" t="str">
        <f aca="false">IF(F78="N/A","N/A",IF(S78="","Not assessed",INDEX(Config!$B$5:$B$9,S78)))</f>
        <v>High</v>
      </c>
      <c r="U78" s="7" t="str">
        <f aca="false">IF(P78=0,"None",IF(R78="Y","Applied","Pending HO approval"))</f>
        <v>None</v>
      </c>
      <c r="V78" s="8"/>
    </row>
    <row r="79" customFormat="false" ht="15" hidden="false" customHeight="false" outlineLevel="0" collapsed="false">
      <c r="A79" s="26" t="str">
        <f aca="false">Entities!$A$10</f>
        <v>PS</v>
      </c>
      <c r="B79" s="12" t="str">
        <f aca="false">INDEX(Entities!$B$5:$B$34,MATCH(A79,Entities!$A$5:$A$34,0))</f>
        <v>Arab Bank – Palestine</v>
      </c>
      <c r="C79" s="12" t="str">
        <f aca="false">INDEX(Entities!$D$5:$D$34,MATCH(A79,Entities!$A$5:$A$34,0))</f>
        <v>Levant</v>
      </c>
      <c r="D79" s="12" t="s">
        <v>286</v>
      </c>
      <c r="E79" s="12" t="str">
        <f aca="false">INDEX('Risk Taxonomy'!$B$5:$B$24,MATCH(D79,'Risk Taxonomy'!$A$5:$A$24,0))</f>
        <v>Third-party and outsourcing</v>
      </c>
      <c r="F79" s="7" t="str">
        <f aca="false">IF(D79="RC-04",IF(INDEX(Entities!$G$5:$G$34,MATCH(A79,Entities!$A$5:$A$34,0))="Y","Yes","N/A"),"Yes")</f>
        <v>Yes</v>
      </c>
      <c r="G79" s="24" t="n">
        <v>4</v>
      </c>
      <c r="H79" s="24" t="n">
        <v>4</v>
      </c>
      <c r="I79" s="24" t="n">
        <v>1</v>
      </c>
      <c r="J79" s="24" t="n">
        <v>4</v>
      </c>
      <c r="K79" s="24" t="n">
        <v>4</v>
      </c>
      <c r="L79" s="37" t="n">
        <f aca="false">IF(F79="N/A","",IF(COUNT(H79:K79)=0,"",IF(Config!$C$19="Highest dimension",MAX(H79:K79),ROUND(H79*Config!$C$20+I79*Config!$C$21+J79*Config!$C$22+K79*Config!$C$23,1))))</f>
        <v>4</v>
      </c>
      <c r="M79" s="38" t="n">
        <f aca="false">IF(OR(L79="",G79=""),"",G79*L79)</f>
        <v>16</v>
      </c>
      <c r="N79" s="31" t="n">
        <f aca="false">IF(M79="","",MATCH(M79,Config!$E$5:$E$9,1))</f>
        <v>4</v>
      </c>
      <c r="O79" s="7" t="str">
        <f aca="false">IF(F79="N/A","N/A",IF(N79="","Not assessed",INDEX(Config!$B$5:$B$9,N79)))</f>
        <v>Medium-High</v>
      </c>
      <c r="P79" s="32" t="n">
        <v>0</v>
      </c>
      <c r="Q79" s="8"/>
      <c r="R79" s="33"/>
      <c r="S79" s="34" t="n">
        <f aca="false">IF(N79="","",IF(AND(R79="Y",P79&lt;&gt;0),MAX(1,MIN(5,N79+MAX(-Config!$C$27,MIN(Config!$C$27,P79)))),N79))</f>
        <v>4</v>
      </c>
      <c r="T79" s="35" t="str">
        <f aca="false">IF(F79="N/A","N/A",IF(S79="","Not assessed",INDEX(Config!$B$5:$B$9,S79)))</f>
        <v>Medium-High</v>
      </c>
      <c r="U79" s="7" t="str">
        <f aca="false">IF(P79=0,"None",IF(R79="Y","Applied","Pending HO approval"))</f>
        <v>None</v>
      </c>
      <c r="V79" s="8"/>
    </row>
    <row r="80" customFormat="false" ht="15" hidden="false" customHeight="false" outlineLevel="0" collapsed="false">
      <c r="A80" s="26" t="str">
        <f aca="false">Entities!$A$10</f>
        <v>PS</v>
      </c>
      <c r="B80" s="12" t="str">
        <f aca="false">INDEX(Entities!$B$5:$B$34,MATCH(A80,Entities!$A$5:$A$34,0))</f>
        <v>Arab Bank – Palestine</v>
      </c>
      <c r="C80" s="12" t="str">
        <f aca="false">INDEX(Entities!$D$5:$D$34,MATCH(A80,Entities!$A$5:$A$34,0))</f>
        <v>Levant</v>
      </c>
      <c r="D80" s="12" t="s">
        <v>289</v>
      </c>
      <c r="E80" s="12" t="str">
        <f aca="false">INDEX('Risk Taxonomy'!$B$5:$B$24,MATCH(D80,'Risk Taxonomy'!$A$5:$A$24,0))</f>
        <v>Legal and litigation</v>
      </c>
      <c r="F80" s="7" t="str">
        <f aca="false">IF(D80="RC-04",IF(INDEX(Entities!$G$5:$G$34,MATCH(A80,Entities!$A$5:$A$34,0))="Y","Yes","N/A"),"Yes")</f>
        <v>Yes</v>
      </c>
      <c r="G80" s="24" t="n">
        <v>4</v>
      </c>
      <c r="H80" s="24" t="n">
        <v>4</v>
      </c>
      <c r="I80" s="24" t="n">
        <v>4</v>
      </c>
      <c r="J80" s="24" t="n">
        <v>5</v>
      </c>
      <c r="K80" s="24" t="n">
        <v>3</v>
      </c>
      <c r="L80" s="37" t="n">
        <f aca="false">IF(F80="N/A","",IF(COUNT(H80:K80)=0,"",IF(Config!$C$19="Highest dimension",MAX(H80:K80),ROUND(H80*Config!$C$20+I80*Config!$C$21+J80*Config!$C$22+K80*Config!$C$23,1))))</f>
        <v>5</v>
      </c>
      <c r="M80" s="38" t="n">
        <f aca="false">IF(OR(L80="",G80=""),"",G80*L80)</f>
        <v>20</v>
      </c>
      <c r="N80" s="31" t="n">
        <f aca="false">IF(M80="","",MATCH(M80,Config!$E$5:$E$9,1))</f>
        <v>5</v>
      </c>
      <c r="O80" s="7" t="str">
        <f aca="false">IF(F80="N/A","N/A",IF(N80="","Not assessed",INDEX(Config!$B$5:$B$9,N80)))</f>
        <v>High</v>
      </c>
      <c r="P80" s="32" t="n">
        <v>0</v>
      </c>
      <c r="Q80" s="8"/>
      <c r="R80" s="33"/>
      <c r="S80" s="34" t="n">
        <f aca="false">IF(N80="","",IF(AND(R80="Y",P80&lt;&gt;0),MAX(1,MIN(5,N80+MAX(-Config!$C$27,MIN(Config!$C$27,P80)))),N80))</f>
        <v>5</v>
      </c>
      <c r="T80" s="35" t="str">
        <f aca="false">IF(F80="N/A","N/A",IF(S80="","Not assessed",INDEX(Config!$B$5:$B$9,S80)))</f>
        <v>High</v>
      </c>
      <c r="U80" s="7" t="str">
        <f aca="false">IF(P80=0,"None",IF(R80="Y","Applied","Pending HO approval"))</f>
        <v>None</v>
      </c>
      <c r="V80" s="8"/>
    </row>
    <row r="81" customFormat="false" ht="15" hidden="false" customHeight="false" outlineLevel="0" collapsed="false">
      <c r="A81" s="26" t="str">
        <f aca="false">Entities!$A$10</f>
        <v>PS</v>
      </c>
      <c r="B81" s="12" t="str">
        <f aca="false">INDEX(Entities!$B$5:$B$34,MATCH(A81,Entities!$A$5:$A$34,0))</f>
        <v>Arab Bank – Palestine</v>
      </c>
      <c r="C81" s="12" t="str">
        <f aca="false">INDEX(Entities!$D$5:$D$34,MATCH(A81,Entities!$A$5:$A$34,0))</f>
        <v>Levant</v>
      </c>
      <c r="D81" s="12" t="s">
        <v>292</v>
      </c>
      <c r="E81" s="12" t="str">
        <f aca="false">INDEX('Risk Taxonomy'!$B$5:$B$24,MATCH(D81,'Risk Taxonomy'!$A$5:$A$24,0))</f>
        <v>Reputational</v>
      </c>
      <c r="F81" s="7" t="str">
        <f aca="false">IF(D81="RC-04",IF(INDEX(Entities!$G$5:$G$34,MATCH(A81,Entities!$A$5:$A$34,0))="Y","Yes","N/A"),"Yes")</f>
        <v>Yes</v>
      </c>
      <c r="G81" s="24" t="n">
        <v>4</v>
      </c>
      <c r="H81" s="24" t="n">
        <v>2</v>
      </c>
      <c r="I81" s="24" t="n">
        <v>4</v>
      </c>
      <c r="J81" s="24" t="n">
        <v>3</v>
      </c>
      <c r="K81" s="24" t="n">
        <v>3</v>
      </c>
      <c r="L81" s="37" t="n">
        <f aca="false">IF(F81="N/A","",IF(COUNT(H81:K81)=0,"",IF(Config!$C$19="Highest dimension",MAX(H81:K81),ROUND(H81*Config!$C$20+I81*Config!$C$21+J81*Config!$C$22+K81*Config!$C$23,1))))</f>
        <v>4</v>
      </c>
      <c r="M81" s="38" t="n">
        <f aca="false">IF(OR(L81="",G81=""),"",G81*L81)</f>
        <v>16</v>
      </c>
      <c r="N81" s="31" t="n">
        <f aca="false">IF(M81="","",MATCH(M81,Config!$E$5:$E$9,1))</f>
        <v>4</v>
      </c>
      <c r="O81" s="7" t="str">
        <f aca="false">IF(F81="N/A","N/A",IF(N81="","Not assessed",INDEX(Config!$B$5:$B$9,N81)))</f>
        <v>Medium-High</v>
      </c>
      <c r="P81" s="32" t="n">
        <v>0</v>
      </c>
      <c r="Q81" s="8"/>
      <c r="R81" s="33"/>
      <c r="S81" s="34" t="n">
        <f aca="false">IF(N81="","",IF(AND(R81="Y",P81&lt;&gt;0),MAX(1,MIN(5,N81+MAX(-Config!$C$27,MIN(Config!$C$27,P81)))),N81))</f>
        <v>4</v>
      </c>
      <c r="T81" s="35" t="str">
        <f aca="false">IF(F81="N/A","N/A",IF(S81="","Not assessed",INDEX(Config!$B$5:$B$9,S81)))</f>
        <v>Medium-High</v>
      </c>
      <c r="U81" s="7" t="str">
        <f aca="false">IF(P81=0,"None",IF(R81="Y","Applied","Pending HO approval"))</f>
        <v>None</v>
      </c>
      <c r="V81" s="8"/>
    </row>
    <row r="82" customFormat="false" ht="15" hidden="false" customHeight="false" outlineLevel="0" collapsed="false">
      <c r="A82" s="26" t="str">
        <f aca="false">Entities!$A$10</f>
        <v>PS</v>
      </c>
      <c r="B82" s="12" t="str">
        <f aca="false">INDEX(Entities!$B$5:$B$34,MATCH(A82,Entities!$A$5:$A$34,0))</f>
        <v>Arab Bank – Palestine</v>
      </c>
      <c r="C82" s="12" t="str">
        <f aca="false">INDEX(Entities!$D$5:$D$34,MATCH(A82,Entities!$A$5:$A$34,0))</f>
        <v>Levant</v>
      </c>
      <c r="D82" s="12" t="s">
        <v>295</v>
      </c>
      <c r="E82" s="12" t="str">
        <f aca="false">INDEX('Risk Taxonomy'!$B$5:$B$24,MATCH(D82,'Risk Taxonomy'!$A$5:$A$24,0))</f>
        <v>Strategic, business model and ESG</v>
      </c>
      <c r="F82" s="7" t="str">
        <f aca="false">IF(D82="RC-04",IF(INDEX(Entities!$G$5:$G$34,MATCH(A82,Entities!$A$5:$A$34,0))="Y","Yes","N/A"),"Yes")</f>
        <v>Yes</v>
      </c>
      <c r="G82" s="24" t="n">
        <v>5</v>
      </c>
      <c r="H82" s="24" t="n">
        <v>5</v>
      </c>
      <c r="I82" s="24" t="n">
        <v>4</v>
      </c>
      <c r="J82" s="24" t="n">
        <v>4</v>
      </c>
      <c r="K82" s="24" t="n">
        <v>4</v>
      </c>
      <c r="L82" s="37" t="n">
        <f aca="false">IF(F82="N/A","",IF(COUNT(H82:K82)=0,"",IF(Config!$C$19="Highest dimension",MAX(H82:K82),ROUND(H82*Config!$C$20+I82*Config!$C$21+J82*Config!$C$22+K82*Config!$C$23,1))))</f>
        <v>5</v>
      </c>
      <c r="M82" s="38" t="n">
        <f aca="false">IF(OR(L82="",G82=""),"",G82*L82)</f>
        <v>25</v>
      </c>
      <c r="N82" s="31" t="n">
        <f aca="false">IF(M82="","",MATCH(M82,Config!$E$5:$E$9,1))</f>
        <v>5</v>
      </c>
      <c r="O82" s="7" t="str">
        <f aca="false">IF(F82="N/A","N/A",IF(N82="","Not assessed",INDEX(Config!$B$5:$B$9,N82)))</f>
        <v>High</v>
      </c>
      <c r="P82" s="32" t="n">
        <v>0</v>
      </c>
      <c r="Q82" s="8"/>
      <c r="R82" s="33"/>
      <c r="S82" s="34" t="n">
        <f aca="false">IF(N82="","",IF(AND(R82="Y",P82&lt;&gt;0),MAX(1,MIN(5,N82+MAX(-Config!$C$27,MIN(Config!$C$27,P82)))),N82))</f>
        <v>5</v>
      </c>
      <c r="T82" s="35" t="str">
        <f aca="false">IF(F82="N/A","N/A",IF(S82="","Not assessed",INDEX(Config!$B$5:$B$9,S82)))</f>
        <v>High</v>
      </c>
      <c r="U82" s="7" t="str">
        <f aca="false">IF(P82=0,"None",IF(R82="Y","Applied","Pending HO approval"))</f>
        <v>None</v>
      </c>
      <c r="V82" s="8"/>
    </row>
    <row r="83" customFormat="false" ht="15" hidden="false" customHeight="false" outlineLevel="0" collapsed="false">
      <c r="A83" s="26" t="str">
        <f aca="false">Entities!$A$11</f>
        <v>PS-INV</v>
      </c>
      <c r="B83" s="12" t="str">
        <f aca="false">INDEX(Entities!$B$5:$B$34,MATCH(A83,Entities!$A$5:$A$34,0))</f>
        <v>Al-Arabi Investment Group – Palestine</v>
      </c>
      <c r="C83" s="12" t="str">
        <f aca="false">INDEX(Entities!$D$5:$D$34,MATCH(A83,Entities!$A$5:$A$34,0))</f>
        <v>Levant</v>
      </c>
      <c r="D83" s="12" t="s">
        <v>257</v>
      </c>
      <c r="E83" s="12" t="str">
        <f aca="false">INDEX('Risk Taxonomy'!$B$5:$B$24,MATCH(D83,'Risk Taxonomy'!$A$5:$A$24,0))</f>
        <v>Regulatory compliance</v>
      </c>
      <c r="F83" s="7" t="str">
        <f aca="false">IF(D83="RC-04",IF(INDEX(Entities!$G$5:$G$34,MATCH(A83,Entities!$A$5:$A$34,0))="Y","Yes","N/A"),"Yes")</f>
        <v>Yes</v>
      </c>
      <c r="G83" s="24" t="n">
        <v>5</v>
      </c>
      <c r="H83" s="24" t="n">
        <v>2</v>
      </c>
      <c r="I83" s="24" t="n">
        <v>5</v>
      </c>
      <c r="J83" s="24" t="n">
        <v>5</v>
      </c>
      <c r="K83" s="24" t="n">
        <v>3</v>
      </c>
      <c r="L83" s="37" t="n">
        <f aca="false">IF(F83="N/A","",IF(COUNT(H83:K83)=0,"",IF(Config!$C$19="Highest dimension",MAX(H83:K83),ROUND(H83*Config!$C$20+I83*Config!$C$21+J83*Config!$C$22+K83*Config!$C$23,1))))</f>
        <v>5</v>
      </c>
      <c r="M83" s="38" t="n">
        <f aca="false">IF(OR(L83="",G83=""),"",G83*L83)</f>
        <v>25</v>
      </c>
      <c r="N83" s="31" t="n">
        <f aca="false">IF(M83="","",MATCH(M83,Config!$E$5:$E$9,1))</f>
        <v>5</v>
      </c>
      <c r="O83" s="7" t="str">
        <f aca="false">IF(F83="N/A","N/A",IF(N83="","Not assessed",INDEX(Config!$B$5:$B$9,N83)))</f>
        <v>High</v>
      </c>
      <c r="P83" s="32" t="n">
        <v>0</v>
      </c>
      <c r="Q83" s="8"/>
      <c r="R83" s="33"/>
      <c r="S83" s="34" t="n">
        <f aca="false">IF(N83="","",IF(AND(R83="Y",P83&lt;&gt;0),MAX(1,MIN(5,N83+MAX(-Config!$C$27,MIN(Config!$C$27,P83)))),N83))</f>
        <v>5</v>
      </c>
      <c r="T83" s="35" t="str">
        <f aca="false">IF(F83="N/A","N/A",IF(S83="","Not assessed",INDEX(Config!$B$5:$B$9,S83)))</f>
        <v>High</v>
      </c>
      <c r="U83" s="7" t="str">
        <f aca="false">IF(P83=0,"None",IF(R83="Y","Applied","Pending HO approval"))</f>
        <v>None</v>
      </c>
      <c r="V83" s="8"/>
    </row>
    <row r="84" customFormat="false" ht="15" hidden="false" customHeight="false" outlineLevel="0" collapsed="false">
      <c r="A84" s="26" t="str">
        <f aca="false">Entities!$A$11</f>
        <v>PS-INV</v>
      </c>
      <c r="B84" s="12" t="str">
        <f aca="false">INDEX(Entities!$B$5:$B$34,MATCH(A84,Entities!$A$5:$A$34,0))</f>
        <v>Al-Arabi Investment Group – Palestine</v>
      </c>
      <c r="C84" s="12" t="str">
        <f aca="false">INDEX(Entities!$D$5:$D$34,MATCH(A84,Entities!$A$5:$A$34,0))</f>
        <v>Levant</v>
      </c>
      <c r="D84" s="12" t="s">
        <v>261</v>
      </c>
      <c r="E84" s="12" t="str">
        <f aca="false">INDEX('Risk Taxonomy'!$B$5:$B$24,MATCH(D84,'Risk Taxonomy'!$A$5:$A$24,0))</f>
        <v>Conduct and consumer protection</v>
      </c>
      <c r="F84" s="7" t="str">
        <f aca="false">IF(D84="RC-04",IF(INDEX(Entities!$G$5:$G$34,MATCH(A84,Entities!$A$5:$A$34,0))="Y","Yes","N/A"),"Yes")</f>
        <v>Yes</v>
      </c>
      <c r="G84" s="24" t="n">
        <v>5</v>
      </c>
      <c r="H84" s="24" t="n">
        <v>3</v>
      </c>
      <c r="I84" s="24" t="n">
        <v>4</v>
      </c>
      <c r="J84" s="24" t="n">
        <v>4</v>
      </c>
      <c r="K84" s="24" t="n">
        <v>3</v>
      </c>
      <c r="L84" s="37" t="n">
        <f aca="false">IF(F84="N/A","",IF(COUNT(H84:K84)=0,"",IF(Config!$C$19="Highest dimension",MAX(H84:K84),ROUND(H84*Config!$C$20+I84*Config!$C$21+J84*Config!$C$22+K84*Config!$C$23,1))))</f>
        <v>4</v>
      </c>
      <c r="M84" s="38" t="n">
        <f aca="false">IF(OR(L84="",G84=""),"",G84*L84)</f>
        <v>20</v>
      </c>
      <c r="N84" s="31" t="n">
        <f aca="false">IF(M84="","",MATCH(M84,Config!$E$5:$E$9,1))</f>
        <v>5</v>
      </c>
      <c r="O84" s="7" t="str">
        <f aca="false">IF(F84="N/A","N/A",IF(N84="","Not assessed",INDEX(Config!$B$5:$B$9,N84)))</f>
        <v>High</v>
      </c>
      <c r="P84" s="32" t="n">
        <v>0</v>
      </c>
      <c r="Q84" s="8"/>
      <c r="R84" s="33"/>
      <c r="S84" s="34" t="n">
        <f aca="false">IF(N84="","",IF(AND(R84="Y",P84&lt;&gt;0),MAX(1,MIN(5,N84+MAX(-Config!$C$27,MIN(Config!$C$27,P84)))),N84))</f>
        <v>5</v>
      </c>
      <c r="T84" s="35" t="str">
        <f aca="false">IF(F84="N/A","N/A",IF(S84="","Not assessed",INDEX(Config!$B$5:$B$9,S84)))</f>
        <v>High</v>
      </c>
      <c r="U84" s="7" t="str">
        <f aca="false">IF(P84=0,"None",IF(R84="Y","Applied","Pending HO approval"))</f>
        <v>None</v>
      </c>
      <c r="V84" s="8"/>
    </row>
    <row r="85" customFormat="false" ht="15" hidden="false" customHeight="false" outlineLevel="0" collapsed="false">
      <c r="A85" s="26" t="str">
        <f aca="false">Entities!$A$11</f>
        <v>PS-INV</v>
      </c>
      <c r="B85" s="12" t="str">
        <f aca="false">INDEX(Entities!$B$5:$B$34,MATCH(A85,Entities!$A$5:$A$34,0))</f>
        <v>Al-Arabi Investment Group – Palestine</v>
      </c>
      <c r="C85" s="12" t="str">
        <f aca="false">INDEX(Entities!$D$5:$D$34,MATCH(A85,Entities!$A$5:$A$34,0))</f>
        <v>Levant</v>
      </c>
      <c r="D85" s="12" t="s">
        <v>263</v>
      </c>
      <c r="E85" s="12" t="str">
        <f aca="false">INDEX('Risk Taxonomy'!$B$5:$B$24,MATCH(D85,'Risk Taxonomy'!$A$5:$A$24,0))</f>
        <v>Data protection and privacy</v>
      </c>
      <c r="F85" s="7" t="str">
        <f aca="false">IF(D85="RC-04",IF(INDEX(Entities!$G$5:$G$34,MATCH(A85,Entities!$A$5:$A$34,0))="Y","Yes","N/A"),"Yes")</f>
        <v>Yes</v>
      </c>
      <c r="G85" s="24" t="n">
        <v>4</v>
      </c>
      <c r="H85" s="24" t="n">
        <v>4</v>
      </c>
      <c r="I85" s="24" t="n">
        <v>4</v>
      </c>
      <c r="J85" s="24" t="n">
        <v>4</v>
      </c>
      <c r="K85" s="24" t="n">
        <v>4</v>
      </c>
      <c r="L85" s="37" t="n">
        <f aca="false">IF(F85="N/A","",IF(COUNT(H85:K85)=0,"",IF(Config!$C$19="Highest dimension",MAX(H85:K85),ROUND(H85*Config!$C$20+I85*Config!$C$21+J85*Config!$C$22+K85*Config!$C$23,1))))</f>
        <v>4</v>
      </c>
      <c r="M85" s="38" t="n">
        <f aca="false">IF(OR(L85="",G85=""),"",G85*L85)</f>
        <v>16</v>
      </c>
      <c r="N85" s="31" t="n">
        <f aca="false">IF(M85="","",MATCH(M85,Config!$E$5:$E$9,1))</f>
        <v>4</v>
      </c>
      <c r="O85" s="7" t="str">
        <f aca="false">IF(F85="N/A","N/A",IF(N85="","Not assessed",INDEX(Config!$B$5:$B$9,N85)))</f>
        <v>Medium-High</v>
      </c>
      <c r="P85" s="32" t="n">
        <v>0</v>
      </c>
      <c r="Q85" s="8"/>
      <c r="R85" s="33"/>
      <c r="S85" s="34" t="n">
        <f aca="false">IF(N85="","",IF(AND(R85="Y",P85&lt;&gt;0),MAX(1,MIN(5,N85+MAX(-Config!$C$27,MIN(Config!$C$27,P85)))),N85))</f>
        <v>4</v>
      </c>
      <c r="T85" s="35" t="str">
        <f aca="false">IF(F85="N/A","N/A",IF(S85="","Not assessed",INDEX(Config!$B$5:$B$9,S85)))</f>
        <v>Medium-High</v>
      </c>
      <c r="U85" s="7" t="str">
        <f aca="false">IF(P85=0,"None",IF(R85="Y","Applied","Pending HO approval"))</f>
        <v>None</v>
      </c>
      <c r="V85" s="8"/>
    </row>
    <row r="86" customFormat="false" ht="15" hidden="false" customHeight="false" outlineLevel="0" collapsed="false">
      <c r="A86" s="26" t="str">
        <f aca="false">Entities!$A$11</f>
        <v>PS-INV</v>
      </c>
      <c r="B86" s="12" t="str">
        <f aca="false">INDEX(Entities!$B$5:$B$34,MATCH(A86,Entities!$A$5:$A$34,0))</f>
        <v>Al-Arabi Investment Group – Palestine</v>
      </c>
      <c r="C86" s="12" t="str">
        <f aca="false">INDEX(Entities!$D$5:$D$34,MATCH(A86,Entities!$A$5:$A$34,0))</f>
        <v>Levant</v>
      </c>
      <c r="D86" s="12" t="s">
        <v>266</v>
      </c>
      <c r="E86" s="12" t="str">
        <f aca="false">INDEX('Risk Taxonomy'!$B$5:$B$24,MATCH(D86,'Risk Taxonomy'!$A$5:$A$24,0))</f>
        <v>Shariah non-compliance</v>
      </c>
      <c r="F86" s="7" t="str">
        <f aca="false">IF(D86="RC-04",IF(INDEX(Entities!$G$5:$G$34,MATCH(A86,Entities!$A$5:$A$34,0))="Y","Yes","N/A"),"Yes")</f>
        <v>N/A</v>
      </c>
      <c r="G86" s="24"/>
      <c r="H86" s="24"/>
      <c r="I86" s="24"/>
      <c r="J86" s="24"/>
      <c r="K86" s="24"/>
      <c r="L86" s="37" t="str">
        <f aca="false">IF(F86="N/A","",IF(COUNT(H86:K86)=0,"",IF(Config!$C$19="Highest dimension",MAX(H86:K86),ROUND(H86*Config!$C$20+I86*Config!$C$21+J86*Config!$C$22+K86*Config!$C$23,1))))</f>
        <v/>
      </c>
      <c r="M86" s="38" t="str">
        <f aca="false">IF(OR(L86="",G86=""),"",G86*L86)</f>
        <v/>
      </c>
      <c r="N86" s="31" t="str">
        <f aca="false">IF(M86="","",MATCH(M86,Config!$E$5:$E$9,1))</f>
        <v/>
      </c>
      <c r="O86" s="7" t="str">
        <f aca="false">IF(F86="N/A","N/A",IF(N86="","Not assessed",INDEX(Config!$B$5:$B$9,N86)))</f>
        <v>N/A</v>
      </c>
      <c r="P86" s="32" t="n">
        <v>0</v>
      </c>
      <c r="Q86" s="8"/>
      <c r="R86" s="33"/>
      <c r="S86" s="34" t="str">
        <f aca="false">IF(N86="","",IF(AND(R86="Y",P86&lt;&gt;0),MAX(1,MIN(5,N86+MAX(-Config!$C$27,MIN(Config!$C$27,P86)))),N86))</f>
        <v/>
      </c>
      <c r="T86" s="35" t="str">
        <f aca="false">IF(F86="N/A","N/A",IF(S86="","Not assessed",INDEX(Config!$B$5:$B$9,S86)))</f>
        <v>N/A</v>
      </c>
      <c r="U86" s="7" t="str">
        <f aca="false">IF(P86=0,"None",IF(R86="Y","Applied","Pending HO approval"))</f>
        <v>None</v>
      </c>
      <c r="V86" s="8"/>
    </row>
    <row r="87" customFormat="false" ht="15" hidden="false" customHeight="false" outlineLevel="0" collapsed="false">
      <c r="A87" s="26" t="str">
        <f aca="false">Entities!$A$11</f>
        <v>PS-INV</v>
      </c>
      <c r="B87" s="12" t="str">
        <f aca="false">INDEX(Entities!$B$5:$B$34,MATCH(A87,Entities!$A$5:$A$34,0))</f>
        <v>Al-Arabi Investment Group – Palestine</v>
      </c>
      <c r="C87" s="12" t="str">
        <f aca="false">INDEX(Entities!$D$5:$D$34,MATCH(A87,Entities!$A$5:$A$34,0))</f>
        <v>Levant</v>
      </c>
      <c r="D87" s="12" t="s">
        <v>270</v>
      </c>
      <c r="E87" s="12" t="str">
        <f aca="false">INDEX('Risk Taxonomy'!$B$5:$B$24,MATCH(D87,'Risk Taxonomy'!$A$5:$A$24,0))</f>
        <v>Credit risk</v>
      </c>
      <c r="F87" s="7" t="str">
        <f aca="false">IF(D87="RC-04",IF(INDEX(Entities!$G$5:$G$34,MATCH(A87,Entities!$A$5:$A$34,0))="Y","Yes","N/A"),"Yes")</f>
        <v>Yes</v>
      </c>
      <c r="G87" s="24" t="n">
        <v>5</v>
      </c>
      <c r="H87" s="24" t="n">
        <v>3</v>
      </c>
      <c r="I87" s="24" t="n">
        <v>3</v>
      </c>
      <c r="J87" s="24" t="n">
        <v>4</v>
      </c>
      <c r="K87" s="24" t="n">
        <v>5</v>
      </c>
      <c r="L87" s="37" t="n">
        <f aca="false">IF(F87="N/A","",IF(COUNT(H87:K87)=0,"",IF(Config!$C$19="Highest dimension",MAX(H87:K87),ROUND(H87*Config!$C$20+I87*Config!$C$21+J87*Config!$C$22+K87*Config!$C$23,1))))</f>
        <v>5</v>
      </c>
      <c r="M87" s="38" t="n">
        <f aca="false">IF(OR(L87="",G87=""),"",G87*L87)</f>
        <v>25</v>
      </c>
      <c r="N87" s="31" t="n">
        <f aca="false">IF(M87="","",MATCH(M87,Config!$E$5:$E$9,1))</f>
        <v>5</v>
      </c>
      <c r="O87" s="7" t="str">
        <f aca="false">IF(F87="N/A","N/A",IF(N87="","Not assessed",INDEX(Config!$B$5:$B$9,N87)))</f>
        <v>High</v>
      </c>
      <c r="P87" s="32" t="n">
        <v>0</v>
      </c>
      <c r="Q87" s="8"/>
      <c r="R87" s="33"/>
      <c r="S87" s="34" t="n">
        <f aca="false">IF(N87="","",IF(AND(R87="Y",P87&lt;&gt;0),MAX(1,MIN(5,N87+MAX(-Config!$C$27,MIN(Config!$C$27,P87)))),N87))</f>
        <v>5</v>
      </c>
      <c r="T87" s="35" t="str">
        <f aca="false">IF(F87="N/A","N/A",IF(S87="","Not assessed",INDEX(Config!$B$5:$B$9,S87)))</f>
        <v>High</v>
      </c>
      <c r="U87" s="7" t="str">
        <f aca="false">IF(P87=0,"None",IF(R87="Y","Applied","Pending HO approval"))</f>
        <v>None</v>
      </c>
      <c r="V87" s="8"/>
    </row>
    <row r="88" customFormat="false" ht="15" hidden="false" customHeight="false" outlineLevel="0" collapsed="false">
      <c r="A88" s="26" t="str">
        <f aca="false">Entities!$A$11</f>
        <v>PS-INV</v>
      </c>
      <c r="B88" s="12" t="str">
        <f aca="false">INDEX(Entities!$B$5:$B$34,MATCH(A88,Entities!$A$5:$A$34,0))</f>
        <v>Al-Arabi Investment Group – Palestine</v>
      </c>
      <c r="C88" s="12" t="str">
        <f aca="false">INDEX(Entities!$D$5:$D$34,MATCH(A88,Entities!$A$5:$A$34,0))</f>
        <v>Levant</v>
      </c>
      <c r="D88" s="12" t="s">
        <v>275</v>
      </c>
      <c r="E88" s="12" t="str">
        <f aca="false">INDEX('Risk Taxonomy'!$B$5:$B$24,MATCH(D88,'Risk Taxonomy'!$A$5:$A$24,0))</f>
        <v>Market risk</v>
      </c>
      <c r="F88" s="7" t="str">
        <f aca="false">IF(D88="RC-04",IF(INDEX(Entities!$G$5:$G$34,MATCH(A88,Entities!$A$5:$A$34,0))="Y","Yes","N/A"),"Yes")</f>
        <v>Yes</v>
      </c>
      <c r="G88" s="24" t="n">
        <v>3</v>
      </c>
      <c r="H88" s="24" t="n">
        <v>5</v>
      </c>
      <c r="I88" s="24" t="n">
        <v>2</v>
      </c>
      <c r="J88" s="24" t="n">
        <v>4</v>
      </c>
      <c r="K88" s="24" t="n">
        <v>3</v>
      </c>
      <c r="L88" s="37" t="n">
        <f aca="false">IF(F88="N/A","",IF(COUNT(H88:K88)=0,"",IF(Config!$C$19="Highest dimension",MAX(H88:K88),ROUND(H88*Config!$C$20+I88*Config!$C$21+J88*Config!$C$22+K88*Config!$C$23,1))))</f>
        <v>5</v>
      </c>
      <c r="M88" s="38" t="n">
        <f aca="false">IF(OR(L88="",G88=""),"",G88*L88)</f>
        <v>15</v>
      </c>
      <c r="N88" s="31" t="n">
        <f aca="false">IF(M88="","",MATCH(M88,Config!$E$5:$E$9,1))</f>
        <v>4</v>
      </c>
      <c r="O88" s="7" t="str">
        <f aca="false">IF(F88="N/A","N/A",IF(N88="","Not assessed",INDEX(Config!$B$5:$B$9,N88)))</f>
        <v>Medium-High</v>
      </c>
      <c r="P88" s="32" t="n">
        <v>0</v>
      </c>
      <c r="Q88" s="8"/>
      <c r="R88" s="33"/>
      <c r="S88" s="34" t="n">
        <f aca="false">IF(N88="","",IF(AND(R88="Y",P88&lt;&gt;0),MAX(1,MIN(5,N88+MAX(-Config!$C$27,MIN(Config!$C$27,P88)))),N88))</f>
        <v>4</v>
      </c>
      <c r="T88" s="35" t="str">
        <f aca="false">IF(F88="N/A","N/A",IF(S88="","Not assessed",INDEX(Config!$B$5:$B$9,S88)))</f>
        <v>Medium-High</v>
      </c>
      <c r="U88" s="7" t="str">
        <f aca="false">IF(P88=0,"None",IF(R88="Y","Applied","Pending HO approval"))</f>
        <v>None</v>
      </c>
      <c r="V88" s="8"/>
    </row>
    <row r="89" customFormat="false" ht="15" hidden="false" customHeight="false" outlineLevel="0" collapsed="false">
      <c r="A89" s="26" t="str">
        <f aca="false">Entities!$A$11</f>
        <v>PS-INV</v>
      </c>
      <c r="B89" s="12" t="str">
        <f aca="false">INDEX(Entities!$B$5:$B$34,MATCH(A89,Entities!$A$5:$A$34,0))</f>
        <v>Al-Arabi Investment Group – Palestine</v>
      </c>
      <c r="C89" s="12" t="str">
        <f aca="false">INDEX(Entities!$D$5:$D$34,MATCH(A89,Entities!$A$5:$A$34,0))</f>
        <v>Levant</v>
      </c>
      <c r="D89" s="12" t="s">
        <v>277</v>
      </c>
      <c r="E89" s="12" t="str">
        <f aca="false">INDEX('Risk Taxonomy'!$B$5:$B$24,MATCH(D89,'Risk Taxonomy'!$A$5:$A$24,0))</f>
        <v>Liquidity and funding risk</v>
      </c>
      <c r="F89" s="7" t="str">
        <f aca="false">IF(D89="RC-04",IF(INDEX(Entities!$G$5:$G$34,MATCH(A89,Entities!$A$5:$A$34,0))="Y","Yes","N/A"),"Yes")</f>
        <v>Yes</v>
      </c>
      <c r="G89" s="24" t="n">
        <v>3</v>
      </c>
      <c r="H89" s="24" t="n">
        <v>3</v>
      </c>
      <c r="I89" s="24" t="n">
        <v>2</v>
      </c>
      <c r="J89" s="24" t="n">
        <v>4</v>
      </c>
      <c r="K89" s="24" t="n">
        <v>4</v>
      </c>
      <c r="L89" s="37" t="n">
        <f aca="false">IF(F89="N/A","",IF(COUNT(H89:K89)=0,"",IF(Config!$C$19="Highest dimension",MAX(H89:K89),ROUND(H89*Config!$C$20+I89*Config!$C$21+J89*Config!$C$22+K89*Config!$C$23,1))))</f>
        <v>4</v>
      </c>
      <c r="M89" s="38" t="n">
        <f aca="false">IF(OR(L89="",G89=""),"",G89*L89)</f>
        <v>12</v>
      </c>
      <c r="N89" s="31" t="n">
        <f aca="false">IF(M89="","",MATCH(M89,Config!$E$5:$E$9,1))</f>
        <v>3</v>
      </c>
      <c r="O89" s="7" t="str">
        <f aca="false">IF(F89="N/A","N/A",IF(N89="","Not assessed",INDEX(Config!$B$5:$B$9,N89)))</f>
        <v>Medium</v>
      </c>
      <c r="P89" s="32" t="n">
        <v>0</v>
      </c>
      <c r="Q89" s="8"/>
      <c r="R89" s="33"/>
      <c r="S89" s="34" t="n">
        <f aca="false">IF(N89="","",IF(AND(R89="Y",P89&lt;&gt;0),MAX(1,MIN(5,N89+MAX(-Config!$C$27,MIN(Config!$C$27,P89)))),N89))</f>
        <v>3</v>
      </c>
      <c r="T89" s="35" t="str">
        <f aca="false">IF(F89="N/A","N/A",IF(S89="","Not assessed",INDEX(Config!$B$5:$B$9,S89)))</f>
        <v>Medium</v>
      </c>
      <c r="U89" s="7" t="str">
        <f aca="false">IF(P89=0,"None",IF(R89="Y","Applied","Pending HO approval"))</f>
        <v>None</v>
      </c>
      <c r="V89" s="8"/>
    </row>
    <row r="90" customFormat="false" ht="15" hidden="false" customHeight="false" outlineLevel="0" collapsed="false">
      <c r="A90" s="26" t="str">
        <f aca="false">Entities!$A$11</f>
        <v>PS-INV</v>
      </c>
      <c r="B90" s="12" t="str">
        <f aca="false">INDEX(Entities!$B$5:$B$34,MATCH(A90,Entities!$A$5:$A$34,0))</f>
        <v>Al-Arabi Investment Group – Palestine</v>
      </c>
      <c r="C90" s="12" t="str">
        <f aca="false">INDEX(Entities!$D$5:$D$34,MATCH(A90,Entities!$A$5:$A$34,0))</f>
        <v>Levant</v>
      </c>
      <c r="D90" s="12" t="s">
        <v>280</v>
      </c>
      <c r="E90" s="12" t="str">
        <f aca="false">INDEX('Risk Taxonomy'!$B$5:$B$24,MATCH(D90,'Risk Taxonomy'!$A$5:$A$24,0))</f>
        <v>Operational risk</v>
      </c>
      <c r="F90" s="7" t="str">
        <f aca="false">IF(D90="RC-04",IF(INDEX(Entities!$G$5:$G$34,MATCH(A90,Entities!$A$5:$A$34,0))="Y","Yes","N/A"),"Yes")</f>
        <v>Yes</v>
      </c>
      <c r="G90" s="24" t="n">
        <v>4</v>
      </c>
      <c r="H90" s="24" t="n">
        <v>3</v>
      </c>
      <c r="I90" s="24" t="n">
        <v>5</v>
      </c>
      <c r="J90" s="24" t="n">
        <v>3</v>
      </c>
      <c r="K90" s="24" t="n">
        <v>4</v>
      </c>
      <c r="L90" s="37" t="n">
        <f aca="false">IF(F90="N/A","",IF(COUNT(H90:K90)=0,"",IF(Config!$C$19="Highest dimension",MAX(H90:K90),ROUND(H90*Config!$C$20+I90*Config!$C$21+J90*Config!$C$22+K90*Config!$C$23,1))))</f>
        <v>5</v>
      </c>
      <c r="M90" s="38" t="n">
        <f aca="false">IF(OR(L90="",G90=""),"",G90*L90)</f>
        <v>20</v>
      </c>
      <c r="N90" s="31" t="n">
        <f aca="false">IF(M90="","",MATCH(M90,Config!$E$5:$E$9,1))</f>
        <v>5</v>
      </c>
      <c r="O90" s="7" t="str">
        <f aca="false">IF(F90="N/A","N/A",IF(N90="","Not assessed",INDEX(Config!$B$5:$B$9,N90)))</f>
        <v>High</v>
      </c>
      <c r="P90" s="32" t="n">
        <v>0</v>
      </c>
      <c r="Q90" s="8"/>
      <c r="R90" s="33"/>
      <c r="S90" s="34" t="n">
        <f aca="false">IF(N90="","",IF(AND(R90="Y",P90&lt;&gt;0),MAX(1,MIN(5,N90+MAX(-Config!$C$27,MIN(Config!$C$27,P90)))),N90))</f>
        <v>5</v>
      </c>
      <c r="T90" s="35" t="str">
        <f aca="false">IF(F90="N/A","N/A",IF(S90="","Not assessed",INDEX(Config!$B$5:$B$9,S90)))</f>
        <v>High</v>
      </c>
      <c r="U90" s="7" t="str">
        <f aca="false">IF(P90=0,"None",IF(R90="Y","Applied","Pending HO approval"))</f>
        <v>None</v>
      </c>
      <c r="V90" s="8"/>
    </row>
    <row r="91" customFormat="false" ht="15" hidden="false" customHeight="false" outlineLevel="0" collapsed="false">
      <c r="A91" s="26" t="str">
        <f aca="false">Entities!$A$11</f>
        <v>PS-INV</v>
      </c>
      <c r="B91" s="12" t="str">
        <f aca="false">INDEX(Entities!$B$5:$B$34,MATCH(A91,Entities!$A$5:$A$34,0))</f>
        <v>Al-Arabi Investment Group – Palestine</v>
      </c>
      <c r="C91" s="12" t="str">
        <f aca="false">INDEX(Entities!$D$5:$D$34,MATCH(A91,Entities!$A$5:$A$34,0))</f>
        <v>Levant</v>
      </c>
      <c r="D91" s="12" t="s">
        <v>283</v>
      </c>
      <c r="E91" s="12" t="str">
        <f aca="false">INDEX('Risk Taxonomy'!$B$5:$B$24,MATCH(D91,'Risk Taxonomy'!$A$5:$A$24,0))</f>
        <v>Cyber, information security and technology</v>
      </c>
      <c r="F91" s="7" t="str">
        <f aca="false">IF(D91="RC-04",IF(INDEX(Entities!$G$5:$G$34,MATCH(A91,Entities!$A$5:$A$34,0))="Y","Yes","N/A"),"Yes")</f>
        <v>Yes</v>
      </c>
      <c r="G91" s="24" t="n">
        <v>5</v>
      </c>
      <c r="H91" s="24" t="n">
        <v>2</v>
      </c>
      <c r="I91" s="24" t="n">
        <v>5</v>
      </c>
      <c r="J91" s="24" t="n">
        <v>4</v>
      </c>
      <c r="K91" s="24" t="n">
        <v>4</v>
      </c>
      <c r="L91" s="37" t="n">
        <f aca="false">IF(F91="N/A","",IF(COUNT(H91:K91)=0,"",IF(Config!$C$19="Highest dimension",MAX(H91:K91),ROUND(H91*Config!$C$20+I91*Config!$C$21+J91*Config!$C$22+K91*Config!$C$23,1))))</f>
        <v>5</v>
      </c>
      <c r="M91" s="38" t="n">
        <f aca="false">IF(OR(L91="",G91=""),"",G91*L91)</f>
        <v>25</v>
      </c>
      <c r="N91" s="31" t="n">
        <f aca="false">IF(M91="","",MATCH(M91,Config!$E$5:$E$9,1))</f>
        <v>5</v>
      </c>
      <c r="O91" s="7" t="str">
        <f aca="false">IF(F91="N/A","N/A",IF(N91="","Not assessed",INDEX(Config!$B$5:$B$9,N91)))</f>
        <v>High</v>
      </c>
      <c r="P91" s="32" t="n">
        <v>0</v>
      </c>
      <c r="Q91" s="8"/>
      <c r="R91" s="33"/>
      <c r="S91" s="34" t="n">
        <f aca="false">IF(N91="","",IF(AND(R91="Y",P91&lt;&gt;0),MAX(1,MIN(5,N91+MAX(-Config!$C$27,MIN(Config!$C$27,P91)))),N91))</f>
        <v>5</v>
      </c>
      <c r="T91" s="35" t="str">
        <f aca="false">IF(F91="N/A","N/A",IF(S91="","Not assessed",INDEX(Config!$B$5:$B$9,S91)))</f>
        <v>High</v>
      </c>
      <c r="U91" s="7" t="str">
        <f aca="false">IF(P91=0,"None",IF(R91="Y","Applied","Pending HO approval"))</f>
        <v>None</v>
      </c>
      <c r="V91" s="8"/>
    </row>
    <row r="92" customFormat="false" ht="15" hidden="false" customHeight="false" outlineLevel="0" collapsed="false">
      <c r="A92" s="26" t="str">
        <f aca="false">Entities!$A$11</f>
        <v>PS-INV</v>
      </c>
      <c r="B92" s="12" t="str">
        <f aca="false">INDEX(Entities!$B$5:$B$34,MATCH(A92,Entities!$A$5:$A$34,0))</f>
        <v>Al-Arabi Investment Group – Palestine</v>
      </c>
      <c r="C92" s="12" t="str">
        <f aca="false">INDEX(Entities!$D$5:$D$34,MATCH(A92,Entities!$A$5:$A$34,0))</f>
        <v>Levant</v>
      </c>
      <c r="D92" s="12" t="s">
        <v>286</v>
      </c>
      <c r="E92" s="12" t="str">
        <f aca="false">INDEX('Risk Taxonomy'!$B$5:$B$24,MATCH(D92,'Risk Taxonomy'!$A$5:$A$24,0))</f>
        <v>Third-party and outsourcing</v>
      </c>
      <c r="F92" s="7" t="str">
        <f aca="false">IF(D92="RC-04",IF(INDEX(Entities!$G$5:$G$34,MATCH(A92,Entities!$A$5:$A$34,0))="Y","Yes","N/A"),"Yes")</f>
        <v>Yes</v>
      </c>
      <c r="G92" s="24" t="n">
        <v>4</v>
      </c>
      <c r="H92" s="24" t="n">
        <v>4</v>
      </c>
      <c r="I92" s="24" t="n">
        <v>5</v>
      </c>
      <c r="J92" s="24" t="n">
        <v>4</v>
      </c>
      <c r="K92" s="24" t="n">
        <v>4</v>
      </c>
      <c r="L92" s="37" t="n">
        <f aca="false">IF(F92="N/A","",IF(COUNT(H92:K92)=0,"",IF(Config!$C$19="Highest dimension",MAX(H92:K92),ROUND(H92*Config!$C$20+I92*Config!$C$21+J92*Config!$C$22+K92*Config!$C$23,1))))</f>
        <v>5</v>
      </c>
      <c r="M92" s="38" t="n">
        <f aca="false">IF(OR(L92="",G92=""),"",G92*L92)</f>
        <v>20</v>
      </c>
      <c r="N92" s="31" t="n">
        <f aca="false">IF(M92="","",MATCH(M92,Config!$E$5:$E$9,1))</f>
        <v>5</v>
      </c>
      <c r="O92" s="7" t="str">
        <f aca="false">IF(F92="N/A","N/A",IF(N92="","Not assessed",INDEX(Config!$B$5:$B$9,N92)))</f>
        <v>High</v>
      </c>
      <c r="P92" s="32" t="n">
        <v>0</v>
      </c>
      <c r="Q92" s="8"/>
      <c r="R92" s="33"/>
      <c r="S92" s="34" t="n">
        <f aca="false">IF(N92="","",IF(AND(R92="Y",P92&lt;&gt;0),MAX(1,MIN(5,N92+MAX(-Config!$C$27,MIN(Config!$C$27,P92)))),N92))</f>
        <v>5</v>
      </c>
      <c r="T92" s="35" t="str">
        <f aca="false">IF(F92="N/A","N/A",IF(S92="","Not assessed",INDEX(Config!$B$5:$B$9,S92)))</f>
        <v>High</v>
      </c>
      <c r="U92" s="7" t="str">
        <f aca="false">IF(P92=0,"None",IF(R92="Y","Applied","Pending HO approval"))</f>
        <v>None</v>
      </c>
      <c r="V92" s="8"/>
    </row>
    <row r="93" customFormat="false" ht="15" hidden="false" customHeight="false" outlineLevel="0" collapsed="false">
      <c r="A93" s="26" t="str">
        <f aca="false">Entities!$A$11</f>
        <v>PS-INV</v>
      </c>
      <c r="B93" s="12" t="str">
        <f aca="false">INDEX(Entities!$B$5:$B$34,MATCH(A93,Entities!$A$5:$A$34,0))</f>
        <v>Al-Arabi Investment Group – Palestine</v>
      </c>
      <c r="C93" s="12" t="str">
        <f aca="false">INDEX(Entities!$D$5:$D$34,MATCH(A93,Entities!$A$5:$A$34,0))</f>
        <v>Levant</v>
      </c>
      <c r="D93" s="12" t="s">
        <v>289</v>
      </c>
      <c r="E93" s="12" t="str">
        <f aca="false">INDEX('Risk Taxonomy'!$B$5:$B$24,MATCH(D93,'Risk Taxonomy'!$A$5:$A$24,0))</f>
        <v>Legal and litigation</v>
      </c>
      <c r="F93" s="7" t="str">
        <f aca="false">IF(D93="RC-04",IF(INDEX(Entities!$G$5:$G$34,MATCH(A93,Entities!$A$5:$A$34,0))="Y","Yes","N/A"),"Yes")</f>
        <v>Yes</v>
      </c>
      <c r="G93" s="24" t="n">
        <v>4</v>
      </c>
      <c r="H93" s="24" t="n">
        <v>3</v>
      </c>
      <c r="I93" s="24" t="n">
        <v>4</v>
      </c>
      <c r="J93" s="24" t="n">
        <v>3</v>
      </c>
      <c r="K93" s="24" t="n">
        <v>3</v>
      </c>
      <c r="L93" s="37" t="n">
        <f aca="false">IF(F93="N/A","",IF(COUNT(H93:K93)=0,"",IF(Config!$C$19="Highest dimension",MAX(H93:K93),ROUND(H93*Config!$C$20+I93*Config!$C$21+J93*Config!$C$22+K93*Config!$C$23,1))))</f>
        <v>4</v>
      </c>
      <c r="M93" s="38" t="n">
        <f aca="false">IF(OR(L93="",G93=""),"",G93*L93)</f>
        <v>16</v>
      </c>
      <c r="N93" s="31" t="n">
        <f aca="false">IF(M93="","",MATCH(M93,Config!$E$5:$E$9,1))</f>
        <v>4</v>
      </c>
      <c r="O93" s="7" t="str">
        <f aca="false">IF(F93="N/A","N/A",IF(N93="","Not assessed",INDEX(Config!$B$5:$B$9,N93)))</f>
        <v>Medium-High</v>
      </c>
      <c r="P93" s="32" t="n">
        <v>0</v>
      </c>
      <c r="Q93" s="8"/>
      <c r="R93" s="33"/>
      <c r="S93" s="34" t="n">
        <f aca="false">IF(N93="","",IF(AND(R93="Y",P93&lt;&gt;0),MAX(1,MIN(5,N93+MAX(-Config!$C$27,MIN(Config!$C$27,P93)))),N93))</f>
        <v>4</v>
      </c>
      <c r="T93" s="35" t="str">
        <f aca="false">IF(F93="N/A","N/A",IF(S93="","Not assessed",INDEX(Config!$B$5:$B$9,S93)))</f>
        <v>Medium-High</v>
      </c>
      <c r="U93" s="7" t="str">
        <f aca="false">IF(P93=0,"None",IF(R93="Y","Applied","Pending HO approval"))</f>
        <v>None</v>
      </c>
      <c r="V93" s="8"/>
    </row>
    <row r="94" customFormat="false" ht="15" hidden="false" customHeight="false" outlineLevel="0" collapsed="false">
      <c r="A94" s="26" t="str">
        <f aca="false">Entities!$A$11</f>
        <v>PS-INV</v>
      </c>
      <c r="B94" s="12" t="str">
        <f aca="false">INDEX(Entities!$B$5:$B$34,MATCH(A94,Entities!$A$5:$A$34,0))</f>
        <v>Al-Arabi Investment Group – Palestine</v>
      </c>
      <c r="C94" s="12" t="str">
        <f aca="false">INDEX(Entities!$D$5:$D$34,MATCH(A94,Entities!$A$5:$A$34,0))</f>
        <v>Levant</v>
      </c>
      <c r="D94" s="12" t="s">
        <v>292</v>
      </c>
      <c r="E94" s="12" t="str">
        <f aca="false">INDEX('Risk Taxonomy'!$B$5:$B$24,MATCH(D94,'Risk Taxonomy'!$A$5:$A$24,0))</f>
        <v>Reputational</v>
      </c>
      <c r="F94" s="7" t="str">
        <f aca="false">IF(D94="RC-04",IF(INDEX(Entities!$G$5:$G$34,MATCH(A94,Entities!$A$5:$A$34,0))="Y","Yes","N/A"),"Yes")</f>
        <v>Yes</v>
      </c>
      <c r="G94" s="24" t="n">
        <v>4</v>
      </c>
      <c r="H94" s="24" t="n">
        <v>4</v>
      </c>
      <c r="I94" s="24" t="n">
        <v>3</v>
      </c>
      <c r="J94" s="24" t="n">
        <v>3</v>
      </c>
      <c r="K94" s="24" t="n">
        <v>2</v>
      </c>
      <c r="L94" s="37" t="n">
        <f aca="false">IF(F94="N/A","",IF(COUNT(H94:K94)=0,"",IF(Config!$C$19="Highest dimension",MAX(H94:K94),ROUND(H94*Config!$C$20+I94*Config!$C$21+J94*Config!$C$22+K94*Config!$C$23,1))))</f>
        <v>4</v>
      </c>
      <c r="M94" s="38" t="n">
        <f aca="false">IF(OR(L94="",G94=""),"",G94*L94)</f>
        <v>16</v>
      </c>
      <c r="N94" s="31" t="n">
        <f aca="false">IF(M94="","",MATCH(M94,Config!$E$5:$E$9,1))</f>
        <v>4</v>
      </c>
      <c r="O94" s="7" t="str">
        <f aca="false">IF(F94="N/A","N/A",IF(N94="","Not assessed",INDEX(Config!$B$5:$B$9,N94)))</f>
        <v>Medium-High</v>
      </c>
      <c r="P94" s="32" t="n">
        <v>0</v>
      </c>
      <c r="Q94" s="8"/>
      <c r="R94" s="33"/>
      <c r="S94" s="34" t="n">
        <f aca="false">IF(N94="","",IF(AND(R94="Y",P94&lt;&gt;0),MAX(1,MIN(5,N94+MAX(-Config!$C$27,MIN(Config!$C$27,P94)))),N94))</f>
        <v>4</v>
      </c>
      <c r="T94" s="35" t="str">
        <f aca="false">IF(F94="N/A","N/A",IF(S94="","Not assessed",INDEX(Config!$B$5:$B$9,S94)))</f>
        <v>Medium-High</v>
      </c>
      <c r="U94" s="7" t="str">
        <f aca="false">IF(P94=0,"None",IF(R94="Y","Applied","Pending HO approval"))</f>
        <v>None</v>
      </c>
      <c r="V94" s="8"/>
    </row>
    <row r="95" customFormat="false" ht="15" hidden="false" customHeight="false" outlineLevel="0" collapsed="false">
      <c r="A95" s="26" t="str">
        <f aca="false">Entities!$A$11</f>
        <v>PS-INV</v>
      </c>
      <c r="B95" s="12" t="str">
        <f aca="false">INDEX(Entities!$B$5:$B$34,MATCH(A95,Entities!$A$5:$A$34,0))</f>
        <v>Al-Arabi Investment Group – Palestine</v>
      </c>
      <c r="C95" s="12" t="str">
        <f aca="false">INDEX(Entities!$D$5:$D$34,MATCH(A95,Entities!$A$5:$A$34,0))</f>
        <v>Levant</v>
      </c>
      <c r="D95" s="12" t="s">
        <v>295</v>
      </c>
      <c r="E95" s="12" t="str">
        <f aca="false">INDEX('Risk Taxonomy'!$B$5:$B$24,MATCH(D95,'Risk Taxonomy'!$A$5:$A$24,0))</f>
        <v>Strategic, business model and ESG</v>
      </c>
      <c r="F95" s="7" t="str">
        <f aca="false">IF(D95="RC-04",IF(INDEX(Entities!$G$5:$G$34,MATCH(A95,Entities!$A$5:$A$34,0))="Y","Yes","N/A"),"Yes")</f>
        <v>Yes</v>
      </c>
      <c r="G95" s="24" t="n">
        <v>4</v>
      </c>
      <c r="H95" s="24" t="n">
        <v>3</v>
      </c>
      <c r="I95" s="24" t="n">
        <v>5</v>
      </c>
      <c r="J95" s="24" t="n">
        <v>3</v>
      </c>
      <c r="K95" s="24" t="n">
        <v>5</v>
      </c>
      <c r="L95" s="37" t="n">
        <f aca="false">IF(F95="N/A","",IF(COUNT(H95:K95)=0,"",IF(Config!$C$19="Highest dimension",MAX(H95:K95),ROUND(H95*Config!$C$20+I95*Config!$C$21+J95*Config!$C$22+K95*Config!$C$23,1))))</f>
        <v>5</v>
      </c>
      <c r="M95" s="38" t="n">
        <f aca="false">IF(OR(L95="",G95=""),"",G95*L95)</f>
        <v>20</v>
      </c>
      <c r="N95" s="31" t="n">
        <f aca="false">IF(M95="","",MATCH(M95,Config!$E$5:$E$9,1))</f>
        <v>5</v>
      </c>
      <c r="O95" s="7" t="str">
        <f aca="false">IF(F95="N/A","N/A",IF(N95="","Not assessed",INDEX(Config!$B$5:$B$9,N95)))</f>
        <v>High</v>
      </c>
      <c r="P95" s="32" t="n">
        <v>0</v>
      </c>
      <c r="Q95" s="8"/>
      <c r="R95" s="33"/>
      <c r="S95" s="34" t="n">
        <f aca="false">IF(N95="","",IF(AND(R95="Y",P95&lt;&gt;0),MAX(1,MIN(5,N95+MAX(-Config!$C$27,MIN(Config!$C$27,P95)))),N95))</f>
        <v>5</v>
      </c>
      <c r="T95" s="35" t="str">
        <f aca="false">IF(F95="N/A","N/A",IF(S95="","Not assessed",INDEX(Config!$B$5:$B$9,S95)))</f>
        <v>High</v>
      </c>
      <c r="U95" s="7" t="str">
        <f aca="false">IF(P95=0,"None",IF(R95="Y","Applied","Pending HO approval"))</f>
        <v>None</v>
      </c>
      <c r="V95" s="8"/>
    </row>
    <row r="96" customFormat="false" ht="15" hidden="false" customHeight="false" outlineLevel="0" collapsed="false">
      <c r="A96" s="26" t="str">
        <f aca="false">Entities!$A$12</f>
        <v>LB</v>
      </c>
      <c r="B96" s="12" t="str">
        <f aca="false">INDEX(Entities!$B$5:$B$34,MATCH(A96,Entities!$A$5:$A$34,0))</f>
        <v>Arab Bank – Lebanon</v>
      </c>
      <c r="C96" s="12" t="str">
        <f aca="false">INDEX(Entities!$D$5:$D$34,MATCH(A96,Entities!$A$5:$A$34,0))</f>
        <v>Levant</v>
      </c>
      <c r="D96" s="12" t="s">
        <v>257</v>
      </c>
      <c r="E96" s="12" t="str">
        <f aca="false">INDEX('Risk Taxonomy'!$B$5:$B$24,MATCH(D96,'Risk Taxonomy'!$A$5:$A$24,0))</f>
        <v>Regulatory compliance</v>
      </c>
      <c r="F96" s="7" t="str">
        <f aca="false">IF(D96="RC-04",IF(INDEX(Entities!$G$5:$G$34,MATCH(A96,Entities!$A$5:$A$34,0))="Y","Yes","N/A"),"Yes")</f>
        <v>Yes</v>
      </c>
      <c r="G96" s="24" t="n">
        <v>4</v>
      </c>
      <c r="H96" s="24" t="n">
        <v>3</v>
      </c>
      <c r="I96" s="24" t="n">
        <v>5</v>
      </c>
      <c r="J96" s="24" t="n">
        <v>3</v>
      </c>
      <c r="K96" s="24" t="n">
        <v>3</v>
      </c>
      <c r="L96" s="37" t="n">
        <f aca="false">IF(F96="N/A","",IF(COUNT(H96:K96)=0,"",IF(Config!$C$19="Highest dimension",MAX(H96:K96),ROUND(H96*Config!$C$20+I96*Config!$C$21+J96*Config!$C$22+K96*Config!$C$23,1))))</f>
        <v>5</v>
      </c>
      <c r="M96" s="38" t="n">
        <f aca="false">IF(OR(L96="",G96=""),"",G96*L96)</f>
        <v>20</v>
      </c>
      <c r="N96" s="31" t="n">
        <f aca="false">IF(M96="","",MATCH(M96,Config!$E$5:$E$9,1))</f>
        <v>5</v>
      </c>
      <c r="O96" s="7" t="str">
        <f aca="false">IF(F96="N/A","N/A",IF(N96="","Not assessed",INDEX(Config!$B$5:$B$9,N96)))</f>
        <v>High</v>
      </c>
      <c r="P96" s="32" t="n">
        <v>0</v>
      </c>
      <c r="Q96" s="8"/>
      <c r="R96" s="33"/>
      <c r="S96" s="34" t="n">
        <f aca="false">IF(N96="","",IF(AND(R96="Y",P96&lt;&gt;0),MAX(1,MIN(5,N96+MAX(-Config!$C$27,MIN(Config!$C$27,P96)))),N96))</f>
        <v>5</v>
      </c>
      <c r="T96" s="35" t="str">
        <f aca="false">IF(F96="N/A","N/A",IF(S96="","Not assessed",INDEX(Config!$B$5:$B$9,S96)))</f>
        <v>High</v>
      </c>
      <c r="U96" s="7" t="str">
        <f aca="false">IF(P96=0,"None",IF(R96="Y","Applied","Pending HO approval"))</f>
        <v>None</v>
      </c>
      <c r="V96" s="8"/>
    </row>
    <row r="97" customFormat="false" ht="15" hidden="false" customHeight="false" outlineLevel="0" collapsed="false">
      <c r="A97" s="26" t="str">
        <f aca="false">Entities!$A$12</f>
        <v>LB</v>
      </c>
      <c r="B97" s="12" t="str">
        <f aca="false">INDEX(Entities!$B$5:$B$34,MATCH(A97,Entities!$A$5:$A$34,0))</f>
        <v>Arab Bank – Lebanon</v>
      </c>
      <c r="C97" s="12" t="str">
        <f aca="false">INDEX(Entities!$D$5:$D$34,MATCH(A97,Entities!$A$5:$A$34,0))</f>
        <v>Levant</v>
      </c>
      <c r="D97" s="12" t="s">
        <v>261</v>
      </c>
      <c r="E97" s="12" t="str">
        <f aca="false">INDEX('Risk Taxonomy'!$B$5:$B$24,MATCH(D97,'Risk Taxonomy'!$A$5:$A$24,0))</f>
        <v>Conduct and consumer protection</v>
      </c>
      <c r="F97" s="7" t="str">
        <f aca="false">IF(D97="RC-04",IF(INDEX(Entities!$G$5:$G$34,MATCH(A97,Entities!$A$5:$A$34,0))="Y","Yes","N/A"),"Yes")</f>
        <v>Yes</v>
      </c>
      <c r="G97" s="24" t="n">
        <v>4</v>
      </c>
      <c r="H97" s="24" t="n">
        <v>4</v>
      </c>
      <c r="I97" s="24" t="n">
        <v>5</v>
      </c>
      <c r="J97" s="24" t="n">
        <v>4</v>
      </c>
      <c r="K97" s="24" t="n">
        <v>2</v>
      </c>
      <c r="L97" s="37" t="n">
        <f aca="false">IF(F97="N/A","",IF(COUNT(H97:K97)=0,"",IF(Config!$C$19="Highest dimension",MAX(H97:K97),ROUND(H97*Config!$C$20+I97*Config!$C$21+J97*Config!$C$22+K97*Config!$C$23,1))))</f>
        <v>5</v>
      </c>
      <c r="M97" s="38" t="n">
        <f aca="false">IF(OR(L97="",G97=""),"",G97*L97)</f>
        <v>20</v>
      </c>
      <c r="N97" s="31" t="n">
        <f aca="false">IF(M97="","",MATCH(M97,Config!$E$5:$E$9,1))</f>
        <v>5</v>
      </c>
      <c r="O97" s="7" t="str">
        <f aca="false">IF(F97="N/A","N/A",IF(N97="","Not assessed",INDEX(Config!$B$5:$B$9,N97)))</f>
        <v>High</v>
      </c>
      <c r="P97" s="32" t="n">
        <v>0</v>
      </c>
      <c r="Q97" s="8"/>
      <c r="R97" s="33"/>
      <c r="S97" s="34" t="n">
        <f aca="false">IF(N97="","",IF(AND(R97="Y",P97&lt;&gt;0),MAX(1,MIN(5,N97+MAX(-Config!$C$27,MIN(Config!$C$27,P97)))),N97))</f>
        <v>5</v>
      </c>
      <c r="T97" s="35" t="str">
        <f aca="false">IF(F97="N/A","N/A",IF(S97="","Not assessed",INDEX(Config!$B$5:$B$9,S97)))</f>
        <v>High</v>
      </c>
      <c r="U97" s="7" t="str">
        <f aca="false">IF(P97=0,"None",IF(R97="Y","Applied","Pending HO approval"))</f>
        <v>None</v>
      </c>
      <c r="V97" s="8"/>
    </row>
    <row r="98" customFormat="false" ht="15" hidden="false" customHeight="false" outlineLevel="0" collapsed="false">
      <c r="A98" s="26" t="str">
        <f aca="false">Entities!$A$12</f>
        <v>LB</v>
      </c>
      <c r="B98" s="12" t="str">
        <f aca="false">INDEX(Entities!$B$5:$B$34,MATCH(A98,Entities!$A$5:$A$34,0))</f>
        <v>Arab Bank – Lebanon</v>
      </c>
      <c r="C98" s="12" t="str">
        <f aca="false">INDEX(Entities!$D$5:$D$34,MATCH(A98,Entities!$A$5:$A$34,0))</f>
        <v>Levant</v>
      </c>
      <c r="D98" s="12" t="s">
        <v>263</v>
      </c>
      <c r="E98" s="12" t="str">
        <f aca="false">INDEX('Risk Taxonomy'!$B$5:$B$24,MATCH(D98,'Risk Taxonomy'!$A$5:$A$24,0))</f>
        <v>Data protection and privacy</v>
      </c>
      <c r="F98" s="7" t="str">
        <f aca="false">IF(D98="RC-04",IF(INDEX(Entities!$G$5:$G$34,MATCH(A98,Entities!$A$5:$A$34,0))="Y","Yes","N/A"),"Yes")</f>
        <v>Yes</v>
      </c>
      <c r="G98" s="24" t="n">
        <v>4</v>
      </c>
      <c r="H98" s="24" t="n">
        <v>3</v>
      </c>
      <c r="I98" s="24" t="n">
        <v>5</v>
      </c>
      <c r="J98" s="24" t="n">
        <v>3</v>
      </c>
      <c r="K98" s="24" t="n">
        <v>4</v>
      </c>
      <c r="L98" s="37" t="n">
        <f aca="false">IF(F98="N/A","",IF(COUNT(H98:K98)=0,"",IF(Config!$C$19="Highest dimension",MAX(H98:K98),ROUND(H98*Config!$C$20+I98*Config!$C$21+J98*Config!$C$22+K98*Config!$C$23,1))))</f>
        <v>5</v>
      </c>
      <c r="M98" s="38" t="n">
        <f aca="false">IF(OR(L98="",G98=""),"",G98*L98)</f>
        <v>20</v>
      </c>
      <c r="N98" s="31" t="n">
        <f aca="false">IF(M98="","",MATCH(M98,Config!$E$5:$E$9,1))</f>
        <v>5</v>
      </c>
      <c r="O98" s="7" t="str">
        <f aca="false">IF(F98="N/A","N/A",IF(N98="","Not assessed",INDEX(Config!$B$5:$B$9,N98)))</f>
        <v>High</v>
      </c>
      <c r="P98" s="32" t="n">
        <v>0</v>
      </c>
      <c r="Q98" s="8"/>
      <c r="R98" s="33"/>
      <c r="S98" s="34" t="n">
        <f aca="false">IF(N98="","",IF(AND(R98="Y",P98&lt;&gt;0),MAX(1,MIN(5,N98+MAX(-Config!$C$27,MIN(Config!$C$27,P98)))),N98))</f>
        <v>5</v>
      </c>
      <c r="T98" s="35" t="str">
        <f aca="false">IF(F98="N/A","N/A",IF(S98="","Not assessed",INDEX(Config!$B$5:$B$9,S98)))</f>
        <v>High</v>
      </c>
      <c r="U98" s="7" t="str">
        <f aca="false">IF(P98=0,"None",IF(R98="Y","Applied","Pending HO approval"))</f>
        <v>None</v>
      </c>
      <c r="V98" s="8"/>
    </row>
    <row r="99" customFormat="false" ht="15" hidden="false" customHeight="false" outlineLevel="0" collapsed="false">
      <c r="A99" s="26" t="str">
        <f aca="false">Entities!$A$12</f>
        <v>LB</v>
      </c>
      <c r="B99" s="12" t="str">
        <f aca="false">INDEX(Entities!$B$5:$B$34,MATCH(A99,Entities!$A$5:$A$34,0))</f>
        <v>Arab Bank – Lebanon</v>
      </c>
      <c r="C99" s="12" t="str">
        <f aca="false">INDEX(Entities!$D$5:$D$34,MATCH(A99,Entities!$A$5:$A$34,0))</f>
        <v>Levant</v>
      </c>
      <c r="D99" s="12" t="s">
        <v>266</v>
      </c>
      <c r="E99" s="12" t="str">
        <f aca="false">INDEX('Risk Taxonomy'!$B$5:$B$24,MATCH(D99,'Risk Taxonomy'!$A$5:$A$24,0))</f>
        <v>Shariah non-compliance</v>
      </c>
      <c r="F99" s="7" t="str">
        <f aca="false">IF(D99="RC-04",IF(INDEX(Entities!$G$5:$G$34,MATCH(A99,Entities!$A$5:$A$34,0))="Y","Yes","N/A"),"Yes")</f>
        <v>N/A</v>
      </c>
      <c r="G99" s="24"/>
      <c r="H99" s="24"/>
      <c r="I99" s="24"/>
      <c r="J99" s="24"/>
      <c r="K99" s="24"/>
      <c r="L99" s="37" t="str">
        <f aca="false">IF(F99="N/A","",IF(COUNT(H99:K99)=0,"",IF(Config!$C$19="Highest dimension",MAX(H99:K99),ROUND(H99*Config!$C$20+I99*Config!$C$21+J99*Config!$C$22+K99*Config!$C$23,1))))</f>
        <v/>
      </c>
      <c r="M99" s="38" t="str">
        <f aca="false">IF(OR(L99="",G99=""),"",G99*L99)</f>
        <v/>
      </c>
      <c r="N99" s="31" t="str">
        <f aca="false">IF(M99="","",MATCH(M99,Config!$E$5:$E$9,1))</f>
        <v/>
      </c>
      <c r="O99" s="7" t="str">
        <f aca="false">IF(F99="N/A","N/A",IF(N99="","Not assessed",INDEX(Config!$B$5:$B$9,N99)))</f>
        <v>N/A</v>
      </c>
      <c r="P99" s="32" t="n">
        <v>0</v>
      </c>
      <c r="Q99" s="8"/>
      <c r="R99" s="33"/>
      <c r="S99" s="34" t="str">
        <f aca="false">IF(N99="","",IF(AND(R99="Y",P99&lt;&gt;0),MAX(1,MIN(5,N99+MAX(-Config!$C$27,MIN(Config!$C$27,P99)))),N99))</f>
        <v/>
      </c>
      <c r="T99" s="35" t="str">
        <f aca="false">IF(F99="N/A","N/A",IF(S99="","Not assessed",INDEX(Config!$B$5:$B$9,S99)))</f>
        <v>N/A</v>
      </c>
      <c r="U99" s="7" t="str">
        <f aca="false">IF(P99=0,"None",IF(R99="Y","Applied","Pending HO approval"))</f>
        <v>None</v>
      </c>
      <c r="V99" s="8"/>
    </row>
    <row r="100" customFormat="false" ht="15" hidden="false" customHeight="false" outlineLevel="0" collapsed="false">
      <c r="A100" s="26" t="str">
        <f aca="false">Entities!$A$12</f>
        <v>LB</v>
      </c>
      <c r="B100" s="12" t="str">
        <f aca="false">INDEX(Entities!$B$5:$B$34,MATCH(A100,Entities!$A$5:$A$34,0))</f>
        <v>Arab Bank – Lebanon</v>
      </c>
      <c r="C100" s="12" t="str">
        <f aca="false">INDEX(Entities!$D$5:$D$34,MATCH(A100,Entities!$A$5:$A$34,0))</f>
        <v>Levant</v>
      </c>
      <c r="D100" s="12" t="s">
        <v>270</v>
      </c>
      <c r="E100" s="12" t="str">
        <f aca="false">INDEX('Risk Taxonomy'!$B$5:$B$24,MATCH(D100,'Risk Taxonomy'!$A$5:$A$24,0))</f>
        <v>Credit risk</v>
      </c>
      <c r="F100" s="7" t="str">
        <f aca="false">IF(D100="RC-04",IF(INDEX(Entities!$G$5:$G$34,MATCH(A100,Entities!$A$5:$A$34,0))="Y","Yes","N/A"),"Yes")</f>
        <v>Yes</v>
      </c>
      <c r="G100" s="24" t="n">
        <v>5</v>
      </c>
      <c r="H100" s="24" t="n">
        <v>4</v>
      </c>
      <c r="I100" s="24" t="n">
        <v>3</v>
      </c>
      <c r="J100" s="24" t="n">
        <v>4</v>
      </c>
      <c r="K100" s="24" t="n">
        <v>5</v>
      </c>
      <c r="L100" s="37" t="n">
        <f aca="false">IF(F100="N/A","",IF(COUNT(H100:K100)=0,"",IF(Config!$C$19="Highest dimension",MAX(H100:K100),ROUND(H100*Config!$C$20+I100*Config!$C$21+J100*Config!$C$22+K100*Config!$C$23,1))))</f>
        <v>5</v>
      </c>
      <c r="M100" s="38" t="n">
        <f aca="false">IF(OR(L100="",G100=""),"",G100*L100)</f>
        <v>25</v>
      </c>
      <c r="N100" s="31" t="n">
        <f aca="false">IF(M100="","",MATCH(M100,Config!$E$5:$E$9,1))</f>
        <v>5</v>
      </c>
      <c r="O100" s="7" t="str">
        <f aca="false">IF(F100="N/A","N/A",IF(N100="","Not assessed",INDEX(Config!$B$5:$B$9,N100)))</f>
        <v>High</v>
      </c>
      <c r="P100" s="32" t="n">
        <v>0</v>
      </c>
      <c r="Q100" s="8"/>
      <c r="R100" s="33"/>
      <c r="S100" s="34" t="n">
        <f aca="false">IF(N100="","",IF(AND(R100="Y",P100&lt;&gt;0),MAX(1,MIN(5,N100+MAX(-Config!$C$27,MIN(Config!$C$27,P100)))),N100))</f>
        <v>5</v>
      </c>
      <c r="T100" s="35" t="str">
        <f aca="false">IF(F100="N/A","N/A",IF(S100="","Not assessed",INDEX(Config!$B$5:$B$9,S100)))</f>
        <v>High</v>
      </c>
      <c r="U100" s="7" t="str">
        <f aca="false">IF(P100=0,"None",IF(R100="Y","Applied","Pending HO approval"))</f>
        <v>None</v>
      </c>
      <c r="V100" s="8"/>
    </row>
    <row r="101" customFormat="false" ht="15" hidden="false" customHeight="false" outlineLevel="0" collapsed="false">
      <c r="A101" s="26" t="str">
        <f aca="false">Entities!$A$12</f>
        <v>LB</v>
      </c>
      <c r="B101" s="12" t="str">
        <f aca="false">INDEX(Entities!$B$5:$B$34,MATCH(A101,Entities!$A$5:$A$34,0))</f>
        <v>Arab Bank – Lebanon</v>
      </c>
      <c r="C101" s="12" t="str">
        <f aca="false">INDEX(Entities!$D$5:$D$34,MATCH(A101,Entities!$A$5:$A$34,0))</f>
        <v>Levant</v>
      </c>
      <c r="D101" s="12" t="s">
        <v>275</v>
      </c>
      <c r="E101" s="12" t="str">
        <f aca="false">INDEX('Risk Taxonomy'!$B$5:$B$24,MATCH(D101,'Risk Taxonomy'!$A$5:$A$24,0))</f>
        <v>Market risk</v>
      </c>
      <c r="F101" s="7" t="str">
        <f aca="false">IF(D101="RC-04",IF(INDEX(Entities!$G$5:$G$34,MATCH(A101,Entities!$A$5:$A$34,0))="Y","Yes","N/A"),"Yes")</f>
        <v>Yes</v>
      </c>
      <c r="G101" s="24" t="n">
        <v>4</v>
      </c>
      <c r="H101" s="24" t="n">
        <v>3</v>
      </c>
      <c r="I101" s="24" t="n">
        <v>4</v>
      </c>
      <c r="J101" s="24" t="n">
        <v>2</v>
      </c>
      <c r="K101" s="24" t="n">
        <v>5</v>
      </c>
      <c r="L101" s="37" t="n">
        <f aca="false">IF(F101="N/A","",IF(COUNT(H101:K101)=0,"",IF(Config!$C$19="Highest dimension",MAX(H101:K101),ROUND(H101*Config!$C$20+I101*Config!$C$21+J101*Config!$C$22+K101*Config!$C$23,1))))</f>
        <v>5</v>
      </c>
      <c r="M101" s="38" t="n">
        <f aca="false">IF(OR(L101="",G101=""),"",G101*L101)</f>
        <v>20</v>
      </c>
      <c r="N101" s="31" t="n">
        <f aca="false">IF(M101="","",MATCH(M101,Config!$E$5:$E$9,1))</f>
        <v>5</v>
      </c>
      <c r="O101" s="7" t="str">
        <f aca="false">IF(F101="N/A","N/A",IF(N101="","Not assessed",INDEX(Config!$B$5:$B$9,N101)))</f>
        <v>High</v>
      </c>
      <c r="P101" s="32" t="n">
        <v>0</v>
      </c>
      <c r="Q101" s="8"/>
      <c r="R101" s="33"/>
      <c r="S101" s="34" t="n">
        <f aca="false">IF(N101="","",IF(AND(R101="Y",P101&lt;&gt;0),MAX(1,MIN(5,N101+MAX(-Config!$C$27,MIN(Config!$C$27,P101)))),N101))</f>
        <v>5</v>
      </c>
      <c r="T101" s="35" t="str">
        <f aca="false">IF(F101="N/A","N/A",IF(S101="","Not assessed",INDEX(Config!$B$5:$B$9,S101)))</f>
        <v>High</v>
      </c>
      <c r="U101" s="7" t="str">
        <f aca="false">IF(P101=0,"None",IF(R101="Y","Applied","Pending HO approval"))</f>
        <v>None</v>
      </c>
      <c r="V101" s="8"/>
    </row>
    <row r="102" customFormat="false" ht="15" hidden="false" customHeight="false" outlineLevel="0" collapsed="false">
      <c r="A102" s="26" t="str">
        <f aca="false">Entities!$A$12</f>
        <v>LB</v>
      </c>
      <c r="B102" s="12" t="str">
        <f aca="false">INDEX(Entities!$B$5:$B$34,MATCH(A102,Entities!$A$5:$A$34,0))</f>
        <v>Arab Bank – Lebanon</v>
      </c>
      <c r="C102" s="12" t="str">
        <f aca="false">INDEX(Entities!$D$5:$D$34,MATCH(A102,Entities!$A$5:$A$34,0))</f>
        <v>Levant</v>
      </c>
      <c r="D102" s="12" t="s">
        <v>277</v>
      </c>
      <c r="E102" s="12" t="str">
        <f aca="false">INDEX('Risk Taxonomy'!$B$5:$B$24,MATCH(D102,'Risk Taxonomy'!$A$5:$A$24,0))</f>
        <v>Liquidity and funding risk</v>
      </c>
      <c r="F102" s="7" t="str">
        <f aca="false">IF(D102="RC-04",IF(INDEX(Entities!$G$5:$G$34,MATCH(A102,Entities!$A$5:$A$34,0))="Y","Yes","N/A"),"Yes")</f>
        <v>Yes</v>
      </c>
      <c r="G102" s="24" t="n">
        <v>5</v>
      </c>
      <c r="H102" s="24" t="n">
        <v>3</v>
      </c>
      <c r="I102" s="24" t="n">
        <v>4</v>
      </c>
      <c r="J102" s="24" t="n">
        <v>4</v>
      </c>
      <c r="K102" s="24" t="n">
        <v>4</v>
      </c>
      <c r="L102" s="37" t="n">
        <f aca="false">IF(F102="N/A","",IF(COUNT(H102:K102)=0,"",IF(Config!$C$19="Highest dimension",MAX(H102:K102),ROUND(H102*Config!$C$20+I102*Config!$C$21+J102*Config!$C$22+K102*Config!$C$23,1))))</f>
        <v>4</v>
      </c>
      <c r="M102" s="38" t="n">
        <f aca="false">IF(OR(L102="",G102=""),"",G102*L102)</f>
        <v>20</v>
      </c>
      <c r="N102" s="31" t="n">
        <f aca="false">IF(M102="","",MATCH(M102,Config!$E$5:$E$9,1))</f>
        <v>5</v>
      </c>
      <c r="O102" s="7" t="str">
        <f aca="false">IF(F102="N/A","N/A",IF(N102="","Not assessed",INDEX(Config!$B$5:$B$9,N102)))</f>
        <v>High</v>
      </c>
      <c r="P102" s="32" t="n">
        <v>1</v>
      </c>
      <c r="Q102" s="8" t="s">
        <v>445</v>
      </c>
      <c r="R102" s="33" t="s">
        <v>84</v>
      </c>
      <c r="S102" s="34" t="n">
        <f aca="false">IF(N102="","",IF(AND(R102="Y",P102&lt;&gt;0),MAX(1,MIN(5,N102+MAX(-Config!$C$27,MIN(Config!$C$27,P102)))),N102))</f>
        <v>5</v>
      </c>
      <c r="T102" s="35" t="str">
        <f aca="false">IF(F102="N/A","N/A",IF(S102="","Not assessed",INDEX(Config!$B$5:$B$9,S102)))</f>
        <v>High</v>
      </c>
      <c r="U102" s="7" t="str">
        <f aca="false">IF(P102=0,"None",IF(R102="Y","Applied","Pending HO approval"))</f>
        <v>Applied</v>
      </c>
      <c r="V102" s="8"/>
    </row>
    <row r="103" customFormat="false" ht="15" hidden="false" customHeight="false" outlineLevel="0" collapsed="false">
      <c r="A103" s="26" t="str">
        <f aca="false">Entities!$A$12</f>
        <v>LB</v>
      </c>
      <c r="B103" s="12" t="str">
        <f aca="false">INDEX(Entities!$B$5:$B$34,MATCH(A103,Entities!$A$5:$A$34,0))</f>
        <v>Arab Bank – Lebanon</v>
      </c>
      <c r="C103" s="12" t="str">
        <f aca="false">INDEX(Entities!$D$5:$D$34,MATCH(A103,Entities!$A$5:$A$34,0))</f>
        <v>Levant</v>
      </c>
      <c r="D103" s="12" t="s">
        <v>280</v>
      </c>
      <c r="E103" s="12" t="str">
        <f aca="false">INDEX('Risk Taxonomy'!$B$5:$B$24,MATCH(D103,'Risk Taxonomy'!$A$5:$A$24,0))</f>
        <v>Operational risk</v>
      </c>
      <c r="F103" s="7" t="str">
        <f aca="false">IF(D103="RC-04",IF(INDEX(Entities!$G$5:$G$34,MATCH(A103,Entities!$A$5:$A$34,0))="Y","Yes","N/A"),"Yes")</f>
        <v>Yes</v>
      </c>
      <c r="G103" s="24" t="n">
        <v>4</v>
      </c>
      <c r="H103" s="24" t="n">
        <v>3</v>
      </c>
      <c r="I103" s="24" t="n">
        <v>4</v>
      </c>
      <c r="J103" s="24" t="n">
        <v>4</v>
      </c>
      <c r="K103" s="24" t="n">
        <v>3</v>
      </c>
      <c r="L103" s="37" t="n">
        <f aca="false">IF(F103="N/A","",IF(COUNT(H103:K103)=0,"",IF(Config!$C$19="Highest dimension",MAX(H103:K103),ROUND(H103*Config!$C$20+I103*Config!$C$21+J103*Config!$C$22+K103*Config!$C$23,1))))</f>
        <v>4</v>
      </c>
      <c r="M103" s="38" t="n">
        <f aca="false">IF(OR(L103="",G103=""),"",G103*L103)</f>
        <v>16</v>
      </c>
      <c r="N103" s="31" t="n">
        <f aca="false">IF(M103="","",MATCH(M103,Config!$E$5:$E$9,1))</f>
        <v>4</v>
      </c>
      <c r="O103" s="7" t="str">
        <f aca="false">IF(F103="N/A","N/A",IF(N103="","Not assessed",INDEX(Config!$B$5:$B$9,N103)))</f>
        <v>Medium-High</v>
      </c>
      <c r="P103" s="32" t="n">
        <v>0</v>
      </c>
      <c r="Q103" s="8"/>
      <c r="R103" s="33"/>
      <c r="S103" s="34" t="n">
        <f aca="false">IF(N103="","",IF(AND(R103="Y",P103&lt;&gt;0),MAX(1,MIN(5,N103+MAX(-Config!$C$27,MIN(Config!$C$27,P103)))),N103))</f>
        <v>4</v>
      </c>
      <c r="T103" s="35" t="str">
        <f aca="false">IF(F103="N/A","N/A",IF(S103="","Not assessed",INDEX(Config!$B$5:$B$9,S103)))</f>
        <v>Medium-High</v>
      </c>
      <c r="U103" s="7" t="str">
        <f aca="false">IF(P103=0,"None",IF(R103="Y","Applied","Pending HO approval"))</f>
        <v>None</v>
      </c>
      <c r="V103" s="8"/>
    </row>
    <row r="104" customFormat="false" ht="15" hidden="false" customHeight="false" outlineLevel="0" collapsed="false">
      <c r="A104" s="26" t="str">
        <f aca="false">Entities!$A$12</f>
        <v>LB</v>
      </c>
      <c r="B104" s="12" t="str">
        <f aca="false">INDEX(Entities!$B$5:$B$34,MATCH(A104,Entities!$A$5:$A$34,0))</f>
        <v>Arab Bank – Lebanon</v>
      </c>
      <c r="C104" s="12" t="str">
        <f aca="false">INDEX(Entities!$D$5:$D$34,MATCH(A104,Entities!$A$5:$A$34,0))</f>
        <v>Levant</v>
      </c>
      <c r="D104" s="12" t="s">
        <v>283</v>
      </c>
      <c r="E104" s="12" t="str">
        <f aca="false">INDEX('Risk Taxonomy'!$B$5:$B$24,MATCH(D104,'Risk Taxonomy'!$A$5:$A$24,0))</f>
        <v>Cyber, information security and technology</v>
      </c>
      <c r="F104" s="7" t="str">
        <f aca="false">IF(D104="RC-04",IF(INDEX(Entities!$G$5:$G$34,MATCH(A104,Entities!$A$5:$A$34,0))="Y","Yes","N/A"),"Yes")</f>
        <v>Yes</v>
      </c>
      <c r="G104" s="24" t="n">
        <v>4</v>
      </c>
      <c r="H104" s="24" t="n">
        <v>4</v>
      </c>
      <c r="I104" s="24" t="n">
        <v>4</v>
      </c>
      <c r="J104" s="24" t="n">
        <v>4</v>
      </c>
      <c r="K104" s="24" t="n">
        <v>3</v>
      </c>
      <c r="L104" s="37" t="n">
        <f aca="false">IF(F104="N/A","",IF(COUNT(H104:K104)=0,"",IF(Config!$C$19="Highest dimension",MAX(H104:K104),ROUND(H104*Config!$C$20+I104*Config!$C$21+J104*Config!$C$22+K104*Config!$C$23,1))))</f>
        <v>4</v>
      </c>
      <c r="M104" s="38" t="n">
        <f aca="false">IF(OR(L104="",G104=""),"",G104*L104)</f>
        <v>16</v>
      </c>
      <c r="N104" s="31" t="n">
        <f aca="false">IF(M104="","",MATCH(M104,Config!$E$5:$E$9,1))</f>
        <v>4</v>
      </c>
      <c r="O104" s="7" t="str">
        <f aca="false">IF(F104="N/A","N/A",IF(N104="","Not assessed",INDEX(Config!$B$5:$B$9,N104)))</f>
        <v>Medium-High</v>
      </c>
      <c r="P104" s="32" t="n">
        <v>0</v>
      </c>
      <c r="Q104" s="8"/>
      <c r="R104" s="33"/>
      <c r="S104" s="34" t="n">
        <f aca="false">IF(N104="","",IF(AND(R104="Y",P104&lt;&gt;0),MAX(1,MIN(5,N104+MAX(-Config!$C$27,MIN(Config!$C$27,P104)))),N104))</f>
        <v>4</v>
      </c>
      <c r="T104" s="35" t="str">
        <f aca="false">IF(F104="N/A","N/A",IF(S104="","Not assessed",INDEX(Config!$B$5:$B$9,S104)))</f>
        <v>Medium-High</v>
      </c>
      <c r="U104" s="7" t="str">
        <f aca="false">IF(P104=0,"None",IF(R104="Y","Applied","Pending HO approval"))</f>
        <v>None</v>
      </c>
      <c r="V104" s="8"/>
    </row>
    <row r="105" customFormat="false" ht="15" hidden="false" customHeight="false" outlineLevel="0" collapsed="false">
      <c r="A105" s="26" t="str">
        <f aca="false">Entities!$A$12</f>
        <v>LB</v>
      </c>
      <c r="B105" s="12" t="str">
        <f aca="false">INDEX(Entities!$B$5:$B$34,MATCH(A105,Entities!$A$5:$A$34,0))</f>
        <v>Arab Bank – Lebanon</v>
      </c>
      <c r="C105" s="12" t="str">
        <f aca="false">INDEX(Entities!$D$5:$D$34,MATCH(A105,Entities!$A$5:$A$34,0))</f>
        <v>Levant</v>
      </c>
      <c r="D105" s="12" t="s">
        <v>286</v>
      </c>
      <c r="E105" s="12" t="str">
        <f aca="false">INDEX('Risk Taxonomy'!$B$5:$B$24,MATCH(D105,'Risk Taxonomy'!$A$5:$A$24,0))</f>
        <v>Third-party and outsourcing</v>
      </c>
      <c r="F105" s="7" t="str">
        <f aca="false">IF(D105="RC-04",IF(INDEX(Entities!$G$5:$G$34,MATCH(A105,Entities!$A$5:$A$34,0))="Y","Yes","N/A"),"Yes")</f>
        <v>Yes</v>
      </c>
      <c r="G105" s="24" t="n">
        <v>4</v>
      </c>
      <c r="H105" s="24" t="n">
        <v>4</v>
      </c>
      <c r="I105" s="24" t="n">
        <v>5</v>
      </c>
      <c r="J105" s="24" t="n">
        <v>4</v>
      </c>
      <c r="K105" s="24" t="n">
        <v>5</v>
      </c>
      <c r="L105" s="37" t="n">
        <f aca="false">IF(F105="N/A","",IF(COUNT(H105:K105)=0,"",IF(Config!$C$19="Highest dimension",MAX(H105:K105),ROUND(H105*Config!$C$20+I105*Config!$C$21+J105*Config!$C$22+K105*Config!$C$23,1))))</f>
        <v>5</v>
      </c>
      <c r="M105" s="38" t="n">
        <f aca="false">IF(OR(L105="",G105=""),"",G105*L105)</f>
        <v>20</v>
      </c>
      <c r="N105" s="31" t="n">
        <f aca="false">IF(M105="","",MATCH(M105,Config!$E$5:$E$9,1))</f>
        <v>5</v>
      </c>
      <c r="O105" s="7" t="str">
        <f aca="false">IF(F105="N/A","N/A",IF(N105="","Not assessed",INDEX(Config!$B$5:$B$9,N105)))</f>
        <v>High</v>
      </c>
      <c r="P105" s="32" t="n">
        <v>0</v>
      </c>
      <c r="Q105" s="8"/>
      <c r="R105" s="33"/>
      <c r="S105" s="34" t="n">
        <f aca="false">IF(N105="","",IF(AND(R105="Y",P105&lt;&gt;0),MAX(1,MIN(5,N105+MAX(-Config!$C$27,MIN(Config!$C$27,P105)))),N105))</f>
        <v>5</v>
      </c>
      <c r="T105" s="35" t="str">
        <f aca="false">IF(F105="N/A","N/A",IF(S105="","Not assessed",INDEX(Config!$B$5:$B$9,S105)))</f>
        <v>High</v>
      </c>
      <c r="U105" s="7" t="str">
        <f aca="false">IF(P105=0,"None",IF(R105="Y","Applied","Pending HO approval"))</f>
        <v>None</v>
      </c>
      <c r="V105" s="8"/>
    </row>
    <row r="106" customFormat="false" ht="15" hidden="false" customHeight="false" outlineLevel="0" collapsed="false">
      <c r="A106" s="26" t="str">
        <f aca="false">Entities!$A$12</f>
        <v>LB</v>
      </c>
      <c r="B106" s="12" t="str">
        <f aca="false">INDEX(Entities!$B$5:$B$34,MATCH(A106,Entities!$A$5:$A$34,0))</f>
        <v>Arab Bank – Lebanon</v>
      </c>
      <c r="C106" s="12" t="str">
        <f aca="false">INDEX(Entities!$D$5:$D$34,MATCH(A106,Entities!$A$5:$A$34,0))</f>
        <v>Levant</v>
      </c>
      <c r="D106" s="12" t="s">
        <v>289</v>
      </c>
      <c r="E106" s="12" t="str">
        <f aca="false">INDEX('Risk Taxonomy'!$B$5:$B$24,MATCH(D106,'Risk Taxonomy'!$A$5:$A$24,0))</f>
        <v>Legal and litigation</v>
      </c>
      <c r="F106" s="7" t="str">
        <f aca="false">IF(D106="RC-04",IF(INDEX(Entities!$G$5:$G$34,MATCH(A106,Entities!$A$5:$A$34,0))="Y","Yes","N/A"),"Yes")</f>
        <v>Yes</v>
      </c>
      <c r="G106" s="24" t="n">
        <v>3</v>
      </c>
      <c r="H106" s="24" t="n">
        <v>5</v>
      </c>
      <c r="I106" s="24" t="n">
        <v>4</v>
      </c>
      <c r="J106" s="24" t="n">
        <v>4</v>
      </c>
      <c r="K106" s="24" t="n">
        <v>2</v>
      </c>
      <c r="L106" s="37" t="n">
        <f aca="false">IF(F106="N/A","",IF(COUNT(H106:K106)=0,"",IF(Config!$C$19="Highest dimension",MAX(H106:K106),ROUND(H106*Config!$C$20+I106*Config!$C$21+J106*Config!$C$22+K106*Config!$C$23,1))))</f>
        <v>5</v>
      </c>
      <c r="M106" s="38" t="n">
        <f aca="false">IF(OR(L106="",G106=""),"",G106*L106)</f>
        <v>15</v>
      </c>
      <c r="N106" s="31" t="n">
        <f aca="false">IF(M106="","",MATCH(M106,Config!$E$5:$E$9,1))</f>
        <v>4</v>
      </c>
      <c r="O106" s="7" t="str">
        <f aca="false">IF(F106="N/A","N/A",IF(N106="","Not assessed",INDEX(Config!$B$5:$B$9,N106)))</f>
        <v>Medium-High</v>
      </c>
      <c r="P106" s="32" t="n">
        <v>0</v>
      </c>
      <c r="Q106" s="8"/>
      <c r="R106" s="33"/>
      <c r="S106" s="34" t="n">
        <f aca="false">IF(N106="","",IF(AND(R106="Y",P106&lt;&gt;0),MAX(1,MIN(5,N106+MAX(-Config!$C$27,MIN(Config!$C$27,P106)))),N106))</f>
        <v>4</v>
      </c>
      <c r="T106" s="35" t="str">
        <f aca="false">IF(F106="N/A","N/A",IF(S106="","Not assessed",INDEX(Config!$B$5:$B$9,S106)))</f>
        <v>Medium-High</v>
      </c>
      <c r="U106" s="7" t="str">
        <f aca="false">IF(P106=0,"None",IF(R106="Y","Applied","Pending HO approval"))</f>
        <v>None</v>
      </c>
      <c r="V106" s="8"/>
    </row>
    <row r="107" customFormat="false" ht="15" hidden="false" customHeight="false" outlineLevel="0" collapsed="false">
      <c r="A107" s="26" t="str">
        <f aca="false">Entities!$A$12</f>
        <v>LB</v>
      </c>
      <c r="B107" s="12" t="str">
        <f aca="false">INDEX(Entities!$B$5:$B$34,MATCH(A107,Entities!$A$5:$A$34,0))</f>
        <v>Arab Bank – Lebanon</v>
      </c>
      <c r="C107" s="12" t="str">
        <f aca="false">INDEX(Entities!$D$5:$D$34,MATCH(A107,Entities!$A$5:$A$34,0))</f>
        <v>Levant</v>
      </c>
      <c r="D107" s="12" t="s">
        <v>292</v>
      </c>
      <c r="E107" s="12" t="str">
        <f aca="false">INDEX('Risk Taxonomy'!$B$5:$B$24,MATCH(D107,'Risk Taxonomy'!$A$5:$A$24,0))</f>
        <v>Reputational</v>
      </c>
      <c r="F107" s="7" t="str">
        <f aca="false">IF(D107="RC-04",IF(INDEX(Entities!$G$5:$G$34,MATCH(A107,Entities!$A$5:$A$34,0))="Y","Yes","N/A"),"Yes")</f>
        <v>Yes</v>
      </c>
      <c r="G107" s="24" t="n">
        <v>5</v>
      </c>
      <c r="H107" s="24" t="n">
        <v>5</v>
      </c>
      <c r="I107" s="24" t="n">
        <v>5</v>
      </c>
      <c r="J107" s="24" t="n">
        <v>3</v>
      </c>
      <c r="K107" s="24" t="n">
        <v>4</v>
      </c>
      <c r="L107" s="37" t="n">
        <f aca="false">IF(F107="N/A","",IF(COUNT(H107:K107)=0,"",IF(Config!$C$19="Highest dimension",MAX(H107:K107),ROUND(H107*Config!$C$20+I107*Config!$C$21+J107*Config!$C$22+K107*Config!$C$23,1))))</f>
        <v>5</v>
      </c>
      <c r="M107" s="38" t="n">
        <f aca="false">IF(OR(L107="",G107=""),"",G107*L107)</f>
        <v>25</v>
      </c>
      <c r="N107" s="31" t="n">
        <f aca="false">IF(M107="","",MATCH(M107,Config!$E$5:$E$9,1))</f>
        <v>5</v>
      </c>
      <c r="O107" s="7" t="str">
        <f aca="false">IF(F107="N/A","N/A",IF(N107="","Not assessed",INDEX(Config!$B$5:$B$9,N107)))</f>
        <v>High</v>
      </c>
      <c r="P107" s="32" t="n">
        <v>0</v>
      </c>
      <c r="Q107" s="8"/>
      <c r="R107" s="33"/>
      <c r="S107" s="34" t="n">
        <f aca="false">IF(N107="","",IF(AND(R107="Y",P107&lt;&gt;0),MAX(1,MIN(5,N107+MAX(-Config!$C$27,MIN(Config!$C$27,P107)))),N107))</f>
        <v>5</v>
      </c>
      <c r="T107" s="35" t="str">
        <f aca="false">IF(F107="N/A","N/A",IF(S107="","Not assessed",INDEX(Config!$B$5:$B$9,S107)))</f>
        <v>High</v>
      </c>
      <c r="U107" s="7" t="str">
        <f aca="false">IF(P107=0,"None",IF(R107="Y","Applied","Pending HO approval"))</f>
        <v>None</v>
      </c>
      <c r="V107" s="8"/>
    </row>
    <row r="108" customFormat="false" ht="15" hidden="false" customHeight="false" outlineLevel="0" collapsed="false">
      <c r="A108" s="26" t="str">
        <f aca="false">Entities!$A$12</f>
        <v>LB</v>
      </c>
      <c r="B108" s="12" t="str">
        <f aca="false">INDEX(Entities!$B$5:$B$34,MATCH(A108,Entities!$A$5:$A$34,0))</f>
        <v>Arab Bank – Lebanon</v>
      </c>
      <c r="C108" s="12" t="str">
        <f aca="false">INDEX(Entities!$D$5:$D$34,MATCH(A108,Entities!$A$5:$A$34,0))</f>
        <v>Levant</v>
      </c>
      <c r="D108" s="12" t="s">
        <v>295</v>
      </c>
      <c r="E108" s="12" t="str">
        <f aca="false">INDEX('Risk Taxonomy'!$B$5:$B$24,MATCH(D108,'Risk Taxonomy'!$A$5:$A$24,0))</f>
        <v>Strategic, business model and ESG</v>
      </c>
      <c r="F108" s="7" t="str">
        <f aca="false">IF(D108="RC-04",IF(INDEX(Entities!$G$5:$G$34,MATCH(A108,Entities!$A$5:$A$34,0))="Y","Yes","N/A"),"Yes")</f>
        <v>Yes</v>
      </c>
      <c r="G108" s="24" t="n">
        <v>4</v>
      </c>
      <c r="H108" s="24" t="n">
        <v>5</v>
      </c>
      <c r="I108" s="24" t="n">
        <v>4</v>
      </c>
      <c r="J108" s="24" t="n">
        <v>4</v>
      </c>
      <c r="K108" s="24" t="n">
        <v>3</v>
      </c>
      <c r="L108" s="37" t="n">
        <f aca="false">IF(F108="N/A","",IF(COUNT(H108:K108)=0,"",IF(Config!$C$19="Highest dimension",MAX(H108:K108),ROUND(H108*Config!$C$20+I108*Config!$C$21+J108*Config!$C$22+K108*Config!$C$23,1))))</f>
        <v>5</v>
      </c>
      <c r="M108" s="38" t="n">
        <f aca="false">IF(OR(L108="",G108=""),"",G108*L108)</f>
        <v>20</v>
      </c>
      <c r="N108" s="31" t="n">
        <f aca="false">IF(M108="","",MATCH(M108,Config!$E$5:$E$9,1))</f>
        <v>5</v>
      </c>
      <c r="O108" s="7" t="str">
        <f aca="false">IF(F108="N/A","N/A",IF(N108="","Not assessed",INDEX(Config!$B$5:$B$9,N108)))</f>
        <v>High</v>
      </c>
      <c r="P108" s="32" t="n">
        <v>0</v>
      </c>
      <c r="Q108" s="8"/>
      <c r="R108" s="33"/>
      <c r="S108" s="34" t="n">
        <f aca="false">IF(N108="","",IF(AND(R108="Y",P108&lt;&gt;0),MAX(1,MIN(5,N108+MAX(-Config!$C$27,MIN(Config!$C$27,P108)))),N108))</f>
        <v>5</v>
      </c>
      <c r="T108" s="35" t="str">
        <f aca="false">IF(F108="N/A","N/A",IF(S108="","Not assessed",INDEX(Config!$B$5:$B$9,S108)))</f>
        <v>High</v>
      </c>
      <c r="U108" s="7" t="str">
        <f aca="false">IF(P108=0,"None",IF(R108="Y","Applied","Pending HO approval"))</f>
        <v>None</v>
      </c>
      <c r="V108" s="8"/>
    </row>
    <row r="109" customFormat="false" ht="15" hidden="false" customHeight="false" outlineLevel="0" collapsed="false">
      <c r="A109" s="26" t="str">
        <f aca="false">Entities!$A$13</f>
        <v>SY</v>
      </c>
      <c r="B109" s="12" t="str">
        <f aca="false">INDEX(Entities!$B$5:$B$34,MATCH(A109,Entities!$A$5:$A$34,0))</f>
        <v>Arab Bank – Syria</v>
      </c>
      <c r="C109" s="12" t="str">
        <f aca="false">INDEX(Entities!$D$5:$D$34,MATCH(A109,Entities!$A$5:$A$34,0))</f>
        <v>Levant</v>
      </c>
      <c r="D109" s="12" t="s">
        <v>257</v>
      </c>
      <c r="E109" s="12" t="str">
        <f aca="false">INDEX('Risk Taxonomy'!$B$5:$B$24,MATCH(D109,'Risk Taxonomy'!$A$5:$A$24,0))</f>
        <v>Regulatory compliance</v>
      </c>
      <c r="F109" s="7" t="str">
        <f aca="false">IF(D109="RC-04",IF(INDEX(Entities!$G$5:$G$34,MATCH(A109,Entities!$A$5:$A$34,0))="Y","Yes","N/A"),"Yes")</f>
        <v>Yes</v>
      </c>
      <c r="G109" s="24" t="n">
        <v>4</v>
      </c>
      <c r="H109" s="24" t="n">
        <v>3</v>
      </c>
      <c r="I109" s="24" t="n">
        <v>5</v>
      </c>
      <c r="J109" s="24" t="n">
        <v>4</v>
      </c>
      <c r="K109" s="24" t="n">
        <v>3</v>
      </c>
      <c r="L109" s="37" t="n">
        <f aca="false">IF(F109="N/A","",IF(COUNT(H109:K109)=0,"",IF(Config!$C$19="Highest dimension",MAX(H109:K109),ROUND(H109*Config!$C$20+I109*Config!$C$21+J109*Config!$C$22+K109*Config!$C$23,1))))</f>
        <v>5</v>
      </c>
      <c r="M109" s="38" t="n">
        <f aca="false">IF(OR(L109="",G109=""),"",G109*L109)</f>
        <v>20</v>
      </c>
      <c r="N109" s="31" t="n">
        <f aca="false">IF(M109="","",MATCH(M109,Config!$E$5:$E$9,1))</f>
        <v>5</v>
      </c>
      <c r="O109" s="7" t="str">
        <f aca="false">IF(F109="N/A","N/A",IF(N109="","Not assessed",INDEX(Config!$B$5:$B$9,N109)))</f>
        <v>High</v>
      </c>
      <c r="P109" s="32" t="n">
        <v>0</v>
      </c>
      <c r="Q109" s="8"/>
      <c r="R109" s="33"/>
      <c r="S109" s="34" t="n">
        <f aca="false">IF(N109="","",IF(AND(R109="Y",P109&lt;&gt;0),MAX(1,MIN(5,N109+MAX(-Config!$C$27,MIN(Config!$C$27,P109)))),N109))</f>
        <v>5</v>
      </c>
      <c r="T109" s="35" t="str">
        <f aca="false">IF(F109="N/A","N/A",IF(S109="","Not assessed",INDEX(Config!$B$5:$B$9,S109)))</f>
        <v>High</v>
      </c>
      <c r="U109" s="7" t="str">
        <f aca="false">IF(P109=0,"None",IF(R109="Y","Applied","Pending HO approval"))</f>
        <v>None</v>
      </c>
      <c r="V109" s="8"/>
    </row>
    <row r="110" customFormat="false" ht="15" hidden="false" customHeight="false" outlineLevel="0" collapsed="false">
      <c r="A110" s="26" t="str">
        <f aca="false">Entities!$A$13</f>
        <v>SY</v>
      </c>
      <c r="B110" s="12" t="str">
        <f aca="false">INDEX(Entities!$B$5:$B$34,MATCH(A110,Entities!$A$5:$A$34,0))</f>
        <v>Arab Bank – Syria</v>
      </c>
      <c r="C110" s="12" t="str">
        <f aca="false">INDEX(Entities!$D$5:$D$34,MATCH(A110,Entities!$A$5:$A$34,0))</f>
        <v>Levant</v>
      </c>
      <c r="D110" s="12" t="s">
        <v>261</v>
      </c>
      <c r="E110" s="12" t="str">
        <f aca="false">INDEX('Risk Taxonomy'!$B$5:$B$24,MATCH(D110,'Risk Taxonomy'!$A$5:$A$24,0))</f>
        <v>Conduct and consumer protection</v>
      </c>
      <c r="F110" s="7" t="str">
        <f aca="false">IF(D110="RC-04",IF(INDEX(Entities!$G$5:$G$34,MATCH(A110,Entities!$A$5:$A$34,0))="Y","Yes","N/A"),"Yes")</f>
        <v>Yes</v>
      </c>
      <c r="G110" s="24" t="n">
        <v>5</v>
      </c>
      <c r="H110" s="24" t="n">
        <v>3</v>
      </c>
      <c r="I110" s="24" t="n">
        <v>3</v>
      </c>
      <c r="J110" s="24" t="n">
        <v>5</v>
      </c>
      <c r="K110" s="24" t="n">
        <v>4</v>
      </c>
      <c r="L110" s="37" t="n">
        <f aca="false">IF(F110="N/A","",IF(COUNT(H110:K110)=0,"",IF(Config!$C$19="Highest dimension",MAX(H110:K110),ROUND(H110*Config!$C$20+I110*Config!$C$21+J110*Config!$C$22+K110*Config!$C$23,1))))</f>
        <v>5</v>
      </c>
      <c r="M110" s="38" t="n">
        <f aca="false">IF(OR(L110="",G110=""),"",G110*L110)</f>
        <v>25</v>
      </c>
      <c r="N110" s="31" t="n">
        <f aca="false">IF(M110="","",MATCH(M110,Config!$E$5:$E$9,1))</f>
        <v>5</v>
      </c>
      <c r="O110" s="7" t="str">
        <f aca="false">IF(F110="N/A","N/A",IF(N110="","Not assessed",INDEX(Config!$B$5:$B$9,N110)))</f>
        <v>High</v>
      </c>
      <c r="P110" s="32" t="n">
        <v>0</v>
      </c>
      <c r="Q110" s="8"/>
      <c r="R110" s="33"/>
      <c r="S110" s="34" t="n">
        <f aca="false">IF(N110="","",IF(AND(R110="Y",P110&lt;&gt;0),MAX(1,MIN(5,N110+MAX(-Config!$C$27,MIN(Config!$C$27,P110)))),N110))</f>
        <v>5</v>
      </c>
      <c r="T110" s="35" t="str">
        <f aca="false">IF(F110="N/A","N/A",IF(S110="","Not assessed",INDEX(Config!$B$5:$B$9,S110)))</f>
        <v>High</v>
      </c>
      <c r="U110" s="7" t="str">
        <f aca="false">IF(P110=0,"None",IF(R110="Y","Applied","Pending HO approval"))</f>
        <v>None</v>
      </c>
      <c r="V110" s="8"/>
    </row>
    <row r="111" customFormat="false" ht="15" hidden="false" customHeight="false" outlineLevel="0" collapsed="false">
      <c r="A111" s="26" t="str">
        <f aca="false">Entities!$A$13</f>
        <v>SY</v>
      </c>
      <c r="B111" s="12" t="str">
        <f aca="false">INDEX(Entities!$B$5:$B$34,MATCH(A111,Entities!$A$5:$A$34,0))</f>
        <v>Arab Bank – Syria</v>
      </c>
      <c r="C111" s="12" t="str">
        <f aca="false">INDEX(Entities!$D$5:$D$34,MATCH(A111,Entities!$A$5:$A$34,0))</f>
        <v>Levant</v>
      </c>
      <c r="D111" s="12" t="s">
        <v>263</v>
      </c>
      <c r="E111" s="12" t="str">
        <f aca="false">INDEX('Risk Taxonomy'!$B$5:$B$24,MATCH(D111,'Risk Taxonomy'!$A$5:$A$24,0))</f>
        <v>Data protection and privacy</v>
      </c>
      <c r="F111" s="7" t="str">
        <f aca="false">IF(D111="RC-04",IF(INDEX(Entities!$G$5:$G$34,MATCH(A111,Entities!$A$5:$A$34,0))="Y","Yes","N/A"),"Yes")</f>
        <v>Yes</v>
      </c>
      <c r="G111" s="24" t="n">
        <v>3</v>
      </c>
      <c r="H111" s="24" t="n">
        <v>2</v>
      </c>
      <c r="I111" s="24" t="n">
        <v>3</v>
      </c>
      <c r="J111" s="24" t="n">
        <v>3</v>
      </c>
      <c r="K111" s="24" t="n">
        <v>3</v>
      </c>
      <c r="L111" s="37" t="n">
        <f aca="false">IF(F111="N/A","",IF(COUNT(H111:K111)=0,"",IF(Config!$C$19="Highest dimension",MAX(H111:K111),ROUND(H111*Config!$C$20+I111*Config!$C$21+J111*Config!$C$22+K111*Config!$C$23,1))))</f>
        <v>3</v>
      </c>
      <c r="M111" s="38" t="n">
        <f aca="false">IF(OR(L111="",G111=""),"",G111*L111)</f>
        <v>9</v>
      </c>
      <c r="N111" s="31" t="n">
        <f aca="false">IF(M111="","",MATCH(M111,Config!$E$5:$E$9,1))</f>
        <v>3</v>
      </c>
      <c r="O111" s="7" t="str">
        <f aca="false">IF(F111="N/A","N/A",IF(N111="","Not assessed",INDEX(Config!$B$5:$B$9,N111)))</f>
        <v>Medium</v>
      </c>
      <c r="P111" s="32" t="n">
        <v>0</v>
      </c>
      <c r="Q111" s="8"/>
      <c r="R111" s="33"/>
      <c r="S111" s="34" t="n">
        <f aca="false">IF(N111="","",IF(AND(R111="Y",P111&lt;&gt;0),MAX(1,MIN(5,N111+MAX(-Config!$C$27,MIN(Config!$C$27,P111)))),N111))</f>
        <v>3</v>
      </c>
      <c r="T111" s="35" t="str">
        <f aca="false">IF(F111="N/A","N/A",IF(S111="","Not assessed",INDEX(Config!$B$5:$B$9,S111)))</f>
        <v>Medium</v>
      </c>
      <c r="U111" s="7" t="str">
        <f aca="false">IF(P111=0,"None",IF(R111="Y","Applied","Pending HO approval"))</f>
        <v>None</v>
      </c>
      <c r="V111" s="8"/>
    </row>
    <row r="112" customFormat="false" ht="15" hidden="false" customHeight="false" outlineLevel="0" collapsed="false">
      <c r="A112" s="26" t="str">
        <f aca="false">Entities!$A$13</f>
        <v>SY</v>
      </c>
      <c r="B112" s="12" t="str">
        <f aca="false">INDEX(Entities!$B$5:$B$34,MATCH(A112,Entities!$A$5:$A$34,0))</f>
        <v>Arab Bank – Syria</v>
      </c>
      <c r="C112" s="12" t="str">
        <f aca="false">INDEX(Entities!$D$5:$D$34,MATCH(A112,Entities!$A$5:$A$34,0))</f>
        <v>Levant</v>
      </c>
      <c r="D112" s="12" t="s">
        <v>266</v>
      </c>
      <c r="E112" s="12" t="str">
        <f aca="false">INDEX('Risk Taxonomy'!$B$5:$B$24,MATCH(D112,'Risk Taxonomy'!$A$5:$A$24,0))</f>
        <v>Shariah non-compliance</v>
      </c>
      <c r="F112" s="7" t="str">
        <f aca="false">IF(D112="RC-04",IF(INDEX(Entities!$G$5:$G$34,MATCH(A112,Entities!$A$5:$A$34,0))="Y","Yes","N/A"),"Yes")</f>
        <v>N/A</v>
      </c>
      <c r="G112" s="24"/>
      <c r="H112" s="24"/>
      <c r="I112" s="24"/>
      <c r="J112" s="24"/>
      <c r="K112" s="24"/>
      <c r="L112" s="37" t="str">
        <f aca="false">IF(F112="N/A","",IF(COUNT(H112:K112)=0,"",IF(Config!$C$19="Highest dimension",MAX(H112:K112),ROUND(H112*Config!$C$20+I112*Config!$C$21+J112*Config!$C$22+K112*Config!$C$23,1))))</f>
        <v/>
      </c>
      <c r="M112" s="38" t="str">
        <f aca="false">IF(OR(L112="",G112=""),"",G112*L112)</f>
        <v/>
      </c>
      <c r="N112" s="31" t="str">
        <f aca="false">IF(M112="","",MATCH(M112,Config!$E$5:$E$9,1))</f>
        <v/>
      </c>
      <c r="O112" s="7" t="str">
        <f aca="false">IF(F112="N/A","N/A",IF(N112="","Not assessed",INDEX(Config!$B$5:$B$9,N112)))</f>
        <v>N/A</v>
      </c>
      <c r="P112" s="32" t="n">
        <v>0</v>
      </c>
      <c r="Q112" s="8"/>
      <c r="R112" s="33"/>
      <c r="S112" s="34" t="str">
        <f aca="false">IF(N112="","",IF(AND(R112="Y",P112&lt;&gt;0),MAX(1,MIN(5,N112+MAX(-Config!$C$27,MIN(Config!$C$27,P112)))),N112))</f>
        <v/>
      </c>
      <c r="T112" s="35" t="str">
        <f aca="false">IF(F112="N/A","N/A",IF(S112="","Not assessed",INDEX(Config!$B$5:$B$9,S112)))</f>
        <v>N/A</v>
      </c>
      <c r="U112" s="7" t="str">
        <f aca="false">IF(P112=0,"None",IF(R112="Y","Applied","Pending HO approval"))</f>
        <v>None</v>
      </c>
      <c r="V112" s="8"/>
    </row>
    <row r="113" customFormat="false" ht="15" hidden="false" customHeight="false" outlineLevel="0" collapsed="false">
      <c r="A113" s="26" t="str">
        <f aca="false">Entities!$A$13</f>
        <v>SY</v>
      </c>
      <c r="B113" s="12" t="str">
        <f aca="false">INDEX(Entities!$B$5:$B$34,MATCH(A113,Entities!$A$5:$A$34,0))</f>
        <v>Arab Bank – Syria</v>
      </c>
      <c r="C113" s="12" t="str">
        <f aca="false">INDEX(Entities!$D$5:$D$34,MATCH(A113,Entities!$A$5:$A$34,0))</f>
        <v>Levant</v>
      </c>
      <c r="D113" s="12" t="s">
        <v>270</v>
      </c>
      <c r="E113" s="12" t="str">
        <f aca="false">INDEX('Risk Taxonomy'!$B$5:$B$24,MATCH(D113,'Risk Taxonomy'!$A$5:$A$24,0))</f>
        <v>Credit risk</v>
      </c>
      <c r="F113" s="7" t="str">
        <f aca="false">IF(D113="RC-04",IF(INDEX(Entities!$G$5:$G$34,MATCH(A113,Entities!$A$5:$A$34,0))="Y","Yes","N/A"),"Yes")</f>
        <v>Yes</v>
      </c>
      <c r="G113" s="24" t="n">
        <v>4</v>
      </c>
      <c r="H113" s="24" t="n">
        <v>3</v>
      </c>
      <c r="I113" s="24" t="n">
        <v>3</v>
      </c>
      <c r="J113" s="24" t="n">
        <v>4</v>
      </c>
      <c r="K113" s="24" t="n">
        <v>3</v>
      </c>
      <c r="L113" s="37" t="n">
        <f aca="false">IF(F113="N/A","",IF(COUNT(H113:K113)=0,"",IF(Config!$C$19="Highest dimension",MAX(H113:K113),ROUND(H113*Config!$C$20+I113*Config!$C$21+J113*Config!$C$22+K113*Config!$C$23,1))))</f>
        <v>4</v>
      </c>
      <c r="M113" s="38" t="n">
        <f aca="false">IF(OR(L113="",G113=""),"",G113*L113)</f>
        <v>16</v>
      </c>
      <c r="N113" s="31" t="n">
        <f aca="false">IF(M113="","",MATCH(M113,Config!$E$5:$E$9,1))</f>
        <v>4</v>
      </c>
      <c r="O113" s="7" t="str">
        <f aca="false">IF(F113="N/A","N/A",IF(N113="","Not assessed",INDEX(Config!$B$5:$B$9,N113)))</f>
        <v>Medium-High</v>
      </c>
      <c r="P113" s="32" t="n">
        <v>0</v>
      </c>
      <c r="Q113" s="8"/>
      <c r="R113" s="33"/>
      <c r="S113" s="34" t="n">
        <f aca="false">IF(N113="","",IF(AND(R113="Y",P113&lt;&gt;0),MAX(1,MIN(5,N113+MAX(-Config!$C$27,MIN(Config!$C$27,P113)))),N113))</f>
        <v>4</v>
      </c>
      <c r="T113" s="35" t="str">
        <f aca="false">IF(F113="N/A","N/A",IF(S113="","Not assessed",INDEX(Config!$B$5:$B$9,S113)))</f>
        <v>Medium-High</v>
      </c>
      <c r="U113" s="7" t="str">
        <f aca="false">IF(P113=0,"None",IF(R113="Y","Applied","Pending HO approval"))</f>
        <v>None</v>
      </c>
      <c r="V113" s="8"/>
    </row>
    <row r="114" customFormat="false" ht="15" hidden="false" customHeight="false" outlineLevel="0" collapsed="false">
      <c r="A114" s="26" t="str">
        <f aca="false">Entities!$A$13</f>
        <v>SY</v>
      </c>
      <c r="B114" s="12" t="str">
        <f aca="false">INDEX(Entities!$B$5:$B$34,MATCH(A114,Entities!$A$5:$A$34,0))</f>
        <v>Arab Bank – Syria</v>
      </c>
      <c r="C114" s="12" t="str">
        <f aca="false">INDEX(Entities!$D$5:$D$34,MATCH(A114,Entities!$A$5:$A$34,0))</f>
        <v>Levant</v>
      </c>
      <c r="D114" s="12" t="s">
        <v>275</v>
      </c>
      <c r="E114" s="12" t="str">
        <f aca="false">INDEX('Risk Taxonomy'!$B$5:$B$24,MATCH(D114,'Risk Taxonomy'!$A$5:$A$24,0))</f>
        <v>Market risk</v>
      </c>
      <c r="F114" s="7" t="str">
        <f aca="false">IF(D114="RC-04",IF(INDEX(Entities!$G$5:$G$34,MATCH(A114,Entities!$A$5:$A$34,0))="Y","Yes","N/A"),"Yes")</f>
        <v>Yes</v>
      </c>
      <c r="G114" s="24" t="n">
        <v>3</v>
      </c>
      <c r="H114" s="24" t="n">
        <v>4</v>
      </c>
      <c r="I114" s="24" t="n">
        <v>4</v>
      </c>
      <c r="J114" s="24" t="n">
        <v>3</v>
      </c>
      <c r="K114" s="24" t="n">
        <v>5</v>
      </c>
      <c r="L114" s="37" t="n">
        <f aca="false">IF(F114="N/A","",IF(COUNT(H114:K114)=0,"",IF(Config!$C$19="Highest dimension",MAX(H114:K114),ROUND(H114*Config!$C$20+I114*Config!$C$21+J114*Config!$C$22+K114*Config!$C$23,1))))</f>
        <v>5</v>
      </c>
      <c r="M114" s="38" t="n">
        <f aca="false">IF(OR(L114="",G114=""),"",G114*L114)</f>
        <v>15</v>
      </c>
      <c r="N114" s="31" t="n">
        <f aca="false">IF(M114="","",MATCH(M114,Config!$E$5:$E$9,1))</f>
        <v>4</v>
      </c>
      <c r="O114" s="7" t="str">
        <f aca="false">IF(F114="N/A","N/A",IF(N114="","Not assessed",INDEX(Config!$B$5:$B$9,N114)))</f>
        <v>Medium-High</v>
      </c>
      <c r="P114" s="32" t="n">
        <v>0</v>
      </c>
      <c r="Q114" s="8"/>
      <c r="R114" s="33"/>
      <c r="S114" s="34" t="n">
        <f aca="false">IF(N114="","",IF(AND(R114="Y",P114&lt;&gt;0),MAX(1,MIN(5,N114+MAX(-Config!$C$27,MIN(Config!$C$27,P114)))),N114))</f>
        <v>4</v>
      </c>
      <c r="T114" s="35" t="str">
        <f aca="false">IF(F114="N/A","N/A",IF(S114="","Not assessed",INDEX(Config!$B$5:$B$9,S114)))</f>
        <v>Medium-High</v>
      </c>
      <c r="U114" s="7" t="str">
        <f aca="false">IF(P114=0,"None",IF(R114="Y","Applied","Pending HO approval"))</f>
        <v>None</v>
      </c>
      <c r="V114" s="8"/>
    </row>
    <row r="115" customFormat="false" ht="15" hidden="false" customHeight="false" outlineLevel="0" collapsed="false">
      <c r="A115" s="26" t="str">
        <f aca="false">Entities!$A$13</f>
        <v>SY</v>
      </c>
      <c r="B115" s="12" t="str">
        <f aca="false">INDEX(Entities!$B$5:$B$34,MATCH(A115,Entities!$A$5:$A$34,0))</f>
        <v>Arab Bank – Syria</v>
      </c>
      <c r="C115" s="12" t="str">
        <f aca="false">INDEX(Entities!$D$5:$D$34,MATCH(A115,Entities!$A$5:$A$34,0))</f>
        <v>Levant</v>
      </c>
      <c r="D115" s="12" t="s">
        <v>277</v>
      </c>
      <c r="E115" s="12" t="str">
        <f aca="false">INDEX('Risk Taxonomy'!$B$5:$B$24,MATCH(D115,'Risk Taxonomy'!$A$5:$A$24,0))</f>
        <v>Liquidity and funding risk</v>
      </c>
      <c r="F115" s="7" t="str">
        <f aca="false">IF(D115="RC-04",IF(INDEX(Entities!$G$5:$G$34,MATCH(A115,Entities!$A$5:$A$34,0))="Y","Yes","N/A"),"Yes")</f>
        <v>Yes</v>
      </c>
      <c r="G115" s="24" t="n">
        <v>4</v>
      </c>
      <c r="H115" s="24" t="n">
        <v>4</v>
      </c>
      <c r="I115" s="24" t="n">
        <v>2</v>
      </c>
      <c r="J115" s="24" t="n">
        <v>4</v>
      </c>
      <c r="K115" s="24" t="n">
        <v>5</v>
      </c>
      <c r="L115" s="37" t="n">
        <f aca="false">IF(F115="N/A","",IF(COUNT(H115:K115)=0,"",IF(Config!$C$19="Highest dimension",MAX(H115:K115),ROUND(H115*Config!$C$20+I115*Config!$C$21+J115*Config!$C$22+K115*Config!$C$23,1))))</f>
        <v>5</v>
      </c>
      <c r="M115" s="38" t="n">
        <f aca="false">IF(OR(L115="",G115=""),"",G115*L115)</f>
        <v>20</v>
      </c>
      <c r="N115" s="31" t="n">
        <f aca="false">IF(M115="","",MATCH(M115,Config!$E$5:$E$9,1))</f>
        <v>5</v>
      </c>
      <c r="O115" s="7" t="str">
        <f aca="false">IF(F115="N/A","N/A",IF(N115="","Not assessed",INDEX(Config!$B$5:$B$9,N115)))</f>
        <v>High</v>
      </c>
      <c r="P115" s="32" t="n">
        <v>0</v>
      </c>
      <c r="Q115" s="8"/>
      <c r="R115" s="33"/>
      <c r="S115" s="34" t="n">
        <f aca="false">IF(N115="","",IF(AND(R115="Y",P115&lt;&gt;0),MAX(1,MIN(5,N115+MAX(-Config!$C$27,MIN(Config!$C$27,P115)))),N115))</f>
        <v>5</v>
      </c>
      <c r="T115" s="35" t="str">
        <f aca="false">IF(F115="N/A","N/A",IF(S115="","Not assessed",INDEX(Config!$B$5:$B$9,S115)))</f>
        <v>High</v>
      </c>
      <c r="U115" s="7" t="str">
        <f aca="false">IF(P115=0,"None",IF(R115="Y","Applied","Pending HO approval"))</f>
        <v>None</v>
      </c>
      <c r="V115" s="8"/>
    </row>
    <row r="116" customFormat="false" ht="15" hidden="false" customHeight="false" outlineLevel="0" collapsed="false">
      <c r="A116" s="26" t="str">
        <f aca="false">Entities!$A$13</f>
        <v>SY</v>
      </c>
      <c r="B116" s="12" t="str">
        <f aca="false">INDEX(Entities!$B$5:$B$34,MATCH(A116,Entities!$A$5:$A$34,0))</f>
        <v>Arab Bank – Syria</v>
      </c>
      <c r="C116" s="12" t="str">
        <f aca="false">INDEX(Entities!$D$5:$D$34,MATCH(A116,Entities!$A$5:$A$34,0))</f>
        <v>Levant</v>
      </c>
      <c r="D116" s="12" t="s">
        <v>280</v>
      </c>
      <c r="E116" s="12" t="str">
        <f aca="false">INDEX('Risk Taxonomy'!$B$5:$B$24,MATCH(D116,'Risk Taxonomy'!$A$5:$A$24,0))</f>
        <v>Operational risk</v>
      </c>
      <c r="F116" s="7" t="str">
        <f aca="false">IF(D116="RC-04",IF(INDEX(Entities!$G$5:$G$34,MATCH(A116,Entities!$A$5:$A$34,0))="Y","Yes","N/A"),"Yes")</f>
        <v>Yes</v>
      </c>
      <c r="G116" s="24" t="n">
        <v>5</v>
      </c>
      <c r="H116" s="24" t="n">
        <v>5</v>
      </c>
      <c r="I116" s="24" t="n">
        <v>4</v>
      </c>
      <c r="J116" s="24" t="n">
        <v>3</v>
      </c>
      <c r="K116" s="24" t="n">
        <v>3</v>
      </c>
      <c r="L116" s="37" t="n">
        <f aca="false">IF(F116="N/A","",IF(COUNT(H116:K116)=0,"",IF(Config!$C$19="Highest dimension",MAX(H116:K116),ROUND(H116*Config!$C$20+I116*Config!$C$21+J116*Config!$C$22+K116*Config!$C$23,1))))</f>
        <v>5</v>
      </c>
      <c r="M116" s="38" t="n">
        <f aca="false">IF(OR(L116="",G116=""),"",G116*L116)</f>
        <v>25</v>
      </c>
      <c r="N116" s="31" t="n">
        <f aca="false">IF(M116="","",MATCH(M116,Config!$E$5:$E$9,1))</f>
        <v>5</v>
      </c>
      <c r="O116" s="7" t="str">
        <f aca="false">IF(F116="N/A","N/A",IF(N116="","Not assessed",INDEX(Config!$B$5:$B$9,N116)))</f>
        <v>High</v>
      </c>
      <c r="P116" s="32" t="n">
        <v>0</v>
      </c>
      <c r="Q116" s="8"/>
      <c r="R116" s="33"/>
      <c r="S116" s="34" t="n">
        <f aca="false">IF(N116="","",IF(AND(R116="Y",P116&lt;&gt;0),MAX(1,MIN(5,N116+MAX(-Config!$C$27,MIN(Config!$C$27,P116)))),N116))</f>
        <v>5</v>
      </c>
      <c r="T116" s="35" t="str">
        <f aca="false">IF(F116="N/A","N/A",IF(S116="","Not assessed",INDEX(Config!$B$5:$B$9,S116)))</f>
        <v>High</v>
      </c>
      <c r="U116" s="7" t="str">
        <f aca="false">IF(P116=0,"None",IF(R116="Y","Applied","Pending HO approval"))</f>
        <v>None</v>
      </c>
      <c r="V116" s="8"/>
    </row>
    <row r="117" customFormat="false" ht="15" hidden="false" customHeight="false" outlineLevel="0" collapsed="false">
      <c r="A117" s="26" t="str">
        <f aca="false">Entities!$A$13</f>
        <v>SY</v>
      </c>
      <c r="B117" s="12" t="str">
        <f aca="false">INDEX(Entities!$B$5:$B$34,MATCH(A117,Entities!$A$5:$A$34,0))</f>
        <v>Arab Bank – Syria</v>
      </c>
      <c r="C117" s="12" t="str">
        <f aca="false">INDEX(Entities!$D$5:$D$34,MATCH(A117,Entities!$A$5:$A$34,0))</f>
        <v>Levant</v>
      </c>
      <c r="D117" s="12" t="s">
        <v>283</v>
      </c>
      <c r="E117" s="12" t="str">
        <f aca="false">INDEX('Risk Taxonomy'!$B$5:$B$24,MATCH(D117,'Risk Taxonomy'!$A$5:$A$24,0))</f>
        <v>Cyber, information security and technology</v>
      </c>
      <c r="F117" s="7" t="str">
        <f aca="false">IF(D117="RC-04",IF(INDEX(Entities!$G$5:$G$34,MATCH(A117,Entities!$A$5:$A$34,0))="Y","Yes","N/A"),"Yes")</f>
        <v>Yes</v>
      </c>
      <c r="G117" s="24" t="n">
        <v>5</v>
      </c>
      <c r="H117" s="24" t="n">
        <v>3</v>
      </c>
      <c r="I117" s="24" t="n">
        <v>3</v>
      </c>
      <c r="J117" s="24" t="n">
        <v>4</v>
      </c>
      <c r="K117" s="24" t="n">
        <v>4</v>
      </c>
      <c r="L117" s="37" t="n">
        <f aca="false">IF(F117="N/A","",IF(COUNT(H117:K117)=0,"",IF(Config!$C$19="Highest dimension",MAX(H117:K117),ROUND(H117*Config!$C$20+I117*Config!$C$21+J117*Config!$C$22+K117*Config!$C$23,1))))</f>
        <v>4</v>
      </c>
      <c r="M117" s="38" t="n">
        <f aca="false">IF(OR(L117="",G117=""),"",G117*L117)</f>
        <v>20</v>
      </c>
      <c r="N117" s="31" t="n">
        <f aca="false">IF(M117="","",MATCH(M117,Config!$E$5:$E$9,1))</f>
        <v>5</v>
      </c>
      <c r="O117" s="7" t="str">
        <f aca="false">IF(F117="N/A","N/A",IF(N117="","Not assessed",INDEX(Config!$B$5:$B$9,N117)))</f>
        <v>High</v>
      </c>
      <c r="P117" s="32" t="n">
        <v>0</v>
      </c>
      <c r="Q117" s="8"/>
      <c r="R117" s="33"/>
      <c r="S117" s="34" t="n">
        <f aca="false">IF(N117="","",IF(AND(R117="Y",P117&lt;&gt;0),MAX(1,MIN(5,N117+MAX(-Config!$C$27,MIN(Config!$C$27,P117)))),N117))</f>
        <v>5</v>
      </c>
      <c r="T117" s="35" t="str">
        <f aca="false">IF(F117="N/A","N/A",IF(S117="","Not assessed",INDEX(Config!$B$5:$B$9,S117)))</f>
        <v>High</v>
      </c>
      <c r="U117" s="7" t="str">
        <f aca="false">IF(P117=0,"None",IF(R117="Y","Applied","Pending HO approval"))</f>
        <v>None</v>
      </c>
      <c r="V117" s="8"/>
    </row>
    <row r="118" customFormat="false" ht="15" hidden="false" customHeight="false" outlineLevel="0" collapsed="false">
      <c r="A118" s="26" t="str">
        <f aca="false">Entities!$A$13</f>
        <v>SY</v>
      </c>
      <c r="B118" s="12" t="str">
        <f aca="false">INDEX(Entities!$B$5:$B$34,MATCH(A118,Entities!$A$5:$A$34,0))</f>
        <v>Arab Bank – Syria</v>
      </c>
      <c r="C118" s="12" t="str">
        <f aca="false">INDEX(Entities!$D$5:$D$34,MATCH(A118,Entities!$A$5:$A$34,0))</f>
        <v>Levant</v>
      </c>
      <c r="D118" s="12" t="s">
        <v>286</v>
      </c>
      <c r="E118" s="12" t="str">
        <f aca="false">INDEX('Risk Taxonomy'!$B$5:$B$24,MATCH(D118,'Risk Taxonomy'!$A$5:$A$24,0))</f>
        <v>Third-party and outsourcing</v>
      </c>
      <c r="F118" s="7" t="str">
        <f aca="false">IF(D118="RC-04",IF(INDEX(Entities!$G$5:$G$34,MATCH(A118,Entities!$A$5:$A$34,0))="Y","Yes","N/A"),"Yes")</f>
        <v>Yes</v>
      </c>
      <c r="G118" s="24" t="n">
        <v>5</v>
      </c>
      <c r="H118" s="24" t="n">
        <v>4</v>
      </c>
      <c r="I118" s="24" t="n">
        <v>3</v>
      </c>
      <c r="J118" s="24" t="n">
        <v>4</v>
      </c>
      <c r="K118" s="24" t="n">
        <v>3</v>
      </c>
      <c r="L118" s="37" t="n">
        <f aca="false">IF(F118="N/A","",IF(COUNT(H118:K118)=0,"",IF(Config!$C$19="Highest dimension",MAX(H118:K118),ROUND(H118*Config!$C$20+I118*Config!$C$21+J118*Config!$C$22+K118*Config!$C$23,1))))</f>
        <v>4</v>
      </c>
      <c r="M118" s="38" t="n">
        <f aca="false">IF(OR(L118="",G118=""),"",G118*L118)</f>
        <v>20</v>
      </c>
      <c r="N118" s="31" t="n">
        <f aca="false">IF(M118="","",MATCH(M118,Config!$E$5:$E$9,1))</f>
        <v>5</v>
      </c>
      <c r="O118" s="7" t="str">
        <f aca="false">IF(F118="N/A","N/A",IF(N118="","Not assessed",INDEX(Config!$B$5:$B$9,N118)))</f>
        <v>High</v>
      </c>
      <c r="P118" s="32" t="n">
        <v>0</v>
      </c>
      <c r="Q118" s="8"/>
      <c r="R118" s="33"/>
      <c r="S118" s="34" t="n">
        <f aca="false">IF(N118="","",IF(AND(R118="Y",P118&lt;&gt;0),MAX(1,MIN(5,N118+MAX(-Config!$C$27,MIN(Config!$C$27,P118)))),N118))</f>
        <v>5</v>
      </c>
      <c r="T118" s="35" t="str">
        <f aca="false">IF(F118="N/A","N/A",IF(S118="","Not assessed",INDEX(Config!$B$5:$B$9,S118)))</f>
        <v>High</v>
      </c>
      <c r="U118" s="7" t="str">
        <f aca="false">IF(P118=0,"None",IF(R118="Y","Applied","Pending HO approval"))</f>
        <v>None</v>
      </c>
      <c r="V118" s="8"/>
    </row>
    <row r="119" customFormat="false" ht="15" hidden="false" customHeight="false" outlineLevel="0" collapsed="false">
      <c r="A119" s="26" t="str">
        <f aca="false">Entities!$A$13</f>
        <v>SY</v>
      </c>
      <c r="B119" s="12" t="str">
        <f aca="false">INDEX(Entities!$B$5:$B$34,MATCH(A119,Entities!$A$5:$A$34,0))</f>
        <v>Arab Bank – Syria</v>
      </c>
      <c r="C119" s="12" t="str">
        <f aca="false">INDEX(Entities!$D$5:$D$34,MATCH(A119,Entities!$A$5:$A$34,0))</f>
        <v>Levant</v>
      </c>
      <c r="D119" s="12" t="s">
        <v>289</v>
      </c>
      <c r="E119" s="12" t="str">
        <f aca="false">INDEX('Risk Taxonomy'!$B$5:$B$24,MATCH(D119,'Risk Taxonomy'!$A$5:$A$24,0))</f>
        <v>Legal and litigation</v>
      </c>
      <c r="F119" s="7" t="str">
        <f aca="false">IF(D119="RC-04",IF(INDEX(Entities!$G$5:$G$34,MATCH(A119,Entities!$A$5:$A$34,0))="Y","Yes","N/A"),"Yes")</f>
        <v>Yes</v>
      </c>
      <c r="G119" s="24" t="n">
        <v>3</v>
      </c>
      <c r="H119" s="24" t="n">
        <v>3</v>
      </c>
      <c r="I119" s="24" t="n">
        <v>4</v>
      </c>
      <c r="J119" s="24" t="n">
        <v>3</v>
      </c>
      <c r="K119" s="24" t="n">
        <v>4</v>
      </c>
      <c r="L119" s="37" t="n">
        <f aca="false">IF(F119="N/A","",IF(COUNT(H119:K119)=0,"",IF(Config!$C$19="Highest dimension",MAX(H119:K119),ROUND(H119*Config!$C$20+I119*Config!$C$21+J119*Config!$C$22+K119*Config!$C$23,1))))</f>
        <v>4</v>
      </c>
      <c r="M119" s="38" t="n">
        <f aca="false">IF(OR(L119="",G119=""),"",G119*L119)</f>
        <v>12</v>
      </c>
      <c r="N119" s="31" t="n">
        <f aca="false">IF(M119="","",MATCH(M119,Config!$E$5:$E$9,1))</f>
        <v>3</v>
      </c>
      <c r="O119" s="7" t="str">
        <f aca="false">IF(F119="N/A","N/A",IF(N119="","Not assessed",INDEX(Config!$B$5:$B$9,N119)))</f>
        <v>Medium</v>
      </c>
      <c r="P119" s="32" t="n">
        <v>0</v>
      </c>
      <c r="Q119" s="8"/>
      <c r="R119" s="33"/>
      <c r="S119" s="34" t="n">
        <f aca="false">IF(N119="","",IF(AND(R119="Y",P119&lt;&gt;0),MAX(1,MIN(5,N119+MAX(-Config!$C$27,MIN(Config!$C$27,P119)))),N119))</f>
        <v>3</v>
      </c>
      <c r="T119" s="35" t="str">
        <f aca="false">IF(F119="N/A","N/A",IF(S119="","Not assessed",INDEX(Config!$B$5:$B$9,S119)))</f>
        <v>Medium</v>
      </c>
      <c r="U119" s="7" t="str">
        <f aca="false">IF(P119=0,"None",IF(R119="Y","Applied","Pending HO approval"))</f>
        <v>None</v>
      </c>
      <c r="V119" s="8"/>
    </row>
    <row r="120" customFormat="false" ht="15" hidden="false" customHeight="false" outlineLevel="0" collapsed="false">
      <c r="A120" s="26" t="str">
        <f aca="false">Entities!$A$13</f>
        <v>SY</v>
      </c>
      <c r="B120" s="12" t="str">
        <f aca="false">INDEX(Entities!$B$5:$B$34,MATCH(A120,Entities!$A$5:$A$34,0))</f>
        <v>Arab Bank – Syria</v>
      </c>
      <c r="C120" s="12" t="str">
        <f aca="false">INDEX(Entities!$D$5:$D$34,MATCH(A120,Entities!$A$5:$A$34,0))</f>
        <v>Levant</v>
      </c>
      <c r="D120" s="12" t="s">
        <v>292</v>
      </c>
      <c r="E120" s="12" t="str">
        <f aca="false">INDEX('Risk Taxonomy'!$B$5:$B$24,MATCH(D120,'Risk Taxonomy'!$A$5:$A$24,0))</f>
        <v>Reputational</v>
      </c>
      <c r="F120" s="7" t="str">
        <f aca="false">IF(D120="RC-04",IF(INDEX(Entities!$G$5:$G$34,MATCH(A120,Entities!$A$5:$A$34,0))="Y","Yes","N/A"),"Yes")</f>
        <v>Yes</v>
      </c>
      <c r="G120" s="24" t="n">
        <v>4</v>
      </c>
      <c r="H120" s="24" t="n">
        <v>4</v>
      </c>
      <c r="I120" s="24" t="n">
        <v>4</v>
      </c>
      <c r="J120" s="24" t="n">
        <v>4</v>
      </c>
      <c r="K120" s="24" t="n">
        <v>4</v>
      </c>
      <c r="L120" s="37" t="n">
        <f aca="false">IF(F120="N/A","",IF(COUNT(H120:K120)=0,"",IF(Config!$C$19="Highest dimension",MAX(H120:K120),ROUND(H120*Config!$C$20+I120*Config!$C$21+J120*Config!$C$22+K120*Config!$C$23,1))))</f>
        <v>4</v>
      </c>
      <c r="M120" s="38" t="n">
        <f aca="false">IF(OR(L120="",G120=""),"",G120*L120)</f>
        <v>16</v>
      </c>
      <c r="N120" s="31" t="n">
        <f aca="false">IF(M120="","",MATCH(M120,Config!$E$5:$E$9,1))</f>
        <v>4</v>
      </c>
      <c r="O120" s="7" t="str">
        <f aca="false">IF(F120="N/A","N/A",IF(N120="","Not assessed",INDEX(Config!$B$5:$B$9,N120)))</f>
        <v>Medium-High</v>
      </c>
      <c r="P120" s="32" t="n">
        <v>0</v>
      </c>
      <c r="Q120" s="8"/>
      <c r="R120" s="33"/>
      <c r="S120" s="34" t="n">
        <f aca="false">IF(N120="","",IF(AND(R120="Y",P120&lt;&gt;0),MAX(1,MIN(5,N120+MAX(-Config!$C$27,MIN(Config!$C$27,P120)))),N120))</f>
        <v>4</v>
      </c>
      <c r="T120" s="35" t="str">
        <f aca="false">IF(F120="N/A","N/A",IF(S120="","Not assessed",INDEX(Config!$B$5:$B$9,S120)))</f>
        <v>Medium-High</v>
      </c>
      <c r="U120" s="7" t="str">
        <f aca="false">IF(P120=0,"None",IF(R120="Y","Applied","Pending HO approval"))</f>
        <v>None</v>
      </c>
      <c r="V120" s="8"/>
    </row>
    <row r="121" customFormat="false" ht="15" hidden="false" customHeight="false" outlineLevel="0" collapsed="false">
      <c r="A121" s="26" t="str">
        <f aca="false">Entities!$A$13</f>
        <v>SY</v>
      </c>
      <c r="B121" s="12" t="str">
        <f aca="false">INDEX(Entities!$B$5:$B$34,MATCH(A121,Entities!$A$5:$A$34,0))</f>
        <v>Arab Bank – Syria</v>
      </c>
      <c r="C121" s="12" t="str">
        <f aca="false">INDEX(Entities!$D$5:$D$34,MATCH(A121,Entities!$A$5:$A$34,0))</f>
        <v>Levant</v>
      </c>
      <c r="D121" s="12" t="s">
        <v>295</v>
      </c>
      <c r="E121" s="12" t="str">
        <f aca="false">INDEX('Risk Taxonomy'!$B$5:$B$24,MATCH(D121,'Risk Taxonomy'!$A$5:$A$24,0))</f>
        <v>Strategic, business model and ESG</v>
      </c>
      <c r="F121" s="7" t="str">
        <f aca="false">IF(D121="RC-04",IF(INDEX(Entities!$G$5:$G$34,MATCH(A121,Entities!$A$5:$A$34,0))="Y","Yes","N/A"),"Yes")</f>
        <v>Yes</v>
      </c>
      <c r="G121" s="24" t="n">
        <v>4</v>
      </c>
      <c r="H121" s="24" t="n">
        <v>4</v>
      </c>
      <c r="I121" s="24" t="n">
        <v>4</v>
      </c>
      <c r="J121" s="24" t="n">
        <v>4</v>
      </c>
      <c r="K121" s="24" t="n">
        <v>4</v>
      </c>
      <c r="L121" s="37" t="n">
        <f aca="false">IF(F121="N/A","",IF(COUNT(H121:K121)=0,"",IF(Config!$C$19="Highest dimension",MAX(H121:K121),ROUND(H121*Config!$C$20+I121*Config!$C$21+J121*Config!$C$22+K121*Config!$C$23,1))))</f>
        <v>4</v>
      </c>
      <c r="M121" s="38" t="n">
        <f aca="false">IF(OR(L121="",G121=""),"",G121*L121)</f>
        <v>16</v>
      </c>
      <c r="N121" s="31" t="n">
        <f aca="false">IF(M121="","",MATCH(M121,Config!$E$5:$E$9,1))</f>
        <v>4</v>
      </c>
      <c r="O121" s="7" t="str">
        <f aca="false">IF(F121="N/A","N/A",IF(N121="","Not assessed",INDEX(Config!$B$5:$B$9,N121)))</f>
        <v>Medium-High</v>
      </c>
      <c r="P121" s="32" t="n">
        <v>0</v>
      </c>
      <c r="Q121" s="8"/>
      <c r="R121" s="33"/>
      <c r="S121" s="34" t="n">
        <f aca="false">IF(N121="","",IF(AND(R121="Y",P121&lt;&gt;0),MAX(1,MIN(5,N121+MAX(-Config!$C$27,MIN(Config!$C$27,P121)))),N121))</f>
        <v>4</v>
      </c>
      <c r="T121" s="35" t="str">
        <f aca="false">IF(F121="N/A","N/A",IF(S121="","Not assessed",INDEX(Config!$B$5:$B$9,S121)))</f>
        <v>Medium-High</v>
      </c>
      <c r="U121" s="7" t="str">
        <f aca="false">IF(P121=0,"None",IF(R121="Y","Applied","Pending HO approval"))</f>
        <v>None</v>
      </c>
      <c r="V121" s="8"/>
    </row>
    <row r="122" customFormat="false" ht="15" hidden="false" customHeight="false" outlineLevel="0" collapsed="false">
      <c r="A122" s="26" t="str">
        <f aca="false">Entities!$A$14</f>
        <v>AE</v>
      </c>
      <c r="B122" s="12" t="str">
        <f aca="false">INDEX(Entities!$B$5:$B$34,MATCH(A122,Entities!$A$5:$A$34,0))</f>
        <v>Arab Bank – UAE</v>
      </c>
      <c r="C122" s="12" t="str">
        <f aca="false">INDEX(Entities!$D$5:$D$34,MATCH(A122,Entities!$A$5:$A$34,0))</f>
        <v>GCC</v>
      </c>
      <c r="D122" s="12" t="s">
        <v>257</v>
      </c>
      <c r="E122" s="12" t="str">
        <f aca="false">INDEX('Risk Taxonomy'!$B$5:$B$24,MATCH(D122,'Risk Taxonomy'!$A$5:$A$24,0))</f>
        <v>Regulatory compliance</v>
      </c>
      <c r="F122" s="7" t="str">
        <f aca="false">IF(D122="RC-04",IF(INDEX(Entities!$G$5:$G$34,MATCH(A122,Entities!$A$5:$A$34,0))="Y","Yes","N/A"),"Yes")</f>
        <v>Yes</v>
      </c>
      <c r="G122" s="24" t="n">
        <v>4</v>
      </c>
      <c r="H122" s="24" t="n">
        <v>2</v>
      </c>
      <c r="I122" s="24" t="n">
        <v>2</v>
      </c>
      <c r="J122" s="24" t="n">
        <v>3</v>
      </c>
      <c r="K122" s="24" t="n">
        <v>3</v>
      </c>
      <c r="L122" s="37" t="n">
        <f aca="false">IF(F122="N/A","",IF(COUNT(H122:K122)=0,"",IF(Config!$C$19="Highest dimension",MAX(H122:K122),ROUND(H122*Config!$C$20+I122*Config!$C$21+J122*Config!$C$22+K122*Config!$C$23,1))))</f>
        <v>3</v>
      </c>
      <c r="M122" s="38" t="n">
        <f aca="false">IF(OR(L122="",G122=""),"",G122*L122)</f>
        <v>12</v>
      </c>
      <c r="N122" s="31" t="n">
        <f aca="false">IF(M122="","",MATCH(M122,Config!$E$5:$E$9,1))</f>
        <v>3</v>
      </c>
      <c r="O122" s="7" t="str">
        <f aca="false">IF(F122="N/A","N/A",IF(N122="","Not assessed",INDEX(Config!$B$5:$B$9,N122)))</f>
        <v>Medium</v>
      </c>
      <c r="P122" s="32" t="n">
        <v>0</v>
      </c>
      <c r="Q122" s="8"/>
      <c r="R122" s="33"/>
      <c r="S122" s="34" t="n">
        <f aca="false">IF(N122="","",IF(AND(R122="Y",P122&lt;&gt;0),MAX(1,MIN(5,N122+MAX(-Config!$C$27,MIN(Config!$C$27,P122)))),N122))</f>
        <v>3</v>
      </c>
      <c r="T122" s="35" t="str">
        <f aca="false">IF(F122="N/A","N/A",IF(S122="","Not assessed",INDEX(Config!$B$5:$B$9,S122)))</f>
        <v>Medium</v>
      </c>
      <c r="U122" s="7" t="str">
        <f aca="false">IF(P122=0,"None",IF(R122="Y","Applied","Pending HO approval"))</f>
        <v>None</v>
      </c>
      <c r="V122" s="8"/>
    </row>
    <row r="123" customFormat="false" ht="15" hidden="false" customHeight="false" outlineLevel="0" collapsed="false">
      <c r="A123" s="26" t="str">
        <f aca="false">Entities!$A$14</f>
        <v>AE</v>
      </c>
      <c r="B123" s="12" t="str">
        <f aca="false">INDEX(Entities!$B$5:$B$34,MATCH(A123,Entities!$A$5:$A$34,0))</f>
        <v>Arab Bank – UAE</v>
      </c>
      <c r="C123" s="12" t="str">
        <f aca="false">INDEX(Entities!$D$5:$D$34,MATCH(A123,Entities!$A$5:$A$34,0))</f>
        <v>GCC</v>
      </c>
      <c r="D123" s="12" t="s">
        <v>261</v>
      </c>
      <c r="E123" s="12" t="str">
        <f aca="false">INDEX('Risk Taxonomy'!$B$5:$B$24,MATCH(D123,'Risk Taxonomy'!$A$5:$A$24,0))</f>
        <v>Conduct and consumer protection</v>
      </c>
      <c r="F123" s="7" t="str">
        <f aca="false">IF(D123="RC-04",IF(INDEX(Entities!$G$5:$G$34,MATCH(A123,Entities!$A$5:$A$34,0))="Y","Yes","N/A"),"Yes")</f>
        <v>Yes</v>
      </c>
      <c r="G123" s="24" t="n">
        <v>3</v>
      </c>
      <c r="H123" s="24" t="n">
        <v>4</v>
      </c>
      <c r="I123" s="24" t="n">
        <v>2</v>
      </c>
      <c r="J123" s="24" t="n">
        <v>3</v>
      </c>
      <c r="K123" s="24" t="n">
        <v>3</v>
      </c>
      <c r="L123" s="37" t="n">
        <f aca="false">IF(F123="N/A","",IF(COUNT(H123:K123)=0,"",IF(Config!$C$19="Highest dimension",MAX(H123:K123),ROUND(H123*Config!$C$20+I123*Config!$C$21+J123*Config!$C$22+K123*Config!$C$23,1))))</f>
        <v>4</v>
      </c>
      <c r="M123" s="38" t="n">
        <f aca="false">IF(OR(L123="",G123=""),"",G123*L123)</f>
        <v>12</v>
      </c>
      <c r="N123" s="31" t="n">
        <f aca="false">IF(M123="","",MATCH(M123,Config!$E$5:$E$9,1))</f>
        <v>3</v>
      </c>
      <c r="O123" s="7" t="str">
        <f aca="false">IF(F123="N/A","N/A",IF(N123="","Not assessed",INDEX(Config!$B$5:$B$9,N123)))</f>
        <v>Medium</v>
      </c>
      <c r="P123" s="32" t="n">
        <v>0</v>
      </c>
      <c r="Q123" s="8"/>
      <c r="R123" s="33"/>
      <c r="S123" s="34" t="n">
        <f aca="false">IF(N123="","",IF(AND(R123="Y",P123&lt;&gt;0),MAX(1,MIN(5,N123+MAX(-Config!$C$27,MIN(Config!$C$27,P123)))),N123))</f>
        <v>3</v>
      </c>
      <c r="T123" s="35" t="str">
        <f aca="false">IF(F123="N/A","N/A",IF(S123="","Not assessed",INDEX(Config!$B$5:$B$9,S123)))</f>
        <v>Medium</v>
      </c>
      <c r="U123" s="7" t="str">
        <f aca="false">IF(P123=0,"None",IF(R123="Y","Applied","Pending HO approval"))</f>
        <v>None</v>
      </c>
      <c r="V123" s="8"/>
    </row>
    <row r="124" customFormat="false" ht="15" hidden="false" customHeight="false" outlineLevel="0" collapsed="false">
      <c r="A124" s="26" t="str">
        <f aca="false">Entities!$A$14</f>
        <v>AE</v>
      </c>
      <c r="B124" s="12" t="str">
        <f aca="false">INDEX(Entities!$B$5:$B$34,MATCH(A124,Entities!$A$5:$A$34,0))</f>
        <v>Arab Bank – UAE</v>
      </c>
      <c r="C124" s="12" t="str">
        <f aca="false">INDEX(Entities!$D$5:$D$34,MATCH(A124,Entities!$A$5:$A$34,0))</f>
        <v>GCC</v>
      </c>
      <c r="D124" s="12" t="s">
        <v>263</v>
      </c>
      <c r="E124" s="12" t="str">
        <f aca="false">INDEX('Risk Taxonomy'!$B$5:$B$24,MATCH(D124,'Risk Taxonomy'!$A$5:$A$24,0))</f>
        <v>Data protection and privacy</v>
      </c>
      <c r="F124" s="7" t="str">
        <f aca="false">IF(D124="RC-04",IF(INDEX(Entities!$G$5:$G$34,MATCH(A124,Entities!$A$5:$A$34,0))="Y","Yes","N/A"),"Yes")</f>
        <v>Yes</v>
      </c>
      <c r="G124" s="24" t="n">
        <v>4</v>
      </c>
      <c r="H124" s="24" t="n">
        <v>4</v>
      </c>
      <c r="I124" s="24" t="n">
        <v>5</v>
      </c>
      <c r="J124" s="24" t="n">
        <v>3</v>
      </c>
      <c r="K124" s="24" t="n">
        <v>3</v>
      </c>
      <c r="L124" s="37" t="n">
        <f aca="false">IF(F124="N/A","",IF(COUNT(H124:K124)=0,"",IF(Config!$C$19="Highest dimension",MAX(H124:K124),ROUND(H124*Config!$C$20+I124*Config!$C$21+J124*Config!$C$22+K124*Config!$C$23,1))))</f>
        <v>5</v>
      </c>
      <c r="M124" s="38" t="n">
        <f aca="false">IF(OR(L124="",G124=""),"",G124*L124)</f>
        <v>20</v>
      </c>
      <c r="N124" s="31" t="n">
        <f aca="false">IF(M124="","",MATCH(M124,Config!$E$5:$E$9,1))</f>
        <v>5</v>
      </c>
      <c r="O124" s="7" t="str">
        <f aca="false">IF(F124="N/A","N/A",IF(N124="","Not assessed",INDEX(Config!$B$5:$B$9,N124)))</f>
        <v>High</v>
      </c>
      <c r="P124" s="32" t="n">
        <v>0</v>
      </c>
      <c r="Q124" s="8"/>
      <c r="R124" s="33"/>
      <c r="S124" s="34" t="n">
        <f aca="false">IF(N124="","",IF(AND(R124="Y",P124&lt;&gt;0),MAX(1,MIN(5,N124+MAX(-Config!$C$27,MIN(Config!$C$27,P124)))),N124))</f>
        <v>5</v>
      </c>
      <c r="T124" s="35" t="str">
        <f aca="false">IF(F124="N/A","N/A",IF(S124="","Not assessed",INDEX(Config!$B$5:$B$9,S124)))</f>
        <v>High</v>
      </c>
      <c r="U124" s="7" t="str">
        <f aca="false">IF(P124=0,"None",IF(R124="Y","Applied","Pending HO approval"))</f>
        <v>None</v>
      </c>
      <c r="V124" s="8"/>
    </row>
    <row r="125" customFormat="false" ht="15" hidden="false" customHeight="false" outlineLevel="0" collapsed="false">
      <c r="A125" s="26" t="str">
        <f aca="false">Entities!$A$14</f>
        <v>AE</v>
      </c>
      <c r="B125" s="12" t="str">
        <f aca="false">INDEX(Entities!$B$5:$B$34,MATCH(A125,Entities!$A$5:$A$34,0))</f>
        <v>Arab Bank – UAE</v>
      </c>
      <c r="C125" s="12" t="str">
        <f aca="false">INDEX(Entities!$D$5:$D$34,MATCH(A125,Entities!$A$5:$A$34,0))</f>
        <v>GCC</v>
      </c>
      <c r="D125" s="12" t="s">
        <v>266</v>
      </c>
      <c r="E125" s="12" t="str">
        <f aca="false">INDEX('Risk Taxonomy'!$B$5:$B$24,MATCH(D125,'Risk Taxonomy'!$A$5:$A$24,0))</f>
        <v>Shariah non-compliance</v>
      </c>
      <c r="F125" s="7" t="str">
        <f aca="false">IF(D125="RC-04",IF(INDEX(Entities!$G$5:$G$34,MATCH(A125,Entities!$A$5:$A$34,0))="Y","Yes","N/A"),"Yes")</f>
        <v>N/A</v>
      </c>
      <c r="G125" s="24"/>
      <c r="H125" s="24"/>
      <c r="I125" s="24"/>
      <c r="J125" s="24"/>
      <c r="K125" s="24"/>
      <c r="L125" s="37" t="str">
        <f aca="false">IF(F125="N/A","",IF(COUNT(H125:K125)=0,"",IF(Config!$C$19="Highest dimension",MAX(H125:K125),ROUND(H125*Config!$C$20+I125*Config!$C$21+J125*Config!$C$22+K125*Config!$C$23,1))))</f>
        <v/>
      </c>
      <c r="M125" s="38" t="str">
        <f aca="false">IF(OR(L125="",G125=""),"",G125*L125)</f>
        <v/>
      </c>
      <c r="N125" s="31" t="str">
        <f aca="false">IF(M125="","",MATCH(M125,Config!$E$5:$E$9,1))</f>
        <v/>
      </c>
      <c r="O125" s="7" t="str">
        <f aca="false">IF(F125="N/A","N/A",IF(N125="","Not assessed",INDEX(Config!$B$5:$B$9,N125)))</f>
        <v>N/A</v>
      </c>
      <c r="P125" s="32" t="n">
        <v>0</v>
      </c>
      <c r="Q125" s="8"/>
      <c r="R125" s="33"/>
      <c r="S125" s="34" t="str">
        <f aca="false">IF(N125="","",IF(AND(R125="Y",P125&lt;&gt;0),MAX(1,MIN(5,N125+MAX(-Config!$C$27,MIN(Config!$C$27,P125)))),N125))</f>
        <v/>
      </c>
      <c r="T125" s="35" t="str">
        <f aca="false">IF(F125="N/A","N/A",IF(S125="","Not assessed",INDEX(Config!$B$5:$B$9,S125)))</f>
        <v>N/A</v>
      </c>
      <c r="U125" s="7" t="str">
        <f aca="false">IF(P125=0,"None",IF(R125="Y","Applied","Pending HO approval"))</f>
        <v>None</v>
      </c>
      <c r="V125" s="8"/>
    </row>
    <row r="126" customFormat="false" ht="15" hidden="false" customHeight="false" outlineLevel="0" collapsed="false">
      <c r="A126" s="26" t="str">
        <f aca="false">Entities!$A$14</f>
        <v>AE</v>
      </c>
      <c r="B126" s="12" t="str">
        <f aca="false">INDEX(Entities!$B$5:$B$34,MATCH(A126,Entities!$A$5:$A$34,0))</f>
        <v>Arab Bank – UAE</v>
      </c>
      <c r="C126" s="12" t="str">
        <f aca="false">INDEX(Entities!$D$5:$D$34,MATCH(A126,Entities!$A$5:$A$34,0))</f>
        <v>GCC</v>
      </c>
      <c r="D126" s="12" t="s">
        <v>270</v>
      </c>
      <c r="E126" s="12" t="str">
        <f aca="false">INDEX('Risk Taxonomy'!$B$5:$B$24,MATCH(D126,'Risk Taxonomy'!$A$5:$A$24,0))</f>
        <v>Credit risk</v>
      </c>
      <c r="F126" s="7" t="str">
        <f aca="false">IF(D126="RC-04",IF(INDEX(Entities!$G$5:$G$34,MATCH(A126,Entities!$A$5:$A$34,0))="Y","Yes","N/A"),"Yes")</f>
        <v>Yes</v>
      </c>
      <c r="G126" s="24" t="n">
        <v>4</v>
      </c>
      <c r="H126" s="24" t="n">
        <v>2</v>
      </c>
      <c r="I126" s="24" t="n">
        <v>2</v>
      </c>
      <c r="J126" s="24" t="n">
        <v>2</v>
      </c>
      <c r="K126" s="24" t="n">
        <v>1</v>
      </c>
      <c r="L126" s="37" t="n">
        <f aca="false">IF(F126="N/A","",IF(COUNT(H126:K126)=0,"",IF(Config!$C$19="Highest dimension",MAX(H126:K126),ROUND(H126*Config!$C$20+I126*Config!$C$21+J126*Config!$C$22+K126*Config!$C$23,1))))</f>
        <v>2</v>
      </c>
      <c r="M126" s="38" t="n">
        <f aca="false">IF(OR(L126="",G126=""),"",G126*L126)</f>
        <v>8</v>
      </c>
      <c r="N126" s="31" t="n">
        <f aca="false">IF(M126="","",MATCH(M126,Config!$E$5:$E$9,1))</f>
        <v>2</v>
      </c>
      <c r="O126" s="7" t="str">
        <f aca="false">IF(F126="N/A","N/A",IF(N126="","Not assessed",INDEX(Config!$B$5:$B$9,N126)))</f>
        <v>Medium-Low</v>
      </c>
      <c r="P126" s="32" t="n">
        <v>0</v>
      </c>
      <c r="Q126" s="8"/>
      <c r="R126" s="33"/>
      <c r="S126" s="34" t="n">
        <f aca="false">IF(N126="","",IF(AND(R126="Y",P126&lt;&gt;0),MAX(1,MIN(5,N126+MAX(-Config!$C$27,MIN(Config!$C$27,P126)))),N126))</f>
        <v>2</v>
      </c>
      <c r="T126" s="35" t="str">
        <f aca="false">IF(F126="N/A","N/A",IF(S126="","Not assessed",INDEX(Config!$B$5:$B$9,S126)))</f>
        <v>Medium-Low</v>
      </c>
      <c r="U126" s="7" t="str">
        <f aca="false">IF(P126=0,"None",IF(R126="Y","Applied","Pending HO approval"))</f>
        <v>None</v>
      </c>
      <c r="V126" s="8"/>
    </row>
    <row r="127" customFormat="false" ht="15" hidden="false" customHeight="false" outlineLevel="0" collapsed="false">
      <c r="A127" s="26" t="str">
        <f aca="false">Entities!$A$14</f>
        <v>AE</v>
      </c>
      <c r="B127" s="12" t="str">
        <f aca="false">INDEX(Entities!$B$5:$B$34,MATCH(A127,Entities!$A$5:$A$34,0))</f>
        <v>Arab Bank – UAE</v>
      </c>
      <c r="C127" s="12" t="str">
        <f aca="false">INDEX(Entities!$D$5:$D$34,MATCH(A127,Entities!$A$5:$A$34,0))</f>
        <v>GCC</v>
      </c>
      <c r="D127" s="12" t="s">
        <v>275</v>
      </c>
      <c r="E127" s="12" t="str">
        <f aca="false">INDEX('Risk Taxonomy'!$B$5:$B$24,MATCH(D127,'Risk Taxonomy'!$A$5:$A$24,0))</f>
        <v>Market risk</v>
      </c>
      <c r="F127" s="7" t="str">
        <f aca="false">IF(D127="RC-04",IF(INDEX(Entities!$G$5:$G$34,MATCH(A127,Entities!$A$5:$A$34,0))="Y","Yes","N/A"),"Yes")</f>
        <v>Yes</v>
      </c>
      <c r="G127" s="24" t="n">
        <v>3</v>
      </c>
      <c r="H127" s="24" t="n">
        <v>2</v>
      </c>
      <c r="I127" s="24" t="n">
        <v>2</v>
      </c>
      <c r="J127" s="24" t="n">
        <v>3</v>
      </c>
      <c r="K127" s="24" t="n">
        <v>3</v>
      </c>
      <c r="L127" s="37" t="n">
        <f aca="false">IF(F127="N/A","",IF(COUNT(H127:K127)=0,"",IF(Config!$C$19="Highest dimension",MAX(H127:K127),ROUND(H127*Config!$C$20+I127*Config!$C$21+J127*Config!$C$22+K127*Config!$C$23,1))))</f>
        <v>3</v>
      </c>
      <c r="M127" s="38" t="n">
        <f aca="false">IF(OR(L127="",G127=""),"",G127*L127)</f>
        <v>9</v>
      </c>
      <c r="N127" s="31" t="n">
        <f aca="false">IF(M127="","",MATCH(M127,Config!$E$5:$E$9,1))</f>
        <v>3</v>
      </c>
      <c r="O127" s="7" t="str">
        <f aca="false">IF(F127="N/A","N/A",IF(N127="","Not assessed",INDEX(Config!$B$5:$B$9,N127)))</f>
        <v>Medium</v>
      </c>
      <c r="P127" s="32" t="n">
        <v>0</v>
      </c>
      <c r="Q127" s="8"/>
      <c r="R127" s="33"/>
      <c r="S127" s="34" t="n">
        <f aca="false">IF(N127="","",IF(AND(R127="Y",P127&lt;&gt;0),MAX(1,MIN(5,N127+MAX(-Config!$C$27,MIN(Config!$C$27,P127)))),N127))</f>
        <v>3</v>
      </c>
      <c r="T127" s="35" t="str">
        <f aca="false">IF(F127="N/A","N/A",IF(S127="","Not assessed",INDEX(Config!$B$5:$B$9,S127)))</f>
        <v>Medium</v>
      </c>
      <c r="U127" s="7" t="str">
        <f aca="false">IF(P127=0,"None",IF(R127="Y","Applied","Pending HO approval"))</f>
        <v>None</v>
      </c>
      <c r="V127" s="8"/>
    </row>
    <row r="128" customFormat="false" ht="15" hidden="false" customHeight="false" outlineLevel="0" collapsed="false">
      <c r="A128" s="26" t="str">
        <f aca="false">Entities!$A$14</f>
        <v>AE</v>
      </c>
      <c r="B128" s="12" t="str">
        <f aca="false">INDEX(Entities!$B$5:$B$34,MATCH(A128,Entities!$A$5:$A$34,0))</f>
        <v>Arab Bank – UAE</v>
      </c>
      <c r="C128" s="12" t="str">
        <f aca="false">INDEX(Entities!$D$5:$D$34,MATCH(A128,Entities!$A$5:$A$34,0))</f>
        <v>GCC</v>
      </c>
      <c r="D128" s="12" t="s">
        <v>277</v>
      </c>
      <c r="E128" s="12" t="str">
        <f aca="false">INDEX('Risk Taxonomy'!$B$5:$B$24,MATCH(D128,'Risk Taxonomy'!$A$5:$A$24,0))</f>
        <v>Liquidity and funding risk</v>
      </c>
      <c r="F128" s="7" t="str">
        <f aca="false">IF(D128="RC-04",IF(INDEX(Entities!$G$5:$G$34,MATCH(A128,Entities!$A$5:$A$34,0))="Y","Yes","N/A"),"Yes")</f>
        <v>Yes</v>
      </c>
      <c r="G128" s="24" t="n">
        <v>2</v>
      </c>
      <c r="H128" s="24" t="n">
        <v>2</v>
      </c>
      <c r="I128" s="24" t="n">
        <v>4</v>
      </c>
      <c r="J128" s="24" t="n">
        <v>4</v>
      </c>
      <c r="K128" s="24" t="n">
        <v>3</v>
      </c>
      <c r="L128" s="37" t="n">
        <f aca="false">IF(F128="N/A","",IF(COUNT(H128:K128)=0,"",IF(Config!$C$19="Highest dimension",MAX(H128:K128),ROUND(H128*Config!$C$20+I128*Config!$C$21+J128*Config!$C$22+K128*Config!$C$23,1))))</f>
        <v>4</v>
      </c>
      <c r="M128" s="38" t="n">
        <f aca="false">IF(OR(L128="",G128=""),"",G128*L128)</f>
        <v>8</v>
      </c>
      <c r="N128" s="31" t="n">
        <f aca="false">IF(M128="","",MATCH(M128,Config!$E$5:$E$9,1))</f>
        <v>2</v>
      </c>
      <c r="O128" s="7" t="str">
        <f aca="false">IF(F128="N/A","N/A",IF(N128="","Not assessed",INDEX(Config!$B$5:$B$9,N128)))</f>
        <v>Medium-Low</v>
      </c>
      <c r="P128" s="32" t="n">
        <v>0</v>
      </c>
      <c r="Q128" s="8"/>
      <c r="R128" s="33"/>
      <c r="S128" s="34" t="n">
        <f aca="false">IF(N128="","",IF(AND(R128="Y",P128&lt;&gt;0),MAX(1,MIN(5,N128+MAX(-Config!$C$27,MIN(Config!$C$27,P128)))),N128))</f>
        <v>2</v>
      </c>
      <c r="T128" s="35" t="str">
        <f aca="false">IF(F128="N/A","N/A",IF(S128="","Not assessed",INDEX(Config!$B$5:$B$9,S128)))</f>
        <v>Medium-Low</v>
      </c>
      <c r="U128" s="7" t="str">
        <f aca="false">IF(P128=0,"None",IF(R128="Y","Applied","Pending HO approval"))</f>
        <v>None</v>
      </c>
      <c r="V128" s="8"/>
    </row>
    <row r="129" customFormat="false" ht="15" hidden="false" customHeight="false" outlineLevel="0" collapsed="false">
      <c r="A129" s="26" t="str">
        <f aca="false">Entities!$A$14</f>
        <v>AE</v>
      </c>
      <c r="B129" s="12" t="str">
        <f aca="false">INDEX(Entities!$B$5:$B$34,MATCH(A129,Entities!$A$5:$A$34,0))</f>
        <v>Arab Bank – UAE</v>
      </c>
      <c r="C129" s="12" t="str">
        <f aca="false">INDEX(Entities!$D$5:$D$34,MATCH(A129,Entities!$A$5:$A$34,0))</f>
        <v>GCC</v>
      </c>
      <c r="D129" s="12" t="s">
        <v>280</v>
      </c>
      <c r="E129" s="12" t="str">
        <f aca="false">INDEX('Risk Taxonomy'!$B$5:$B$24,MATCH(D129,'Risk Taxonomy'!$A$5:$A$24,0))</f>
        <v>Operational risk</v>
      </c>
      <c r="F129" s="7" t="str">
        <f aca="false">IF(D129="RC-04",IF(INDEX(Entities!$G$5:$G$34,MATCH(A129,Entities!$A$5:$A$34,0))="Y","Yes","N/A"),"Yes")</f>
        <v>Yes</v>
      </c>
      <c r="G129" s="24" t="n">
        <v>2</v>
      </c>
      <c r="H129" s="24" t="n">
        <v>2</v>
      </c>
      <c r="I129" s="24" t="n">
        <v>3</v>
      </c>
      <c r="J129" s="24" t="n">
        <v>3</v>
      </c>
      <c r="K129" s="24" t="n">
        <v>3</v>
      </c>
      <c r="L129" s="37" t="n">
        <f aca="false">IF(F129="N/A","",IF(COUNT(H129:K129)=0,"",IF(Config!$C$19="Highest dimension",MAX(H129:K129),ROUND(H129*Config!$C$20+I129*Config!$C$21+J129*Config!$C$22+K129*Config!$C$23,1))))</f>
        <v>3</v>
      </c>
      <c r="M129" s="38" t="n">
        <f aca="false">IF(OR(L129="",G129=""),"",G129*L129)</f>
        <v>6</v>
      </c>
      <c r="N129" s="31" t="n">
        <f aca="false">IF(M129="","",MATCH(M129,Config!$E$5:$E$9,1))</f>
        <v>2</v>
      </c>
      <c r="O129" s="7" t="str">
        <f aca="false">IF(F129="N/A","N/A",IF(N129="","Not assessed",INDEX(Config!$B$5:$B$9,N129)))</f>
        <v>Medium-Low</v>
      </c>
      <c r="P129" s="32" t="n">
        <v>0</v>
      </c>
      <c r="Q129" s="8"/>
      <c r="R129" s="33"/>
      <c r="S129" s="34" t="n">
        <f aca="false">IF(N129="","",IF(AND(R129="Y",P129&lt;&gt;0),MAX(1,MIN(5,N129+MAX(-Config!$C$27,MIN(Config!$C$27,P129)))),N129))</f>
        <v>2</v>
      </c>
      <c r="T129" s="35" t="str">
        <f aca="false">IF(F129="N/A","N/A",IF(S129="","Not assessed",INDEX(Config!$B$5:$B$9,S129)))</f>
        <v>Medium-Low</v>
      </c>
      <c r="U129" s="7" t="str">
        <f aca="false">IF(P129=0,"None",IF(R129="Y","Applied","Pending HO approval"))</f>
        <v>None</v>
      </c>
      <c r="V129" s="8"/>
    </row>
    <row r="130" customFormat="false" ht="15" hidden="false" customHeight="false" outlineLevel="0" collapsed="false">
      <c r="A130" s="26" t="str">
        <f aca="false">Entities!$A$14</f>
        <v>AE</v>
      </c>
      <c r="B130" s="12" t="str">
        <f aca="false">INDEX(Entities!$B$5:$B$34,MATCH(A130,Entities!$A$5:$A$34,0))</f>
        <v>Arab Bank – UAE</v>
      </c>
      <c r="C130" s="12" t="str">
        <f aca="false">INDEX(Entities!$D$5:$D$34,MATCH(A130,Entities!$A$5:$A$34,0))</f>
        <v>GCC</v>
      </c>
      <c r="D130" s="12" t="s">
        <v>283</v>
      </c>
      <c r="E130" s="12" t="str">
        <f aca="false">INDEX('Risk Taxonomy'!$B$5:$B$24,MATCH(D130,'Risk Taxonomy'!$A$5:$A$24,0))</f>
        <v>Cyber, information security and technology</v>
      </c>
      <c r="F130" s="7" t="str">
        <f aca="false">IF(D130="RC-04",IF(INDEX(Entities!$G$5:$G$34,MATCH(A130,Entities!$A$5:$A$34,0))="Y","Yes","N/A"),"Yes")</f>
        <v>Yes</v>
      </c>
      <c r="G130" s="24" t="n">
        <v>3</v>
      </c>
      <c r="H130" s="24" t="n">
        <v>3</v>
      </c>
      <c r="I130" s="24" t="n">
        <v>4</v>
      </c>
      <c r="J130" s="24" t="n">
        <v>2</v>
      </c>
      <c r="K130" s="24" t="n">
        <v>2</v>
      </c>
      <c r="L130" s="37" t="n">
        <f aca="false">IF(F130="N/A","",IF(COUNT(H130:K130)=0,"",IF(Config!$C$19="Highest dimension",MAX(H130:K130),ROUND(H130*Config!$C$20+I130*Config!$C$21+J130*Config!$C$22+K130*Config!$C$23,1))))</f>
        <v>4</v>
      </c>
      <c r="M130" s="38" t="n">
        <f aca="false">IF(OR(L130="",G130=""),"",G130*L130)</f>
        <v>12</v>
      </c>
      <c r="N130" s="31" t="n">
        <f aca="false">IF(M130="","",MATCH(M130,Config!$E$5:$E$9,1))</f>
        <v>3</v>
      </c>
      <c r="O130" s="7" t="str">
        <f aca="false">IF(F130="N/A","N/A",IF(N130="","Not assessed",INDEX(Config!$B$5:$B$9,N130)))</f>
        <v>Medium</v>
      </c>
      <c r="P130" s="32" t="n">
        <v>0</v>
      </c>
      <c r="Q130" s="8"/>
      <c r="R130" s="33"/>
      <c r="S130" s="34" t="n">
        <f aca="false">IF(N130="","",IF(AND(R130="Y",P130&lt;&gt;0),MAX(1,MIN(5,N130+MAX(-Config!$C$27,MIN(Config!$C$27,P130)))),N130))</f>
        <v>3</v>
      </c>
      <c r="T130" s="35" t="str">
        <f aca="false">IF(F130="N/A","N/A",IF(S130="","Not assessed",INDEX(Config!$B$5:$B$9,S130)))</f>
        <v>Medium</v>
      </c>
      <c r="U130" s="7" t="str">
        <f aca="false">IF(P130=0,"None",IF(R130="Y","Applied","Pending HO approval"))</f>
        <v>None</v>
      </c>
      <c r="V130" s="8"/>
    </row>
    <row r="131" customFormat="false" ht="15" hidden="false" customHeight="false" outlineLevel="0" collapsed="false">
      <c r="A131" s="26" t="str">
        <f aca="false">Entities!$A$14</f>
        <v>AE</v>
      </c>
      <c r="B131" s="12" t="str">
        <f aca="false">INDEX(Entities!$B$5:$B$34,MATCH(A131,Entities!$A$5:$A$34,0))</f>
        <v>Arab Bank – UAE</v>
      </c>
      <c r="C131" s="12" t="str">
        <f aca="false">INDEX(Entities!$D$5:$D$34,MATCH(A131,Entities!$A$5:$A$34,0))</f>
        <v>GCC</v>
      </c>
      <c r="D131" s="12" t="s">
        <v>286</v>
      </c>
      <c r="E131" s="12" t="str">
        <f aca="false">INDEX('Risk Taxonomy'!$B$5:$B$24,MATCH(D131,'Risk Taxonomy'!$A$5:$A$24,0))</f>
        <v>Third-party and outsourcing</v>
      </c>
      <c r="F131" s="7" t="str">
        <f aca="false">IF(D131="RC-04",IF(INDEX(Entities!$G$5:$G$34,MATCH(A131,Entities!$A$5:$A$34,0))="Y","Yes","N/A"),"Yes")</f>
        <v>Yes</v>
      </c>
      <c r="G131" s="24" t="n">
        <v>3</v>
      </c>
      <c r="H131" s="24" t="n">
        <v>3</v>
      </c>
      <c r="I131" s="24" t="n">
        <v>3</v>
      </c>
      <c r="J131" s="24" t="n">
        <v>5</v>
      </c>
      <c r="K131" s="24" t="n">
        <v>3</v>
      </c>
      <c r="L131" s="37" t="n">
        <f aca="false">IF(F131="N/A","",IF(COUNT(H131:K131)=0,"",IF(Config!$C$19="Highest dimension",MAX(H131:K131),ROUND(H131*Config!$C$20+I131*Config!$C$21+J131*Config!$C$22+K131*Config!$C$23,1))))</f>
        <v>5</v>
      </c>
      <c r="M131" s="38" t="n">
        <f aca="false">IF(OR(L131="",G131=""),"",G131*L131)</f>
        <v>15</v>
      </c>
      <c r="N131" s="31" t="n">
        <f aca="false">IF(M131="","",MATCH(M131,Config!$E$5:$E$9,1))</f>
        <v>4</v>
      </c>
      <c r="O131" s="7" t="str">
        <f aca="false">IF(F131="N/A","N/A",IF(N131="","Not assessed",INDEX(Config!$B$5:$B$9,N131)))</f>
        <v>Medium-High</v>
      </c>
      <c r="P131" s="32" t="n">
        <v>0</v>
      </c>
      <c r="Q131" s="8"/>
      <c r="R131" s="33"/>
      <c r="S131" s="34" t="n">
        <f aca="false">IF(N131="","",IF(AND(R131="Y",P131&lt;&gt;0),MAX(1,MIN(5,N131+MAX(-Config!$C$27,MIN(Config!$C$27,P131)))),N131))</f>
        <v>4</v>
      </c>
      <c r="T131" s="35" t="str">
        <f aca="false">IF(F131="N/A","N/A",IF(S131="","Not assessed",INDEX(Config!$B$5:$B$9,S131)))</f>
        <v>Medium-High</v>
      </c>
      <c r="U131" s="7" t="str">
        <f aca="false">IF(P131=0,"None",IF(R131="Y","Applied","Pending HO approval"))</f>
        <v>None</v>
      </c>
      <c r="V131" s="8"/>
    </row>
    <row r="132" customFormat="false" ht="15" hidden="false" customHeight="false" outlineLevel="0" collapsed="false">
      <c r="A132" s="26" t="str">
        <f aca="false">Entities!$A$14</f>
        <v>AE</v>
      </c>
      <c r="B132" s="12" t="str">
        <f aca="false">INDEX(Entities!$B$5:$B$34,MATCH(A132,Entities!$A$5:$A$34,0))</f>
        <v>Arab Bank – UAE</v>
      </c>
      <c r="C132" s="12" t="str">
        <f aca="false">INDEX(Entities!$D$5:$D$34,MATCH(A132,Entities!$A$5:$A$34,0))</f>
        <v>GCC</v>
      </c>
      <c r="D132" s="12" t="s">
        <v>289</v>
      </c>
      <c r="E132" s="12" t="str">
        <f aca="false">INDEX('Risk Taxonomy'!$B$5:$B$24,MATCH(D132,'Risk Taxonomy'!$A$5:$A$24,0))</f>
        <v>Legal and litigation</v>
      </c>
      <c r="F132" s="7" t="str">
        <f aca="false">IF(D132="RC-04",IF(INDEX(Entities!$G$5:$G$34,MATCH(A132,Entities!$A$5:$A$34,0))="Y","Yes","N/A"),"Yes")</f>
        <v>Yes</v>
      </c>
      <c r="G132" s="24" t="n">
        <v>2</v>
      </c>
      <c r="H132" s="24" t="n">
        <v>3</v>
      </c>
      <c r="I132" s="24" t="n">
        <v>1</v>
      </c>
      <c r="J132" s="24" t="n">
        <v>2</v>
      </c>
      <c r="K132" s="24" t="n">
        <v>3</v>
      </c>
      <c r="L132" s="37" t="n">
        <f aca="false">IF(F132="N/A","",IF(COUNT(H132:K132)=0,"",IF(Config!$C$19="Highest dimension",MAX(H132:K132),ROUND(H132*Config!$C$20+I132*Config!$C$21+J132*Config!$C$22+K132*Config!$C$23,1))))</f>
        <v>3</v>
      </c>
      <c r="M132" s="38" t="n">
        <f aca="false">IF(OR(L132="",G132=""),"",G132*L132)</f>
        <v>6</v>
      </c>
      <c r="N132" s="31" t="n">
        <f aca="false">IF(M132="","",MATCH(M132,Config!$E$5:$E$9,1))</f>
        <v>2</v>
      </c>
      <c r="O132" s="7" t="str">
        <f aca="false">IF(F132="N/A","N/A",IF(N132="","Not assessed",INDEX(Config!$B$5:$B$9,N132)))</f>
        <v>Medium-Low</v>
      </c>
      <c r="P132" s="32" t="n">
        <v>0</v>
      </c>
      <c r="Q132" s="8"/>
      <c r="R132" s="33"/>
      <c r="S132" s="34" t="n">
        <f aca="false">IF(N132="","",IF(AND(R132="Y",P132&lt;&gt;0),MAX(1,MIN(5,N132+MAX(-Config!$C$27,MIN(Config!$C$27,P132)))),N132))</f>
        <v>2</v>
      </c>
      <c r="T132" s="35" t="str">
        <f aca="false">IF(F132="N/A","N/A",IF(S132="","Not assessed",INDEX(Config!$B$5:$B$9,S132)))</f>
        <v>Medium-Low</v>
      </c>
      <c r="U132" s="7" t="str">
        <f aca="false">IF(P132=0,"None",IF(R132="Y","Applied","Pending HO approval"))</f>
        <v>None</v>
      </c>
      <c r="V132" s="8"/>
    </row>
    <row r="133" customFormat="false" ht="15" hidden="false" customHeight="false" outlineLevel="0" collapsed="false">
      <c r="A133" s="26" t="str">
        <f aca="false">Entities!$A$14</f>
        <v>AE</v>
      </c>
      <c r="B133" s="12" t="str">
        <f aca="false">INDEX(Entities!$B$5:$B$34,MATCH(A133,Entities!$A$5:$A$34,0))</f>
        <v>Arab Bank – UAE</v>
      </c>
      <c r="C133" s="12" t="str">
        <f aca="false">INDEX(Entities!$D$5:$D$34,MATCH(A133,Entities!$A$5:$A$34,0))</f>
        <v>GCC</v>
      </c>
      <c r="D133" s="12" t="s">
        <v>292</v>
      </c>
      <c r="E133" s="12" t="str">
        <f aca="false">INDEX('Risk Taxonomy'!$B$5:$B$24,MATCH(D133,'Risk Taxonomy'!$A$5:$A$24,0))</f>
        <v>Reputational</v>
      </c>
      <c r="F133" s="7" t="str">
        <f aca="false">IF(D133="RC-04",IF(INDEX(Entities!$G$5:$G$34,MATCH(A133,Entities!$A$5:$A$34,0))="Y","Yes","N/A"),"Yes")</f>
        <v>Yes</v>
      </c>
      <c r="G133" s="24" t="n">
        <v>3</v>
      </c>
      <c r="H133" s="24" t="n">
        <v>3</v>
      </c>
      <c r="I133" s="24" t="n">
        <v>4</v>
      </c>
      <c r="J133" s="24" t="n">
        <v>2</v>
      </c>
      <c r="K133" s="24" t="n">
        <v>3</v>
      </c>
      <c r="L133" s="37" t="n">
        <f aca="false">IF(F133="N/A","",IF(COUNT(H133:K133)=0,"",IF(Config!$C$19="Highest dimension",MAX(H133:K133),ROUND(H133*Config!$C$20+I133*Config!$C$21+J133*Config!$C$22+K133*Config!$C$23,1))))</f>
        <v>4</v>
      </c>
      <c r="M133" s="38" t="n">
        <f aca="false">IF(OR(L133="",G133=""),"",G133*L133)</f>
        <v>12</v>
      </c>
      <c r="N133" s="31" t="n">
        <f aca="false">IF(M133="","",MATCH(M133,Config!$E$5:$E$9,1))</f>
        <v>3</v>
      </c>
      <c r="O133" s="7" t="str">
        <f aca="false">IF(F133="N/A","N/A",IF(N133="","Not assessed",INDEX(Config!$B$5:$B$9,N133)))</f>
        <v>Medium</v>
      </c>
      <c r="P133" s="32" t="n">
        <v>0</v>
      </c>
      <c r="Q133" s="8"/>
      <c r="R133" s="33"/>
      <c r="S133" s="34" t="n">
        <f aca="false">IF(N133="","",IF(AND(R133="Y",P133&lt;&gt;0),MAX(1,MIN(5,N133+MAX(-Config!$C$27,MIN(Config!$C$27,P133)))),N133))</f>
        <v>3</v>
      </c>
      <c r="T133" s="35" t="str">
        <f aca="false">IF(F133="N/A","N/A",IF(S133="","Not assessed",INDEX(Config!$B$5:$B$9,S133)))</f>
        <v>Medium</v>
      </c>
      <c r="U133" s="7" t="str">
        <f aca="false">IF(P133=0,"None",IF(R133="Y","Applied","Pending HO approval"))</f>
        <v>None</v>
      </c>
      <c r="V133" s="8"/>
    </row>
    <row r="134" customFormat="false" ht="15" hidden="false" customHeight="false" outlineLevel="0" collapsed="false">
      <c r="A134" s="26" t="str">
        <f aca="false">Entities!$A$14</f>
        <v>AE</v>
      </c>
      <c r="B134" s="12" t="str">
        <f aca="false">INDEX(Entities!$B$5:$B$34,MATCH(A134,Entities!$A$5:$A$34,0))</f>
        <v>Arab Bank – UAE</v>
      </c>
      <c r="C134" s="12" t="str">
        <f aca="false">INDEX(Entities!$D$5:$D$34,MATCH(A134,Entities!$A$5:$A$34,0))</f>
        <v>GCC</v>
      </c>
      <c r="D134" s="12" t="s">
        <v>295</v>
      </c>
      <c r="E134" s="12" t="str">
        <f aca="false">INDEX('Risk Taxonomy'!$B$5:$B$24,MATCH(D134,'Risk Taxonomy'!$A$5:$A$24,0))</f>
        <v>Strategic, business model and ESG</v>
      </c>
      <c r="F134" s="7" t="str">
        <f aca="false">IF(D134="RC-04",IF(INDEX(Entities!$G$5:$G$34,MATCH(A134,Entities!$A$5:$A$34,0))="Y","Yes","N/A"),"Yes")</f>
        <v>Yes</v>
      </c>
      <c r="G134" s="24" t="n">
        <v>2</v>
      </c>
      <c r="H134" s="24" t="n">
        <v>3</v>
      </c>
      <c r="I134" s="24" t="n">
        <v>2</v>
      </c>
      <c r="J134" s="24" t="n">
        <v>1</v>
      </c>
      <c r="K134" s="24" t="n">
        <v>2</v>
      </c>
      <c r="L134" s="37" t="n">
        <f aca="false">IF(F134="N/A","",IF(COUNT(H134:K134)=0,"",IF(Config!$C$19="Highest dimension",MAX(H134:K134),ROUND(H134*Config!$C$20+I134*Config!$C$21+J134*Config!$C$22+K134*Config!$C$23,1))))</f>
        <v>3</v>
      </c>
      <c r="M134" s="38" t="n">
        <f aca="false">IF(OR(L134="",G134=""),"",G134*L134)</f>
        <v>6</v>
      </c>
      <c r="N134" s="31" t="n">
        <f aca="false">IF(M134="","",MATCH(M134,Config!$E$5:$E$9,1))</f>
        <v>2</v>
      </c>
      <c r="O134" s="7" t="str">
        <f aca="false">IF(F134="N/A","N/A",IF(N134="","Not assessed",INDEX(Config!$B$5:$B$9,N134)))</f>
        <v>Medium-Low</v>
      </c>
      <c r="P134" s="32" t="n">
        <v>0</v>
      </c>
      <c r="Q134" s="8"/>
      <c r="R134" s="33"/>
      <c r="S134" s="34" t="n">
        <f aca="false">IF(N134="","",IF(AND(R134="Y",P134&lt;&gt;0),MAX(1,MIN(5,N134+MAX(-Config!$C$27,MIN(Config!$C$27,P134)))),N134))</f>
        <v>2</v>
      </c>
      <c r="T134" s="35" t="str">
        <f aca="false">IF(F134="N/A","N/A",IF(S134="","Not assessed",INDEX(Config!$B$5:$B$9,S134)))</f>
        <v>Medium-Low</v>
      </c>
      <c r="U134" s="7" t="str">
        <f aca="false">IF(P134=0,"None",IF(R134="Y","Applied","Pending HO approval"))</f>
        <v>None</v>
      </c>
      <c r="V134" s="8"/>
    </row>
    <row r="135" customFormat="false" ht="15" hidden="false" customHeight="false" outlineLevel="0" collapsed="false">
      <c r="A135" s="26" t="str">
        <f aca="false">Entities!$A$15</f>
        <v>BH</v>
      </c>
      <c r="B135" s="12" t="str">
        <f aca="false">INDEX(Entities!$B$5:$B$34,MATCH(A135,Entities!$A$5:$A$34,0))</f>
        <v>Arab Bank – Bahrain</v>
      </c>
      <c r="C135" s="12" t="str">
        <f aca="false">INDEX(Entities!$D$5:$D$34,MATCH(A135,Entities!$A$5:$A$34,0))</f>
        <v>GCC</v>
      </c>
      <c r="D135" s="12" t="s">
        <v>257</v>
      </c>
      <c r="E135" s="12" t="str">
        <f aca="false">INDEX('Risk Taxonomy'!$B$5:$B$24,MATCH(D135,'Risk Taxonomy'!$A$5:$A$24,0))</f>
        <v>Regulatory compliance</v>
      </c>
      <c r="F135" s="7" t="str">
        <f aca="false">IF(D135="RC-04",IF(INDEX(Entities!$G$5:$G$34,MATCH(A135,Entities!$A$5:$A$34,0))="Y","Yes","N/A"),"Yes")</f>
        <v>Yes</v>
      </c>
      <c r="G135" s="24" t="n">
        <v>3</v>
      </c>
      <c r="H135" s="24" t="n">
        <v>3</v>
      </c>
      <c r="I135" s="24" t="n">
        <v>3</v>
      </c>
      <c r="J135" s="24" t="n">
        <v>4</v>
      </c>
      <c r="K135" s="24" t="n">
        <v>2</v>
      </c>
      <c r="L135" s="37" t="n">
        <f aca="false">IF(F135="N/A","",IF(COUNT(H135:K135)=0,"",IF(Config!$C$19="Highest dimension",MAX(H135:K135),ROUND(H135*Config!$C$20+I135*Config!$C$21+J135*Config!$C$22+K135*Config!$C$23,1))))</f>
        <v>4</v>
      </c>
      <c r="M135" s="38" t="n">
        <f aca="false">IF(OR(L135="",G135=""),"",G135*L135)</f>
        <v>12</v>
      </c>
      <c r="N135" s="31" t="n">
        <f aca="false">IF(M135="","",MATCH(M135,Config!$E$5:$E$9,1))</f>
        <v>3</v>
      </c>
      <c r="O135" s="7" t="str">
        <f aca="false">IF(F135="N/A","N/A",IF(N135="","Not assessed",INDEX(Config!$B$5:$B$9,N135)))</f>
        <v>Medium</v>
      </c>
      <c r="P135" s="32" t="n">
        <v>0</v>
      </c>
      <c r="Q135" s="8"/>
      <c r="R135" s="33"/>
      <c r="S135" s="34" t="n">
        <f aca="false">IF(N135="","",IF(AND(R135="Y",P135&lt;&gt;0),MAX(1,MIN(5,N135+MAX(-Config!$C$27,MIN(Config!$C$27,P135)))),N135))</f>
        <v>3</v>
      </c>
      <c r="T135" s="35" t="str">
        <f aca="false">IF(F135="N/A","N/A",IF(S135="","Not assessed",INDEX(Config!$B$5:$B$9,S135)))</f>
        <v>Medium</v>
      </c>
      <c r="U135" s="7" t="str">
        <f aca="false">IF(P135=0,"None",IF(R135="Y","Applied","Pending HO approval"))</f>
        <v>None</v>
      </c>
      <c r="V135" s="8"/>
    </row>
    <row r="136" customFormat="false" ht="15" hidden="false" customHeight="false" outlineLevel="0" collapsed="false">
      <c r="A136" s="26" t="str">
        <f aca="false">Entities!$A$15</f>
        <v>BH</v>
      </c>
      <c r="B136" s="12" t="str">
        <f aca="false">INDEX(Entities!$B$5:$B$34,MATCH(A136,Entities!$A$5:$A$34,0))</f>
        <v>Arab Bank – Bahrain</v>
      </c>
      <c r="C136" s="12" t="str">
        <f aca="false">INDEX(Entities!$D$5:$D$34,MATCH(A136,Entities!$A$5:$A$34,0))</f>
        <v>GCC</v>
      </c>
      <c r="D136" s="12" t="s">
        <v>261</v>
      </c>
      <c r="E136" s="12" t="str">
        <f aca="false">INDEX('Risk Taxonomy'!$B$5:$B$24,MATCH(D136,'Risk Taxonomy'!$A$5:$A$24,0))</f>
        <v>Conduct and consumer protection</v>
      </c>
      <c r="F136" s="7" t="str">
        <f aca="false">IF(D136="RC-04",IF(INDEX(Entities!$G$5:$G$34,MATCH(A136,Entities!$A$5:$A$34,0))="Y","Yes","N/A"),"Yes")</f>
        <v>Yes</v>
      </c>
      <c r="G136" s="24" t="n">
        <v>3</v>
      </c>
      <c r="H136" s="24" t="n">
        <v>3</v>
      </c>
      <c r="I136" s="24" t="n">
        <v>3</v>
      </c>
      <c r="J136" s="24" t="n">
        <v>2</v>
      </c>
      <c r="K136" s="24" t="n">
        <v>3</v>
      </c>
      <c r="L136" s="37" t="n">
        <f aca="false">IF(F136="N/A","",IF(COUNT(H136:K136)=0,"",IF(Config!$C$19="Highest dimension",MAX(H136:K136),ROUND(H136*Config!$C$20+I136*Config!$C$21+J136*Config!$C$22+K136*Config!$C$23,1))))</f>
        <v>3</v>
      </c>
      <c r="M136" s="38" t="n">
        <f aca="false">IF(OR(L136="",G136=""),"",G136*L136)</f>
        <v>9</v>
      </c>
      <c r="N136" s="31" t="n">
        <f aca="false">IF(M136="","",MATCH(M136,Config!$E$5:$E$9,1))</f>
        <v>3</v>
      </c>
      <c r="O136" s="7" t="str">
        <f aca="false">IF(F136="N/A","N/A",IF(N136="","Not assessed",INDEX(Config!$B$5:$B$9,N136)))</f>
        <v>Medium</v>
      </c>
      <c r="P136" s="32" t="n">
        <v>0</v>
      </c>
      <c r="Q136" s="8"/>
      <c r="R136" s="33"/>
      <c r="S136" s="34" t="n">
        <f aca="false">IF(N136="","",IF(AND(R136="Y",P136&lt;&gt;0),MAX(1,MIN(5,N136+MAX(-Config!$C$27,MIN(Config!$C$27,P136)))),N136))</f>
        <v>3</v>
      </c>
      <c r="T136" s="35" t="str">
        <f aca="false">IF(F136="N/A","N/A",IF(S136="","Not assessed",INDEX(Config!$B$5:$B$9,S136)))</f>
        <v>Medium</v>
      </c>
      <c r="U136" s="7" t="str">
        <f aca="false">IF(P136=0,"None",IF(R136="Y","Applied","Pending HO approval"))</f>
        <v>None</v>
      </c>
      <c r="V136" s="8"/>
    </row>
    <row r="137" customFormat="false" ht="15" hidden="false" customHeight="false" outlineLevel="0" collapsed="false">
      <c r="A137" s="26" t="str">
        <f aca="false">Entities!$A$15</f>
        <v>BH</v>
      </c>
      <c r="B137" s="12" t="str">
        <f aca="false">INDEX(Entities!$B$5:$B$34,MATCH(A137,Entities!$A$5:$A$34,0))</f>
        <v>Arab Bank – Bahrain</v>
      </c>
      <c r="C137" s="12" t="str">
        <f aca="false">INDEX(Entities!$D$5:$D$34,MATCH(A137,Entities!$A$5:$A$34,0))</f>
        <v>GCC</v>
      </c>
      <c r="D137" s="12" t="s">
        <v>263</v>
      </c>
      <c r="E137" s="12" t="str">
        <f aca="false">INDEX('Risk Taxonomy'!$B$5:$B$24,MATCH(D137,'Risk Taxonomy'!$A$5:$A$24,0))</f>
        <v>Data protection and privacy</v>
      </c>
      <c r="F137" s="7" t="str">
        <f aca="false">IF(D137="RC-04",IF(INDEX(Entities!$G$5:$G$34,MATCH(A137,Entities!$A$5:$A$34,0))="Y","Yes","N/A"),"Yes")</f>
        <v>Yes</v>
      </c>
      <c r="G137" s="24" t="n">
        <v>3</v>
      </c>
      <c r="H137" s="24" t="n">
        <v>2</v>
      </c>
      <c r="I137" s="24" t="n">
        <v>4</v>
      </c>
      <c r="J137" s="24" t="n">
        <v>3</v>
      </c>
      <c r="K137" s="24" t="n">
        <v>2</v>
      </c>
      <c r="L137" s="37" t="n">
        <f aca="false">IF(F137="N/A","",IF(COUNT(H137:K137)=0,"",IF(Config!$C$19="Highest dimension",MAX(H137:K137),ROUND(H137*Config!$C$20+I137*Config!$C$21+J137*Config!$C$22+K137*Config!$C$23,1))))</f>
        <v>4</v>
      </c>
      <c r="M137" s="38" t="n">
        <f aca="false">IF(OR(L137="",G137=""),"",G137*L137)</f>
        <v>12</v>
      </c>
      <c r="N137" s="31" t="n">
        <f aca="false">IF(M137="","",MATCH(M137,Config!$E$5:$E$9,1))</f>
        <v>3</v>
      </c>
      <c r="O137" s="7" t="str">
        <f aca="false">IF(F137="N/A","N/A",IF(N137="","Not assessed",INDEX(Config!$B$5:$B$9,N137)))</f>
        <v>Medium</v>
      </c>
      <c r="P137" s="32" t="n">
        <v>0</v>
      </c>
      <c r="Q137" s="8"/>
      <c r="R137" s="33"/>
      <c r="S137" s="34" t="n">
        <f aca="false">IF(N137="","",IF(AND(R137="Y",P137&lt;&gt;0),MAX(1,MIN(5,N137+MAX(-Config!$C$27,MIN(Config!$C$27,P137)))),N137))</f>
        <v>3</v>
      </c>
      <c r="T137" s="35" t="str">
        <f aca="false">IF(F137="N/A","N/A",IF(S137="","Not assessed",INDEX(Config!$B$5:$B$9,S137)))</f>
        <v>Medium</v>
      </c>
      <c r="U137" s="7" t="str">
        <f aca="false">IF(P137=0,"None",IF(R137="Y","Applied","Pending HO approval"))</f>
        <v>None</v>
      </c>
      <c r="V137" s="8"/>
    </row>
    <row r="138" customFormat="false" ht="15" hidden="false" customHeight="false" outlineLevel="0" collapsed="false">
      <c r="A138" s="26" t="str">
        <f aca="false">Entities!$A$15</f>
        <v>BH</v>
      </c>
      <c r="B138" s="12" t="str">
        <f aca="false">INDEX(Entities!$B$5:$B$34,MATCH(A138,Entities!$A$5:$A$34,0))</f>
        <v>Arab Bank – Bahrain</v>
      </c>
      <c r="C138" s="12" t="str">
        <f aca="false">INDEX(Entities!$D$5:$D$34,MATCH(A138,Entities!$A$5:$A$34,0))</f>
        <v>GCC</v>
      </c>
      <c r="D138" s="12" t="s">
        <v>266</v>
      </c>
      <c r="E138" s="12" t="str">
        <f aca="false">INDEX('Risk Taxonomy'!$B$5:$B$24,MATCH(D138,'Risk Taxonomy'!$A$5:$A$24,0))</f>
        <v>Shariah non-compliance</v>
      </c>
      <c r="F138" s="7" t="str">
        <f aca="false">IF(D138="RC-04",IF(INDEX(Entities!$G$5:$G$34,MATCH(A138,Entities!$A$5:$A$34,0))="Y","Yes","N/A"),"Yes")</f>
        <v>N/A</v>
      </c>
      <c r="G138" s="24"/>
      <c r="H138" s="24"/>
      <c r="I138" s="24"/>
      <c r="J138" s="24"/>
      <c r="K138" s="24"/>
      <c r="L138" s="37" t="str">
        <f aca="false">IF(F138="N/A","",IF(COUNT(H138:K138)=0,"",IF(Config!$C$19="Highest dimension",MAX(H138:K138),ROUND(H138*Config!$C$20+I138*Config!$C$21+J138*Config!$C$22+K138*Config!$C$23,1))))</f>
        <v/>
      </c>
      <c r="M138" s="38" t="str">
        <f aca="false">IF(OR(L138="",G138=""),"",G138*L138)</f>
        <v/>
      </c>
      <c r="N138" s="31" t="str">
        <f aca="false">IF(M138="","",MATCH(M138,Config!$E$5:$E$9,1))</f>
        <v/>
      </c>
      <c r="O138" s="7" t="str">
        <f aca="false">IF(F138="N/A","N/A",IF(N138="","Not assessed",INDEX(Config!$B$5:$B$9,N138)))</f>
        <v>N/A</v>
      </c>
      <c r="P138" s="32" t="n">
        <v>0</v>
      </c>
      <c r="Q138" s="8"/>
      <c r="R138" s="33"/>
      <c r="S138" s="34" t="str">
        <f aca="false">IF(N138="","",IF(AND(R138="Y",P138&lt;&gt;0),MAX(1,MIN(5,N138+MAX(-Config!$C$27,MIN(Config!$C$27,P138)))),N138))</f>
        <v/>
      </c>
      <c r="T138" s="35" t="str">
        <f aca="false">IF(F138="N/A","N/A",IF(S138="","Not assessed",INDEX(Config!$B$5:$B$9,S138)))</f>
        <v>N/A</v>
      </c>
      <c r="U138" s="7" t="str">
        <f aca="false">IF(P138=0,"None",IF(R138="Y","Applied","Pending HO approval"))</f>
        <v>None</v>
      </c>
      <c r="V138" s="8"/>
    </row>
    <row r="139" customFormat="false" ht="15" hidden="false" customHeight="false" outlineLevel="0" collapsed="false">
      <c r="A139" s="26" t="str">
        <f aca="false">Entities!$A$15</f>
        <v>BH</v>
      </c>
      <c r="B139" s="12" t="str">
        <f aca="false">INDEX(Entities!$B$5:$B$34,MATCH(A139,Entities!$A$5:$A$34,0))</f>
        <v>Arab Bank – Bahrain</v>
      </c>
      <c r="C139" s="12" t="str">
        <f aca="false">INDEX(Entities!$D$5:$D$34,MATCH(A139,Entities!$A$5:$A$34,0))</f>
        <v>GCC</v>
      </c>
      <c r="D139" s="12" t="s">
        <v>270</v>
      </c>
      <c r="E139" s="12" t="str">
        <f aca="false">INDEX('Risk Taxonomy'!$B$5:$B$24,MATCH(D139,'Risk Taxonomy'!$A$5:$A$24,0))</f>
        <v>Credit risk</v>
      </c>
      <c r="F139" s="7" t="str">
        <f aca="false">IF(D139="RC-04",IF(INDEX(Entities!$G$5:$G$34,MATCH(A139,Entities!$A$5:$A$34,0))="Y","Yes","N/A"),"Yes")</f>
        <v>Yes</v>
      </c>
      <c r="G139" s="24" t="n">
        <v>3</v>
      </c>
      <c r="H139" s="24" t="n">
        <v>2</v>
      </c>
      <c r="I139" s="24" t="n">
        <v>2</v>
      </c>
      <c r="J139" s="24" t="n">
        <v>3</v>
      </c>
      <c r="K139" s="24" t="n">
        <v>2</v>
      </c>
      <c r="L139" s="37" t="n">
        <f aca="false">IF(F139="N/A","",IF(COUNT(H139:K139)=0,"",IF(Config!$C$19="Highest dimension",MAX(H139:K139),ROUND(H139*Config!$C$20+I139*Config!$C$21+J139*Config!$C$22+K139*Config!$C$23,1))))</f>
        <v>3</v>
      </c>
      <c r="M139" s="38" t="n">
        <f aca="false">IF(OR(L139="",G139=""),"",G139*L139)</f>
        <v>9</v>
      </c>
      <c r="N139" s="31" t="n">
        <f aca="false">IF(M139="","",MATCH(M139,Config!$E$5:$E$9,1))</f>
        <v>3</v>
      </c>
      <c r="O139" s="7" t="str">
        <f aca="false">IF(F139="N/A","N/A",IF(N139="","Not assessed",INDEX(Config!$B$5:$B$9,N139)))</f>
        <v>Medium</v>
      </c>
      <c r="P139" s="32" t="n">
        <v>0</v>
      </c>
      <c r="Q139" s="8"/>
      <c r="R139" s="33"/>
      <c r="S139" s="34" t="n">
        <f aca="false">IF(N139="","",IF(AND(R139="Y",P139&lt;&gt;0),MAX(1,MIN(5,N139+MAX(-Config!$C$27,MIN(Config!$C$27,P139)))),N139))</f>
        <v>3</v>
      </c>
      <c r="T139" s="35" t="str">
        <f aca="false">IF(F139="N/A","N/A",IF(S139="","Not assessed",INDEX(Config!$B$5:$B$9,S139)))</f>
        <v>Medium</v>
      </c>
      <c r="U139" s="7" t="str">
        <f aca="false">IF(P139=0,"None",IF(R139="Y","Applied","Pending HO approval"))</f>
        <v>None</v>
      </c>
      <c r="V139" s="8"/>
    </row>
    <row r="140" customFormat="false" ht="15" hidden="false" customHeight="false" outlineLevel="0" collapsed="false">
      <c r="A140" s="26" t="str">
        <f aca="false">Entities!$A$15</f>
        <v>BH</v>
      </c>
      <c r="B140" s="12" t="str">
        <f aca="false">INDEX(Entities!$B$5:$B$34,MATCH(A140,Entities!$A$5:$A$34,0))</f>
        <v>Arab Bank – Bahrain</v>
      </c>
      <c r="C140" s="12" t="str">
        <f aca="false">INDEX(Entities!$D$5:$D$34,MATCH(A140,Entities!$A$5:$A$34,0))</f>
        <v>GCC</v>
      </c>
      <c r="D140" s="12" t="s">
        <v>275</v>
      </c>
      <c r="E140" s="12" t="str">
        <f aca="false">INDEX('Risk Taxonomy'!$B$5:$B$24,MATCH(D140,'Risk Taxonomy'!$A$5:$A$24,0))</f>
        <v>Market risk</v>
      </c>
      <c r="F140" s="7" t="str">
        <f aca="false">IF(D140="RC-04",IF(INDEX(Entities!$G$5:$G$34,MATCH(A140,Entities!$A$5:$A$34,0))="Y","Yes","N/A"),"Yes")</f>
        <v>Yes</v>
      </c>
      <c r="G140" s="24" t="n">
        <v>3</v>
      </c>
      <c r="H140" s="24" t="n">
        <v>2</v>
      </c>
      <c r="I140" s="24" t="n">
        <v>2</v>
      </c>
      <c r="J140" s="24" t="n">
        <v>3</v>
      </c>
      <c r="K140" s="24" t="n">
        <v>1</v>
      </c>
      <c r="L140" s="37" t="n">
        <f aca="false">IF(F140="N/A","",IF(COUNT(H140:K140)=0,"",IF(Config!$C$19="Highest dimension",MAX(H140:K140),ROUND(H140*Config!$C$20+I140*Config!$C$21+J140*Config!$C$22+K140*Config!$C$23,1))))</f>
        <v>3</v>
      </c>
      <c r="M140" s="38" t="n">
        <f aca="false">IF(OR(L140="",G140=""),"",G140*L140)</f>
        <v>9</v>
      </c>
      <c r="N140" s="31" t="n">
        <f aca="false">IF(M140="","",MATCH(M140,Config!$E$5:$E$9,1))</f>
        <v>3</v>
      </c>
      <c r="O140" s="7" t="str">
        <f aca="false">IF(F140="N/A","N/A",IF(N140="","Not assessed",INDEX(Config!$B$5:$B$9,N140)))</f>
        <v>Medium</v>
      </c>
      <c r="P140" s="32" t="n">
        <v>0</v>
      </c>
      <c r="Q140" s="8"/>
      <c r="R140" s="33"/>
      <c r="S140" s="34" t="n">
        <f aca="false">IF(N140="","",IF(AND(R140="Y",P140&lt;&gt;0),MAX(1,MIN(5,N140+MAX(-Config!$C$27,MIN(Config!$C$27,P140)))),N140))</f>
        <v>3</v>
      </c>
      <c r="T140" s="35" t="str">
        <f aca="false">IF(F140="N/A","N/A",IF(S140="","Not assessed",INDEX(Config!$B$5:$B$9,S140)))</f>
        <v>Medium</v>
      </c>
      <c r="U140" s="7" t="str">
        <f aca="false">IF(P140=0,"None",IF(R140="Y","Applied","Pending HO approval"))</f>
        <v>None</v>
      </c>
      <c r="V140" s="8"/>
    </row>
    <row r="141" customFormat="false" ht="15" hidden="false" customHeight="false" outlineLevel="0" collapsed="false">
      <c r="A141" s="26" t="str">
        <f aca="false">Entities!$A$15</f>
        <v>BH</v>
      </c>
      <c r="B141" s="12" t="str">
        <f aca="false">INDEX(Entities!$B$5:$B$34,MATCH(A141,Entities!$A$5:$A$34,0))</f>
        <v>Arab Bank – Bahrain</v>
      </c>
      <c r="C141" s="12" t="str">
        <f aca="false">INDEX(Entities!$D$5:$D$34,MATCH(A141,Entities!$A$5:$A$34,0))</f>
        <v>GCC</v>
      </c>
      <c r="D141" s="12" t="s">
        <v>277</v>
      </c>
      <c r="E141" s="12" t="str">
        <f aca="false">INDEX('Risk Taxonomy'!$B$5:$B$24,MATCH(D141,'Risk Taxonomy'!$A$5:$A$24,0))</f>
        <v>Liquidity and funding risk</v>
      </c>
      <c r="F141" s="7" t="str">
        <f aca="false">IF(D141="RC-04",IF(INDEX(Entities!$G$5:$G$34,MATCH(A141,Entities!$A$5:$A$34,0))="Y","Yes","N/A"),"Yes")</f>
        <v>Yes</v>
      </c>
      <c r="G141" s="24" t="n">
        <v>2</v>
      </c>
      <c r="H141" s="24" t="n">
        <v>3</v>
      </c>
      <c r="I141" s="24" t="n">
        <v>3</v>
      </c>
      <c r="J141" s="24" t="n">
        <v>2</v>
      </c>
      <c r="K141" s="24" t="n">
        <v>4</v>
      </c>
      <c r="L141" s="37" t="n">
        <f aca="false">IF(F141="N/A","",IF(COUNT(H141:K141)=0,"",IF(Config!$C$19="Highest dimension",MAX(H141:K141),ROUND(H141*Config!$C$20+I141*Config!$C$21+J141*Config!$C$22+K141*Config!$C$23,1))))</f>
        <v>4</v>
      </c>
      <c r="M141" s="38" t="n">
        <f aca="false">IF(OR(L141="",G141=""),"",G141*L141)</f>
        <v>8</v>
      </c>
      <c r="N141" s="31" t="n">
        <f aca="false">IF(M141="","",MATCH(M141,Config!$E$5:$E$9,1))</f>
        <v>2</v>
      </c>
      <c r="O141" s="7" t="str">
        <f aca="false">IF(F141="N/A","N/A",IF(N141="","Not assessed",INDEX(Config!$B$5:$B$9,N141)))</f>
        <v>Medium-Low</v>
      </c>
      <c r="P141" s="32" t="n">
        <v>0</v>
      </c>
      <c r="Q141" s="8"/>
      <c r="R141" s="33"/>
      <c r="S141" s="34" t="n">
        <f aca="false">IF(N141="","",IF(AND(R141="Y",P141&lt;&gt;0),MAX(1,MIN(5,N141+MAX(-Config!$C$27,MIN(Config!$C$27,P141)))),N141))</f>
        <v>2</v>
      </c>
      <c r="T141" s="35" t="str">
        <f aca="false">IF(F141="N/A","N/A",IF(S141="","Not assessed",INDEX(Config!$B$5:$B$9,S141)))</f>
        <v>Medium-Low</v>
      </c>
      <c r="U141" s="7" t="str">
        <f aca="false">IF(P141=0,"None",IF(R141="Y","Applied","Pending HO approval"))</f>
        <v>None</v>
      </c>
      <c r="V141" s="8"/>
    </row>
    <row r="142" customFormat="false" ht="15" hidden="false" customHeight="false" outlineLevel="0" collapsed="false">
      <c r="A142" s="26" t="str">
        <f aca="false">Entities!$A$15</f>
        <v>BH</v>
      </c>
      <c r="B142" s="12" t="str">
        <f aca="false">INDEX(Entities!$B$5:$B$34,MATCH(A142,Entities!$A$5:$A$34,0))</f>
        <v>Arab Bank – Bahrain</v>
      </c>
      <c r="C142" s="12" t="str">
        <f aca="false">INDEX(Entities!$D$5:$D$34,MATCH(A142,Entities!$A$5:$A$34,0))</f>
        <v>GCC</v>
      </c>
      <c r="D142" s="12" t="s">
        <v>280</v>
      </c>
      <c r="E142" s="12" t="str">
        <f aca="false">INDEX('Risk Taxonomy'!$B$5:$B$24,MATCH(D142,'Risk Taxonomy'!$A$5:$A$24,0))</f>
        <v>Operational risk</v>
      </c>
      <c r="F142" s="7" t="str">
        <f aca="false">IF(D142="RC-04",IF(INDEX(Entities!$G$5:$G$34,MATCH(A142,Entities!$A$5:$A$34,0))="Y","Yes","N/A"),"Yes")</f>
        <v>Yes</v>
      </c>
      <c r="G142" s="24" t="n">
        <v>3</v>
      </c>
      <c r="H142" s="24" t="n">
        <v>3</v>
      </c>
      <c r="I142" s="24" t="n">
        <v>3</v>
      </c>
      <c r="J142" s="24" t="n">
        <v>3</v>
      </c>
      <c r="K142" s="24" t="n">
        <v>3</v>
      </c>
      <c r="L142" s="37" t="n">
        <f aca="false">IF(F142="N/A","",IF(COUNT(H142:K142)=0,"",IF(Config!$C$19="Highest dimension",MAX(H142:K142),ROUND(H142*Config!$C$20+I142*Config!$C$21+J142*Config!$C$22+K142*Config!$C$23,1))))</f>
        <v>3</v>
      </c>
      <c r="M142" s="38" t="n">
        <f aca="false">IF(OR(L142="",G142=""),"",G142*L142)</f>
        <v>9</v>
      </c>
      <c r="N142" s="31" t="n">
        <f aca="false">IF(M142="","",MATCH(M142,Config!$E$5:$E$9,1))</f>
        <v>3</v>
      </c>
      <c r="O142" s="7" t="str">
        <f aca="false">IF(F142="N/A","N/A",IF(N142="","Not assessed",INDEX(Config!$B$5:$B$9,N142)))</f>
        <v>Medium</v>
      </c>
      <c r="P142" s="32" t="n">
        <v>0</v>
      </c>
      <c r="Q142" s="8"/>
      <c r="R142" s="33"/>
      <c r="S142" s="34" t="n">
        <f aca="false">IF(N142="","",IF(AND(R142="Y",P142&lt;&gt;0),MAX(1,MIN(5,N142+MAX(-Config!$C$27,MIN(Config!$C$27,P142)))),N142))</f>
        <v>3</v>
      </c>
      <c r="T142" s="35" t="str">
        <f aca="false">IF(F142="N/A","N/A",IF(S142="","Not assessed",INDEX(Config!$B$5:$B$9,S142)))</f>
        <v>Medium</v>
      </c>
      <c r="U142" s="7" t="str">
        <f aca="false">IF(P142=0,"None",IF(R142="Y","Applied","Pending HO approval"))</f>
        <v>None</v>
      </c>
      <c r="V142" s="8"/>
    </row>
    <row r="143" customFormat="false" ht="15" hidden="false" customHeight="false" outlineLevel="0" collapsed="false">
      <c r="A143" s="26" t="str">
        <f aca="false">Entities!$A$15</f>
        <v>BH</v>
      </c>
      <c r="B143" s="12" t="str">
        <f aca="false">INDEX(Entities!$B$5:$B$34,MATCH(A143,Entities!$A$5:$A$34,0))</f>
        <v>Arab Bank – Bahrain</v>
      </c>
      <c r="C143" s="12" t="str">
        <f aca="false">INDEX(Entities!$D$5:$D$34,MATCH(A143,Entities!$A$5:$A$34,0))</f>
        <v>GCC</v>
      </c>
      <c r="D143" s="12" t="s">
        <v>283</v>
      </c>
      <c r="E143" s="12" t="str">
        <f aca="false">INDEX('Risk Taxonomy'!$B$5:$B$24,MATCH(D143,'Risk Taxonomy'!$A$5:$A$24,0))</f>
        <v>Cyber, information security and technology</v>
      </c>
      <c r="F143" s="7" t="str">
        <f aca="false">IF(D143="RC-04",IF(INDEX(Entities!$G$5:$G$34,MATCH(A143,Entities!$A$5:$A$34,0))="Y","Yes","N/A"),"Yes")</f>
        <v>Yes</v>
      </c>
      <c r="G143" s="24" t="n">
        <v>2</v>
      </c>
      <c r="H143" s="24" t="n">
        <v>3</v>
      </c>
      <c r="I143" s="24" t="n">
        <v>3</v>
      </c>
      <c r="J143" s="24" t="n">
        <v>4</v>
      </c>
      <c r="K143" s="24" t="n">
        <v>3</v>
      </c>
      <c r="L143" s="37" t="n">
        <f aca="false">IF(F143="N/A","",IF(COUNT(H143:K143)=0,"",IF(Config!$C$19="Highest dimension",MAX(H143:K143),ROUND(H143*Config!$C$20+I143*Config!$C$21+J143*Config!$C$22+K143*Config!$C$23,1))))</f>
        <v>4</v>
      </c>
      <c r="M143" s="38" t="n">
        <f aca="false">IF(OR(L143="",G143=""),"",G143*L143)</f>
        <v>8</v>
      </c>
      <c r="N143" s="31" t="n">
        <f aca="false">IF(M143="","",MATCH(M143,Config!$E$5:$E$9,1))</f>
        <v>2</v>
      </c>
      <c r="O143" s="7" t="str">
        <f aca="false">IF(F143="N/A","N/A",IF(N143="","Not assessed",INDEX(Config!$B$5:$B$9,N143)))</f>
        <v>Medium-Low</v>
      </c>
      <c r="P143" s="32" t="n">
        <v>0</v>
      </c>
      <c r="Q143" s="8"/>
      <c r="R143" s="33"/>
      <c r="S143" s="34" t="n">
        <f aca="false">IF(N143="","",IF(AND(R143="Y",P143&lt;&gt;0),MAX(1,MIN(5,N143+MAX(-Config!$C$27,MIN(Config!$C$27,P143)))),N143))</f>
        <v>2</v>
      </c>
      <c r="T143" s="35" t="str">
        <f aca="false">IF(F143="N/A","N/A",IF(S143="","Not assessed",INDEX(Config!$B$5:$B$9,S143)))</f>
        <v>Medium-Low</v>
      </c>
      <c r="U143" s="7" t="str">
        <f aca="false">IF(P143=0,"None",IF(R143="Y","Applied","Pending HO approval"))</f>
        <v>None</v>
      </c>
      <c r="V143" s="8"/>
    </row>
    <row r="144" customFormat="false" ht="15" hidden="false" customHeight="false" outlineLevel="0" collapsed="false">
      <c r="A144" s="26" t="str">
        <f aca="false">Entities!$A$15</f>
        <v>BH</v>
      </c>
      <c r="B144" s="12" t="str">
        <f aca="false">INDEX(Entities!$B$5:$B$34,MATCH(A144,Entities!$A$5:$A$34,0))</f>
        <v>Arab Bank – Bahrain</v>
      </c>
      <c r="C144" s="12" t="str">
        <f aca="false">INDEX(Entities!$D$5:$D$34,MATCH(A144,Entities!$A$5:$A$34,0))</f>
        <v>GCC</v>
      </c>
      <c r="D144" s="12" t="s">
        <v>286</v>
      </c>
      <c r="E144" s="12" t="str">
        <f aca="false">INDEX('Risk Taxonomy'!$B$5:$B$24,MATCH(D144,'Risk Taxonomy'!$A$5:$A$24,0))</f>
        <v>Third-party and outsourcing</v>
      </c>
      <c r="F144" s="7" t="str">
        <f aca="false">IF(D144="RC-04",IF(INDEX(Entities!$G$5:$G$34,MATCH(A144,Entities!$A$5:$A$34,0))="Y","Yes","N/A"),"Yes")</f>
        <v>Yes</v>
      </c>
      <c r="G144" s="24" t="n">
        <v>3</v>
      </c>
      <c r="H144" s="24" t="n">
        <v>2</v>
      </c>
      <c r="I144" s="24" t="n">
        <v>4</v>
      </c>
      <c r="J144" s="24" t="n">
        <v>3</v>
      </c>
      <c r="K144" s="24" t="n">
        <v>2</v>
      </c>
      <c r="L144" s="37" t="n">
        <f aca="false">IF(F144="N/A","",IF(COUNT(H144:K144)=0,"",IF(Config!$C$19="Highest dimension",MAX(H144:K144),ROUND(H144*Config!$C$20+I144*Config!$C$21+J144*Config!$C$22+K144*Config!$C$23,1))))</f>
        <v>4</v>
      </c>
      <c r="M144" s="38" t="n">
        <f aca="false">IF(OR(L144="",G144=""),"",G144*L144)</f>
        <v>12</v>
      </c>
      <c r="N144" s="31" t="n">
        <f aca="false">IF(M144="","",MATCH(M144,Config!$E$5:$E$9,1))</f>
        <v>3</v>
      </c>
      <c r="O144" s="7" t="str">
        <f aca="false">IF(F144="N/A","N/A",IF(N144="","Not assessed",INDEX(Config!$B$5:$B$9,N144)))</f>
        <v>Medium</v>
      </c>
      <c r="P144" s="32" t="n">
        <v>0</v>
      </c>
      <c r="Q144" s="8"/>
      <c r="R144" s="33"/>
      <c r="S144" s="34" t="n">
        <f aca="false">IF(N144="","",IF(AND(R144="Y",P144&lt;&gt;0),MAX(1,MIN(5,N144+MAX(-Config!$C$27,MIN(Config!$C$27,P144)))),N144))</f>
        <v>3</v>
      </c>
      <c r="T144" s="35" t="str">
        <f aca="false">IF(F144="N/A","N/A",IF(S144="","Not assessed",INDEX(Config!$B$5:$B$9,S144)))</f>
        <v>Medium</v>
      </c>
      <c r="U144" s="7" t="str">
        <f aca="false">IF(P144=0,"None",IF(R144="Y","Applied","Pending HO approval"))</f>
        <v>None</v>
      </c>
      <c r="V144" s="8"/>
    </row>
    <row r="145" customFormat="false" ht="15" hidden="false" customHeight="false" outlineLevel="0" collapsed="false">
      <c r="A145" s="26" t="str">
        <f aca="false">Entities!$A$15</f>
        <v>BH</v>
      </c>
      <c r="B145" s="12" t="str">
        <f aca="false">INDEX(Entities!$B$5:$B$34,MATCH(A145,Entities!$A$5:$A$34,0))</f>
        <v>Arab Bank – Bahrain</v>
      </c>
      <c r="C145" s="12" t="str">
        <f aca="false">INDEX(Entities!$D$5:$D$34,MATCH(A145,Entities!$A$5:$A$34,0))</f>
        <v>GCC</v>
      </c>
      <c r="D145" s="12" t="s">
        <v>289</v>
      </c>
      <c r="E145" s="12" t="str">
        <f aca="false">INDEX('Risk Taxonomy'!$B$5:$B$24,MATCH(D145,'Risk Taxonomy'!$A$5:$A$24,0))</f>
        <v>Legal and litigation</v>
      </c>
      <c r="F145" s="7" t="str">
        <f aca="false">IF(D145="RC-04",IF(INDEX(Entities!$G$5:$G$34,MATCH(A145,Entities!$A$5:$A$34,0))="Y","Yes","N/A"),"Yes")</f>
        <v>Yes</v>
      </c>
      <c r="G145" s="24" t="n">
        <v>3</v>
      </c>
      <c r="H145" s="24" t="n">
        <v>3</v>
      </c>
      <c r="I145" s="24" t="n">
        <v>4</v>
      </c>
      <c r="J145" s="24" t="n">
        <v>3</v>
      </c>
      <c r="K145" s="24" t="n">
        <v>2</v>
      </c>
      <c r="L145" s="37" t="n">
        <f aca="false">IF(F145="N/A","",IF(COUNT(H145:K145)=0,"",IF(Config!$C$19="Highest dimension",MAX(H145:K145),ROUND(H145*Config!$C$20+I145*Config!$C$21+J145*Config!$C$22+K145*Config!$C$23,1))))</f>
        <v>4</v>
      </c>
      <c r="M145" s="38" t="n">
        <f aca="false">IF(OR(L145="",G145=""),"",G145*L145)</f>
        <v>12</v>
      </c>
      <c r="N145" s="31" t="n">
        <f aca="false">IF(M145="","",MATCH(M145,Config!$E$5:$E$9,1))</f>
        <v>3</v>
      </c>
      <c r="O145" s="7" t="str">
        <f aca="false">IF(F145="N/A","N/A",IF(N145="","Not assessed",INDEX(Config!$B$5:$B$9,N145)))</f>
        <v>Medium</v>
      </c>
      <c r="P145" s="32" t="n">
        <v>0</v>
      </c>
      <c r="Q145" s="8"/>
      <c r="R145" s="33"/>
      <c r="S145" s="34" t="n">
        <f aca="false">IF(N145="","",IF(AND(R145="Y",P145&lt;&gt;0),MAX(1,MIN(5,N145+MAX(-Config!$C$27,MIN(Config!$C$27,P145)))),N145))</f>
        <v>3</v>
      </c>
      <c r="T145" s="35" t="str">
        <f aca="false">IF(F145="N/A","N/A",IF(S145="","Not assessed",INDEX(Config!$B$5:$B$9,S145)))</f>
        <v>Medium</v>
      </c>
      <c r="U145" s="7" t="str">
        <f aca="false">IF(P145=0,"None",IF(R145="Y","Applied","Pending HO approval"))</f>
        <v>None</v>
      </c>
      <c r="V145" s="8"/>
    </row>
    <row r="146" customFormat="false" ht="15" hidden="false" customHeight="false" outlineLevel="0" collapsed="false">
      <c r="A146" s="26" t="str">
        <f aca="false">Entities!$A$15</f>
        <v>BH</v>
      </c>
      <c r="B146" s="12" t="str">
        <f aca="false">INDEX(Entities!$B$5:$B$34,MATCH(A146,Entities!$A$5:$A$34,0))</f>
        <v>Arab Bank – Bahrain</v>
      </c>
      <c r="C146" s="12" t="str">
        <f aca="false">INDEX(Entities!$D$5:$D$34,MATCH(A146,Entities!$A$5:$A$34,0))</f>
        <v>GCC</v>
      </c>
      <c r="D146" s="12" t="s">
        <v>292</v>
      </c>
      <c r="E146" s="12" t="str">
        <f aca="false">INDEX('Risk Taxonomy'!$B$5:$B$24,MATCH(D146,'Risk Taxonomy'!$A$5:$A$24,0))</f>
        <v>Reputational</v>
      </c>
      <c r="F146" s="7" t="str">
        <f aca="false">IF(D146="RC-04",IF(INDEX(Entities!$G$5:$G$34,MATCH(A146,Entities!$A$5:$A$34,0))="Y","Yes","N/A"),"Yes")</f>
        <v>Yes</v>
      </c>
      <c r="G146" s="24" t="n">
        <v>3</v>
      </c>
      <c r="H146" s="24" t="n">
        <v>3</v>
      </c>
      <c r="I146" s="24" t="n">
        <v>2</v>
      </c>
      <c r="J146" s="24" t="n">
        <v>2</v>
      </c>
      <c r="K146" s="24" t="n">
        <v>2</v>
      </c>
      <c r="L146" s="37" t="n">
        <f aca="false">IF(F146="N/A","",IF(COUNT(H146:K146)=0,"",IF(Config!$C$19="Highest dimension",MAX(H146:K146),ROUND(H146*Config!$C$20+I146*Config!$C$21+J146*Config!$C$22+K146*Config!$C$23,1))))</f>
        <v>3</v>
      </c>
      <c r="M146" s="38" t="n">
        <f aca="false">IF(OR(L146="",G146=""),"",G146*L146)</f>
        <v>9</v>
      </c>
      <c r="N146" s="31" t="n">
        <f aca="false">IF(M146="","",MATCH(M146,Config!$E$5:$E$9,1))</f>
        <v>3</v>
      </c>
      <c r="O146" s="7" t="str">
        <f aca="false">IF(F146="N/A","N/A",IF(N146="","Not assessed",INDEX(Config!$B$5:$B$9,N146)))</f>
        <v>Medium</v>
      </c>
      <c r="P146" s="32" t="n">
        <v>0</v>
      </c>
      <c r="Q146" s="8"/>
      <c r="R146" s="33"/>
      <c r="S146" s="34" t="n">
        <f aca="false">IF(N146="","",IF(AND(R146="Y",P146&lt;&gt;0),MAX(1,MIN(5,N146+MAX(-Config!$C$27,MIN(Config!$C$27,P146)))),N146))</f>
        <v>3</v>
      </c>
      <c r="T146" s="35" t="str">
        <f aca="false">IF(F146="N/A","N/A",IF(S146="","Not assessed",INDEX(Config!$B$5:$B$9,S146)))</f>
        <v>Medium</v>
      </c>
      <c r="U146" s="7" t="str">
        <f aca="false">IF(P146=0,"None",IF(R146="Y","Applied","Pending HO approval"))</f>
        <v>None</v>
      </c>
      <c r="V146" s="8"/>
    </row>
    <row r="147" customFormat="false" ht="15" hidden="false" customHeight="false" outlineLevel="0" collapsed="false">
      <c r="A147" s="26" t="str">
        <f aca="false">Entities!$A$15</f>
        <v>BH</v>
      </c>
      <c r="B147" s="12" t="str">
        <f aca="false">INDEX(Entities!$B$5:$B$34,MATCH(A147,Entities!$A$5:$A$34,0))</f>
        <v>Arab Bank – Bahrain</v>
      </c>
      <c r="C147" s="12" t="str">
        <f aca="false">INDEX(Entities!$D$5:$D$34,MATCH(A147,Entities!$A$5:$A$34,0))</f>
        <v>GCC</v>
      </c>
      <c r="D147" s="12" t="s">
        <v>295</v>
      </c>
      <c r="E147" s="12" t="str">
        <f aca="false">INDEX('Risk Taxonomy'!$B$5:$B$24,MATCH(D147,'Risk Taxonomy'!$A$5:$A$24,0))</f>
        <v>Strategic, business model and ESG</v>
      </c>
      <c r="F147" s="7" t="str">
        <f aca="false">IF(D147="RC-04",IF(INDEX(Entities!$G$5:$G$34,MATCH(A147,Entities!$A$5:$A$34,0))="Y","Yes","N/A"),"Yes")</f>
        <v>Yes</v>
      </c>
      <c r="G147" s="24" t="n">
        <v>4</v>
      </c>
      <c r="H147" s="24" t="n">
        <v>3</v>
      </c>
      <c r="I147" s="24" t="n">
        <v>3</v>
      </c>
      <c r="J147" s="24" t="n">
        <v>3</v>
      </c>
      <c r="K147" s="24" t="n">
        <v>3</v>
      </c>
      <c r="L147" s="37" t="n">
        <f aca="false">IF(F147="N/A","",IF(COUNT(H147:K147)=0,"",IF(Config!$C$19="Highest dimension",MAX(H147:K147),ROUND(H147*Config!$C$20+I147*Config!$C$21+J147*Config!$C$22+K147*Config!$C$23,1))))</f>
        <v>3</v>
      </c>
      <c r="M147" s="38" t="n">
        <f aca="false">IF(OR(L147="",G147=""),"",G147*L147)</f>
        <v>12</v>
      </c>
      <c r="N147" s="31" t="n">
        <f aca="false">IF(M147="","",MATCH(M147,Config!$E$5:$E$9,1))</f>
        <v>3</v>
      </c>
      <c r="O147" s="7" t="str">
        <f aca="false">IF(F147="N/A","N/A",IF(N147="","Not assessed",INDEX(Config!$B$5:$B$9,N147)))</f>
        <v>Medium</v>
      </c>
      <c r="P147" s="32" t="n">
        <v>0</v>
      </c>
      <c r="Q147" s="8"/>
      <c r="R147" s="33"/>
      <c r="S147" s="34" t="n">
        <f aca="false">IF(N147="","",IF(AND(R147="Y",P147&lt;&gt;0),MAX(1,MIN(5,N147+MAX(-Config!$C$27,MIN(Config!$C$27,P147)))),N147))</f>
        <v>3</v>
      </c>
      <c r="T147" s="35" t="str">
        <f aca="false">IF(F147="N/A","N/A",IF(S147="","Not assessed",INDEX(Config!$B$5:$B$9,S147)))</f>
        <v>Medium</v>
      </c>
      <c r="U147" s="7" t="str">
        <f aca="false">IF(P147=0,"None",IF(R147="Y","Applied","Pending HO approval"))</f>
        <v>None</v>
      </c>
      <c r="V147" s="8"/>
    </row>
    <row r="148" customFormat="false" ht="15" hidden="false" customHeight="false" outlineLevel="0" collapsed="false">
      <c r="A148" s="26" t="str">
        <f aca="false">Entities!$A$16</f>
        <v>QA</v>
      </c>
      <c r="B148" s="12" t="str">
        <f aca="false">INDEX(Entities!$B$5:$B$34,MATCH(A148,Entities!$A$5:$A$34,0))</f>
        <v>Arab Bank – Qatar</v>
      </c>
      <c r="C148" s="12" t="str">
        <f aca="false">INDEX(Entities!$D$5:$D$34,MATCH(A148,Entities!$A$5:$A$34,0))</f>
        <v>GCC</v>
      </c>
      <c r="D148" s="12" t="s">
        <v>257</v>
      </c>
      <c r="E148" s="12" t="str">
        <f aca="false">INDEX('Risk Taxonomy'!$B$5:$B$24,MATCH(D148,'Risk Taxonomy'!$A$5:$A$24,0))</f>
        <v>Regulatory compliance</v>
      </c>
      <c r="F148" s="7" t="str">
        <f aca="false">IF(D148="RC-04",IF(INDEX(Entities!$G$5:$G$34,MATCH(A148,Entities!$A$5:$A$34,0))="Y","Yes","N/A"),"Yes")</f>
        <v>Yes</v>
      </c>
      <c r="G148" s="24" t="n">
        <v>2</v>
      </c>
      <c r="H148" s="24" t="n">
        <v>3</v>
      </c>
      <c r="I148" s="24" t="n">
        <v>2</v>
      </c>
      <c r="J148" s="24" t="n">
        <v>4</v>
      </c>
      <c r="K148" s="24" t="n">
        <v>2</v>
      </c>
      <c r="L148" s="37" t="n">
        <f aca="false">IF(F148="N/A","",IF(COUNT(H148:K148)=0,"",IF(Config!$C$19="Highest dimension",MAX(H148:K148),ROUND(H148*Config!$C$20+I148*Config!$C$21+J148*Config!$C$22+K148*Config!$C$23,1))))</f>
        <v>4</v>
      </c>
      <c r="M148" s="38" t="n">
        <f aca="false">IF(OR(L148="",G148=""),"",G148*L148)</f>
        <v>8</v>
      </c>
      <c r="N148" s="31" t="n">
        <f aca="false">IF(M148="","",MATCH(M148,Config!$E$5:$E$9,1))</f>
        <v>2</v>
      </c>
      <c r="O148" s="7" t="str">
        <f aca="false">IF(F148="N/A","N/A",IF(N148="","Not assessed",INDEX(Config!$B$5:$B$9,N148)))</f>
        <v>Medium-Low</v>
      </c>
      <c r="P148" s="32" t="n">
        <v>0</v>
      </c>
      <c r="Q148" s="8"/>
      <c r="R148" s="33"/>
      <c r="S148" s="34" t="n">
        <f aca="false">IF(N148="","",IF(AND(R148="Y",P148&lt;&gt;0),MAX(1,MIN(5,N148+MAX(-Config!$C$27,MIN(Config!$C$27,P148)))),N148))</f>
        <v>2</v>
      </c>
      <c r="T148" s="35" t="str">
        <f aca="false">IF(F148="N/A","N/A",IF(S148="","Not assessed",INDEX(Config!$B$5:$B$9,S148)))</f>
        <v>Medium-Low</v>
      </c>
      <c r="U148" s="7" t="str">
        <f aca="false">IF(P148=0,"None",IF(R148="Y","Applied","Pending HO approval"))</f>
        <v>None</v>
      </c>
      <c r="V148" s="8"/>
    </row>
    <row r="149" customFormat="false" ht="15" hidden="false" customHeight="false" outlineLevel="0" collapsed="false">
      <c r="A149" s="26" t="str">
        <f aca="false">Entities!$A$16</f>
        <v>QA</v>
      </c>
      <c r="B149" s="12" t="str">
        <f aca="false">INDEX(Entities!$B$5:$B$34,MATCH(A149,Entities!$A$5:$A$34,0))</f>
        <v>Arab Bank – Qatar</v>
      </c>
      <c r="C149" s="12" t="str">
        <f aca="false">INDEX(Entities!$D$5:$D$34,MATCH(A149,Entities!$A$5:$A$34,0))</f>
        <v>GCC</v>
      </c>
      <c r="D149" s="12" t="s">
        <v>261</v>
      </c>
      <c r="E149" s="12" t="str">
        <f aca="false">INDEX('Risk Taxonomy'!$B$5:$B$24,MATCH(D149,'Risk Taxonomy'!$A$5:$A$24,0))</f>
        <v>Conduct and consumer protection</v>
      </c>
      <c r="F149" s="7" t="str">
        <f aca="false">IF(D149="RC-04",IF(INDEX(Entities!$G$5:$G$34,MATCH(A149,Entities!$A$5:$A$34,0))="Y","Yes","N/A"),"Yes")</f>
        <v>Yes</v>
      </c>
      <c r="G149" s="24" t="n">
        <v>2</v>
      </c>
      <c r="H149" s="24" t="n">
        <v>4</v>
      </c>
      <c r="I149" s="24" t="n">
        <v>3</v>
      </c>
      <c r="J149" s="24" t="n">
        <v>2</v>
      </c>
      <c r="K149" s="24" t="n">
        <v>2</v>
      </c>
      <c r="L149" s="37" t="n">
        <f aca="false">IF(F149="N/A","",IF(COUNT(H149:K149)=0,"",IF(Config!$C$19="Highest dimension",MAX(H149:K149),ROUND(H149*Config!$C$20+I149*Config!$C$21+J149*Config!$C$22+K149*Config!$C$23,1))))</f>
        <v>4</v>
      </c>
      <c r="M149" s="38" t="n">
        <f aca="false">IF(OR(L149="",G149=""),"",G149*L149)</f>
        <v>8</v>
      </c>
      <c r="N149" s="31" t="n">
        <f aca="false">IF(M149="","",MATCH(M149,Config!$E$5:$E$9,1))</f>
        <v>2</v>
      </c>
      <c r="O149" s="7" t="str">
        <f aca="false">IF(F149="N/A","N/A",IF(N149="","Not assessed",INDEX(Config!$B$5:$B$9,N149)))</f>
        <v>Medium-Low</v>
      </c>
      <c r="P149" s="32" t="n">
        <v>0</v>
      </c>
      <c r="Q149" s="8"/>
      <c r="R149" s="33"/>
      <c r="S149" s="34" t="n">
        <f aca="false">IF(N149="","",IF(AND(R149="Y",P149&lt;&gt;0),MAX(1,MIN(5,N149+MAX(-Config!$C$27,MIN(Config!$C$27,P149)))),N149))</f>
        <v>2</v>
      </c>
      <c r="T149" s="35" t="str">
        <f aca="false">IF(F149="N/A","N/A",IF(S149="","Not assessed",INDEX(Config!$B$5:$B$9,S149)))</f>
        <v>Medium-Low</v>
      </c>
      <c r="U149" s="7" t="str">
        <f aca="false">IF(P149=0,"None",IF(R149="Y","Applied","Pending HO approval"))</f>
        <v>None</v>
      </c>
      <c r="V149" s="8"/>
    </row>
    <row r="150" customFormat="false" ht="15" hidden="false" customHeight="false" outlineLevel="0" collapsed="false">
      <c r="A150" s="26" t="str">
        <f aca="false">Entities!$A$16</f>
        <v>QA</v>
      </c>
      <c r="B150" s="12" t="str">
        <f aca="false">INDEX(Entities!$B$5:$B$34,MATCH(A150,Entities!$A$5:$A$34,0))</f>
        <v>Arab Bank – Qatar</v>
      </c>
      <c r="C150" s="12" t="str">
        <f aca="false">INDEX(Entities!$D$5:$D$34,MATCH(A150,Entities!$A$5:$A$34,0))</f>
        <v>GCC</v>
      </c>
      <c r="D150" s="12" t="s">
        <v>263</v>
      </c>
      <c r="E150" s="12" t="str">
        <f aca="false">INDEX('Risk Taxonomy'!$B$5:$B$24,MATCH(D150,'Risk Taxonomy'!$A$5:$A$24,0))</f>
        <v>Data protection and privacy</v>
      </c>
      <c r="F150" s="7" t="str">
        <f aca="false">IF(D150="RC-04",IF(INDEX(Entities!$G$5:$G$34,MATCH(A150,Entities!$A$5:$A$34,0))="Y","Yes","N/A"),"Yes")</f>
        <v>Yes</v>
      </c>
      <c r="G150" s="24" t="n">
        <v>4</v>
      </c>
      <c r="H150" s="24" t="n">
        <v>3</v>
      </c>
      <c r="I150" s="24" t="n">
        <v>3</v>
      </c>
      <c r="J150" s="24" t="n">
        <v>3</v>
      </c>
      <c r="K150" s="24" t="n">
        <v>3</v>
      </c>
      <c r="L150" s="37" t="n">
        <f aca="false">IF(F150="N/A","",IF(COUNT(H150:K150)=0,"",IF(Config!$C$19="Highest dimension",MAX(H150:K150),ROUND(H150*Config!$C$20+I150*Config!$C$21+J150*Config!$C$22+K150*Config!$C$23,1))))</f>
        <v>3</v>
      </c>
      <c r="M150" s="38" t="n">
        <f aca="false">IF(OR(L150="",G150=""),"",G150*L150)</f>
        <v>12</v>
      </c>
      <c r="N150" s="31" t="n">
        <f aca="false">IF(M150="","",MATCH(M150,Config!$E$5:$E$9,1))</f>
        <v>3</v>
      </c>
      <c r="O150" s="7" t="str">
        <f aca="false">IF(F150="N/A","N/A",IF(N150="","Not assessed",INDEX(Config!$B$5:$B$9,N150)))</f>
        <v>Medium</v>
      </c>
      <c r="P150" s="32" t="n">
        <v>0</v>
      </c>
      <c r="Q150" s="8"/>
      <c r="R150" s="33"/>
      <c r="S150" s="34" t="n">
        <f aca="false">IF(N150="","",IF(AND(R150="Y",P150&lt;&gt;0),MAX(1,MIN(5,N150+MAX(-Config!$C$27,MIN(Config!$C$27,P150)))),N150))</f>
        <v>3</v>
      </c>
      <c r="T150" s="35" t="str">
        <f aca="false">IF(F150="N/A","N/A",IF(S150="","Not assessed",INDEX(Config!$B$5:$B$9,S150)))</f>
        <v>Medium</v>
      </c>
      <c r="U150" s="7" t="str">
        <f aca="false">IF(P150=0,"None",IF(R150="Y","Applied","Pending HO approval"))</f>
        <v>None</v>
      </c>
      <c r="V150" s="8"/>
    </row>
    <row r="151" customFormat="false" ht="15" hidden="false" customHeight="false" outlineLevel="0" collapsed="false">
      <c r="A151" s="26" t="str">
        <f aca="false">Entities!$A$16</f>
        <v>QA</v>
      </c>
      <c r="B151" s="12" t="str">
        <f aca="false">INDEX(Entities!$B$5:$B$34,MATCH(A151,Entities!$A$5:$A$34,0))</f>
        <v>Arab Bank – Qatar</v>
      </c>
      <c r="C151" s="12" t="str">
        <f aca="false">INDEX(Entities!$D$5:$D$34,MATCH(A151,Entities!$A$5:$A$34,0))</f>
        <v>GCC</v>
      </c>
      <c r="D151" s="12" t="s">
        <v>266</v>
      </c>
      <c r="E151" s="12" t="str">
        <f aca="false">INDEX('Risk Taxonomy'!$B$5:$B$24,MATCH(D151,'Risk Taxonomy'!$A$5:$A$24,0))</f>
        <v>Shariah non-compliance</v>
      </c>
      <c r="F151" s="7" t="str">
        <f aca="false">IF(D151="RC-04",IF(INDEX(Entities!$G$5:$G$34,MATCH(A151,Entities!$A$5:$A$34,0))="Y","Yes","N/A"),"Yes")</f>
        <v>N/A</v>
      </c>
      <c r="G151" s="24"/>
      <c r="H151" s="24"/>
      <c r="I151" s="24"/>
      <c r="J151" s="24"/>
      <c r="K151" s="24"/>
      <c r="L151" s="37" t="str">
        <f aca="false">IF(F151="N/A","",IF(COUNT(H151:K151)=0,"",IF(Config!$C$19="Highest dimension",MAX(H151:K151),ROUND(H151*Config!$C$20+I151*Config!$C$21+J151*Config!$C$22+K151*Config!$C$23,1))))</f>
        <v/>
      </c>
      <c r="M151" s="38" t="str">
        <f aca="false">IF(OR(L151="",G151=""),"",G151*L151)</f>
        <v/>
      </c>
      <c r="N151" s="31" t="str">
        <f aca="false">IF(M151="","",MATCH(M151,Config!$E$5:$E$9,1))</f>
        <v/>
      </c>
      <c r="O151" s="7" t="str">
        <f aca="false">IF(F151="N/A","N/A",IF(N151="","Not assessed",INDEX(Config!$B$5:$B$9,N151)))</f>
        <v>N/A</v>
      </c>
      <c r="P151" s="32" t="n">
        <v>0</v>
      </c>
      <c r="Q151" s="8"/>
      <c r="R151" s="33"/>
      <c r="S151" s="34" t="str">
        <f aca="false">IF(N151="","",IF(AND(R151="Y",P151&lt;&gt;0),MAX(1,MIN(5,N151+MAX(-Config!$C$27,MIN(Config!$C$27,P151)))),N151))</f>
        <v/>
      </c>
      <c r="T151" s="35" t="str">
        <f aca="false">IF(F151="N/A","N/A",IF(S151="","Not assessed",INDEX(Config!$B$5:$B$9,S151)))</f>
        <v>N/A</v>
      </c>
      <c r="U151" s="7" t="str">
        <f aca="false">IF(P151=0,"None",IF(R151="Y","Applied","Pending HO approval"))</f>
        <v>None</v>
      </c>
      <c r="V151" s="8"/>
    </row>
    <row r="152" customFormat="false" ht="15" hidden="false" customHeight="false" outlineLevel="0" collapsed="false">
      <c r="A152" s="26" t="str">
        <f aca="false">Entities!$A$16</f>
        <v>QA</v>
      </c>
      <c r="B152" s="12" t="str">
        <f aca="false">INDEX(Entities!$B$5:$B$34,MATCH(A152,Entities!$A$5:$A$34,0))</f>
        <v>Arab Bank – Qatar</v>
      </c>
      <c r="C152" s="12" t="str">
        <f aca="false">INDEX(Entities!$D$5:$D$34,MATCH(A152,Entities!$A$5:$A$34,0))</f>
        <v>GCC</v>
      </c>
      <c r="D152" s="12" t="s">
        <v>270</v>
      </c>
      <c r="E152" s="12" t="str">
        <f aca="false">INDEX('Risk Taxonomy'!$B$5:$B$24,MATCH(D152,'Risk Taxonomy'!$A$5:$A$24,0))</f>
        <v>Credit risk</v>
      </c>
      <c r="F152" s="7" t="str">
        <f aca="false">IF(D152="RC-04",IF(INDEX(Entities!$G$5:$G$34,MATCH(A152,Entities!$A$5:$A$34,0))="Y","Yes","N/A"),"Yes")</f>
        <v>Yes</v>
      </c>
      <c r="G152" s="24" t="n">
        <v>4</v>
      </c>
      <c r="H152" s="24" t="n">
        <v>3</v>
      </c>
      <c r="I152" s="24" t="n">
        <v>2</v>
      </c>
      <c r="J152" s="24" t="n">
        <v>2</v>
      </c>
      <c r="K152" s="24" t="n">
        <v>2</v>
      </c>
      <c r="L152" s="37" t="n">
        <f aca="false">IF(F152="N/A","",IF(COUNT(H152:K152)=0,"",IF(Config!$C$19="Highest dimension",MAX(H152:K152),ROUND(H152*Config!$C$20+I152*Config!$C$21+J152*Config!$C$22+K152*Config!$C$23,1))))</f>
        <v>3</v>
      </c>
      <c r="M152" s="38" t="n">
        <f aca="false">IF(OR(L152="",G152=""),"",G152*L152)</f>
        <v>12</v>
      </c>
      <c r="N152" s="31" t="n">
        <f aca="false">IF(M152="","",MATCH(M152,Config!$E$5:$E$9,1))</f>
        <v>3</v>
      </c>
      <c r="O152" s="7" t="str">
        <f aca="false">IF(F152="N/A","N/A",IF(N152="","Not assessed",INDEX(Config!$B$5:$B$9,N152)))</f>
        <v>Medium</v>
      </c>
      <c r="P152" s="32" t="n">
        <v>0</v>
      </c>
      <c r="Q152" s="8"/>
      <c r="R152" s="33"/>
      <c r="S152" s="34" t="n">
        <f aca="false">IF(N152="","",IF(AND(R152="Y",P152&lt;&gt;0),MAX(1,MIN(5,N152+MAX(-Config!$C$27,MIN(Config!$C$27,P152)))),N152))</f>
        <v>3</v>
      </c>
      <c r="T152" s="35" t="str">
        <f aca="false">IF(F152="N/A","N/A",IF(S152="","Not assessed",INDEX(Config!$B$5:$B$9,S152)))</f>
        <v>Medium</v>
      </c>
      <c r="U152" s="7" t="str">
        <f aca="false">IF(P152=0,"None",IF(R152="Y","Applied","Pending HO approval"))</f>
        <v>None</v>
      </c>
      <c r="V152" s="8"/>
    </row>
    <row r="153" customFormat="false" ht="15" hidden="false" customHeight="false" outlineLevel="0" collapsed="false">
      <c r="A153" s="26" t="str">
        <f aca="false">Entities!$A$16</f>
        <v>QA</v>
      </c>
      <c r="B153" s="12" t="str">
        <f aca="false">INDEX(Entities!$B$5:$B$34,MATCH(A153,Entities!$A$5:$A$34,0))</f>
        <v>Arab Bank – Qatar</v>
      </c>
      <c r="C153" s="12" t="str">
        <f aca="false">INDEX(Entities!$D$5:$D$34,MATCH(A153,Entities!$A$5:$A$34,0))</f>
        <v>GCC</v>
      </c>
      <c r="D153" s="12" t="s">
        <v>275</v>
      </c>
      <c r="E153" s="12" t="str">
        <f aca="false">INDEX('Risk Taxonomy'!$B$5:$B$24,MATCH(D153,'Risk Taxonomy'!$A$5:$A$24,0))</f>
        <v>Market risk</v>
      </c>
      <c r="F153" s="7" t="str">
        <f aca="false">IF(D153="RC-04",IF(INDEX(Entities!$G$5:$G$34,MATCH(A153,Entities!$A$5:$A$34,0))="Y","Yes","N/A"),"Yes")</f>
        <v>Yes</v>
      </c>
      <c r="G153" s="24" t="n">
        <v>3</v>
      </c>
      <c r="H153" s="24" t="n">
        <v>2</v>
      </c>
      <c r="I153" s="24" t="n">
        <v>2</v>
      </c>
      <c r="J153" s="24" t="n">
        <v>2</v>
      </c>
      <c r="K153" s="24" t="n">
        <v>3</v>
      </c>
      <c r="L153" s="37" t="n">
        <f aca="false">IF(F153="N/A","",IF(COUNT(H153:K153)=0,"",IF(Config!$C$19="Highest dimension",MAX(H153:K153),ROUND(H153*Config!$C$20+I153*Config!$C$21+J153*Config!$C$22+K153*Config!$C$23,1))))</f>
        <v>3</v>
      </c>
      <c r="M153" s="38" t="n">
        <f aca="false">IF(OR(L153="",G153=""),"",G153*L153)</f>
        <v>9</v>
      </c>
      <c r="N153" s="31" t="n">
        <f aca="false">IF(M153="","",MATCH(M153,Config!$E$5:$E$9,1))</f>
        <v>3</v>
      </c>
      <c r="O153" s="7" t="str">
        <f aca="false">IF(F153="N/A","N/A",IF(N153="","Not assessed",INDEX(Config!$B$5:$B$9,N153)))</f>
        <v>Medium</v>
      </c>
      <c r="P153" s="32" t="n">
        <v>0</v>
      </c>
      <c r="Q153" s="8"/>
      <c r="R153" s="33"/>
      <c r="S153" s="34" t="n">
        <f aca="false">IF(N153="","",IF(AND(R153="Y",P153&lt;&gt;0),MAX(1,MIN(5,N153+MAX(-Config!$C$27,MIN(Config!$C$27,P153)))),N153))</f>
        <v>3</v>
      </c>
      <c r="T153" s="35" t="str">
        <f aca="false">IF(F153="N/A","N/A",IF(S153="","Not assessed",INDEX(Config!$B$5:$B$9,S153)))</f>
        <v>Medium</v>
      </c>
      <c r="U153" s="7" t="str">
        <f aca="false">IF(P153=0,"None",IF(R153="Y","Applied","Pending HO approval"))</f>
        <v>None</v>
      </c>
      <c r="V153" s="8"/>
    </row>
    <row r="154" customFormat="false" ht="15" hidden="false" customHeight="false" outlineLevel="0" collapsed="false">
      <c r="A154" s="26" t="str">
        <f aca="false">Entities!$A$16</f>
        <v>QA</v>
      </c>
      <c r="B154" s="12" t="str">
        <f aca="false">INDEX(Entities!$B$5:$B$34,MATCH(A154,Entities!$A$5:$A$34,0))</f>
        <v>Arab Bank – Qatar</v>
      </c>
      <c r="C154" s="12" t="str">
        <f aca="false">INDEX(Entities!$D$5:$D$34,MATCH(A154,Entities!$A$5:$A$34,0))</f>
        <v>GCC</v>
      </c>
      <c r="D154" s="12" t="s">
        <v>277</v>
      </c>
      <c r="E154" s="12" t="str">
        <f aca="false">INDEX('Risk Taxonomy'!$B$5:$B$24,MATCH(D154,'Risk Taxonomy'!$A$5:$A$24,0))</f>
        <v>Liquidity and funding risk</v>
      </c>
      <c r="F154" s="7" t="str">
        <f aca="false">IF(D154="RC-04",IF(INDEX(Entities!$G$5:$G$34,MATCH(A154,Entities!$A$5:$A$34,0))="Y","Yes","N/A"),"Yes")</f>
        <v>Yes</v>
      </c>
      <c r="G154" s="24" t="n">
        <v>4</v>
      </c>
      <c r="H154" s="24" t="n">
        <v>2</v>
      </c>
      <c r="I154" s="24" t="n">
        <v>3</v>
      </c>
      <c r="J154" s="24" t="n">
        <v>3</v>
      </c>
      <c r="K154" s="24" t="n">
        <v>2</v>
      </c>
      <c r="L154" s="37" t="n">
        <f aca="false">IF(F154="N/A","",IF(COUNT(H154:K154)=0,"",IF(Config!$C$19="Highest dimension",MAX(H154:K154),ROUND(H154*Config!$C$20+I154*Config!$C$21+J154*Config!$C$22+K154*Config!$C$23,1))))</f>
        <v>3</v>
      </c>
      <c r="M154" s="38" t="n">
        <f aca="false">IF(OR(L154="",G154=""),"",G154*L154)</f>
        <v>12</v>
      </c>
      <c r="N154" s="31" t="n">
        <f aca="false">IF(M154="","",MATCH(M154,Config!$E$5:$E$9,1))</f>
        <v>3</v>
      </c>
      <c r="O154" s="7" t="str">
        <f aca="false">IF(F154="N/A","N/A",IF(N154="","Not assessed",INDEX(Config!$B$5:$B$9,N154)))</f>
        <v>Medium</v>
      </c>
      <c r="P154" s="32" t="n">
        <v>0</v>
      </c>
      <c r="Q154" s="8"/>
      <c r="R154" s="33"/>
      <c r="S154" s="34" t="n">
        <f aca="false">IF(N154="","",IF(AND(R154="Y",P154&lt;&gt;0),MAX(1,MIN(5,N154+MAX(-Config!$C$27,MIN(Config!$C$27,P154)))),N154))</f>
        <v>3</v>
      </c>
      <c r="T154" s="35" t="str">
        <f aca="false">IF(F154="N/A","N/A",IF(S154="","Not assessed",INDEX(Config!$B$5:$B$9,S154)))</f>
        <v>Medium</v>
      </c>
      <c r="U154" s="7" t="str">
        <f aca="false">IF(P154=0,"None",IF(R154="Y","Applied","Pending HO approval"))</f>
        <v>None</v>
      </c>
      <c r="V154" s="8"/>
    </row>
    <row r="155" customFormat="false" ht="15" hidden="false" customHeight="false" outlineLevel="0" collapsed="false">
      <c r="A155" s="26" t="str">
        <f aca="false">Entities!$A$16</f>
        <v>QA</v>
      </c>
      <c r="B155" s="12" t="str">
        <f aca="false">INDEX(Entities!$B$5:$B$34,MATCH(A155,Entities!$A$5:$A$34,0))</f>
        <v>Arab Bank – Qatar</v>
      </c>
      <c r="C155" s="12" t="str">
        <f aca="false">INDEX(Entities!$D$5:$D$34,MATCH(A155,Entities!$A$5:$A$34,0))</f>
        <v>GCC</v>
      </c>
      <c r="D155" s="12" t="s">
        <v>280</v>
      </c>
      <c r="E155" s="12" t="str">
        <f aca="false">INDEX('Risk Taxonomy'!$B$5:$B$24,MATCH(D155,'Risk Taxonomy'!$A$5:$A$24,0))</f>
        <v>Operational risk</v>
      </c>
      <c r="F155" s="7" t="str">
        <f aca="false">IF(D155="RC-04",IF(INDEX(Entities!$G$5:$G$34,MATCH(A155,Entities!$A$5:$A$34,0))="Y","Yes","N/A"),"Yes")</f>
        <v>Yes</v>
      </c>
      <c r="G155" s="24" t="n">
        <v>2</v>
      </c>
      <c r="H155" s="24" t="n">
        <v>3</v>
      </c>
      <c r="I155" s="24" t="n">
        <v>3</v>
      </c>
      <c r="J155" s="24" t="n">
        <v>2</v>
      </c>
      <c r="K155" s="24" t="n">
        <v>3</v>
      </c>
      <c r="L155" s="37" t="n">
        <f aca="false">IF(F155="N/A","",IF(COUNT(H155:K155)=0,"",IF(Config!$C$19="Highest dimension",MAX(H155:K155),ROUND(H155*Config!$C$20+I155*Config!$C$21+J155*Config!$C$22+K155*Config!$C$23,1))))</f>
        <v>3</v>
      </c>
      <c r="M155" s="38" t="n">
        <f aca="false">IF(OR(L155="",G155=""),"",G155*L155)</f>
        <v>6</v>
      </c>
      <c r="N155" s="31" t="n">
        <f aca="false">IF(M155="","",MATCH(M155,Config!$E$5:$E$9,1))</f>
        <v>2</v>
      </c>
      <c r="O155" s="7" t="str">
        <f aca="false">IF(F155="N/A","N/A",IF(N155="","Not assessed",INDEX(Config!$B$5:$B$9,N155)))</f>
        <v>Medium-Low</v>
      </c>
      <c r="P155" s="32" t="n">
        <v>0</v>
      </c>
      <c r="Q155" s="8"/>
      <c r="R155" s="33"/>
      <c r="S155" s="34" t="n">
        <f aca="false">IF(N155="","",IF(AND(R155="Y",P155&lt;&gt;0),MAX(1,MIN(5,N155+MAX(-Config!$C$27,MIN(Config!$C$27,P155)))),N155))</f>
        <v>2</v>
      </c>
      <c r="T155" s="35" t="str">
        <f aca="false">IF(F155="N/A","N/A",IF(S155="","Not assessed",INDEX(Config!$B$5:$B$9,S155)))</f>
        <v>Medium-Low</v>
      </c>
      <c r="U155" s="7" t="str">
        <f aca="false">IF(P155=0,"None",IF(R155="Y","Applied","Pending HO approval"))</f>
        <v>None</v>
      </c>
      <c r="V155" s="8"/>
    </row>
    <row r="156" customFormat="false" ht="15" hidden="false" customHeight="false" outlineLevel="0" collapsed="false">
      <c r="A156" s="26" t="str">
        <f aca="false">Entities!$A$16</f>
        <v>QA</v>
      </c>
      <c r="B156" s="12" t="str">
        <f aca="false">INDEX(Entities!$B$5:$B$34,MATCH(A156,Entities!$A$5:$A$34,0))</f>
        <v>Arab Bank – Qatar</v>
      </c>
      <c r="C156" s="12" t="str">
        <f aca="false">INDEX(Entities!$D$5:$D$34,MATCH(A156,Entities!$A$5:$A$34,0))</f>
        <v>GCC</v>
      </c>
      <c r="D156" s="12" t="s">
        <v>283</v>
      </c>
      <c r="E156" s="12" t="str">
        <f aca="false">INDEX('Risk Taxonomy'!$B$5:$B$24,MATCH(D156,'Risk Taxonomy'!$A$5:$A$24,0))</f>
        <v>Cyber, information security and technology</v>
      </c>
      <c r="F156" s="7" t="str">
        <f aca="false">IF(D156="RC-04",IF(INDEX(Entities!$G$5:$G$34,MATCH(A156,Entities!$A$5:$A$34,0))="Y","Yes","N/A"),"Yes")</f>
        <v>Yes</v>
      </c>
      <c r="G156" s="24" t="n">
        <v>3</v>
      </c>
      <c r="H156" s="24" t="n">
        <v>3</v>
      </c>
      <c r="I156" s="24" t="n">
        <v>4</v>
      </c>
      <c r="J156" s="24" t="n">
        <v>2</v>
      </c>
      <c r="K156" s="24" t="n">
        <v>2</v>
      </c>
      <c r="L156" s="37" t="n">
        <f aca="false">IF(F156="N/A","",IF(COUNT(H156:K156)=0,"",IF(Config!$C$19="Highest dimension",MAX(H156:K156),ROUND(H156*Config!$C$20+I156*Config!$C$21+J156*Config!$C$22+K156*Config!$C$23,1))))</f>
        <v>4</v>
      </c>
      <c r="M156" s="38" t="n">
        <f aca="false">IF(OR(L156="",G156=""),"",G156*L156)</f>
        <v>12</v>
      </c>
      <c r="N156" s="31" t="n">
        <f aca="false">IF(M156="","",MATCH(M156,Config!$E$5:$E$9,1))</f>
        <v>3</v>
      </c>
      <c r="O156" s="7" t="str">
        <f aca="false">IF(F156="N/A","N/A",IF(N156="","Not assessed",INDEX(Config!$B$5:$B$9,N156)))</f>
        <v>Medium</v>
      </c>
      <c r="P156" s="32" t="n">
        <v>0</v>
      </c>
      <c r="Q156" s="8"/>
      <c r="R156" s="33"/>
      <c r="S156" s="34" t="n">
        <f aca="false">IF(N156="","",IF(AND(R156="Y",P156&lt;&gt;0),MAX(1,MIN(5,N156+MAX(-Config!$C$27,MIN(Config!$C$27,P156)))),N156))</f>
        <v>3</v>
      </c>
      <c r="T156" s="35" t="str">
        <f aca="false">IF(F156="N/A","N/A",IF(S156="","Not assessed",INDEX(Config!$B$5:$B$9,S156)))</f>
        <v>Medium</v>
      </c>
      <c r="U156" s="7" t="str">
        <f aca="false">IF(P156=0,"None",IF(R156="Y","Applied","Pending HO approval"))</f>
        <v>None</v>
      </c>
      <c r="V156" s="8"/>
    </row>
    <row r="157" customFormat="false" ht="15" hidden="false" customHeight="false" outlineLevel="0" collapsed="false">
      <c r="A157" s="26" t="str">
        <f aca="false">Entities!$A$16</f>
        <v>QA</v>
      </c>
      <c r="B157" s="12" t="str">
        <f aca="false">INDEX(Entities!$B$5:$B$34,MATCH(A157,Entities!$A$5:$A$34,0))</f>
        <v>Arab Bank – Qatar</v>
      </c>
      <c r="C157" s="12" t="str">
        <f aca="false">INDEX(Entities!$D$5:$D$34,MATCH(A157,Entities!$A$5:$A$34,0))</f>
        <v>GCC</v>
      </c>
      <c r="D157" s="12" t="s">
        <v>286</v>
      </c>
      <c r="E157" s="12" t="str">
        <f aca="false">INDEX('Risk Taxonomy'!$B$5:$B$24,MATCH(D157,'Risk Taxonomy'!$A$5:$A$24,0))</f>
        <v>Third-party and outsourcing</v>
      </c>
      <c r="F157" s="7" t="str">
        <f aca="false">IF(D157="RC-04",IF(INDEX(Entities!$G$5:$G$34,MATCH(A157,Entities!$A$5:$A$34,0))="Y","Yes","N/A"),"Yes")</f>
        <v>Yes</v>
      </c>
      <c r="G157" s="24" t="n">
        <v>2</v>
      </c>
      <c r="H157" s="24" t="n">
        <v>4</v>
      </c>
      <c r="I157" s="24" t="n">
        <v>2</v>
      </c>
      <c r="J157" s="24" t="n">
        <v>2</v>
      </c>
      <c r="K157" s="24" t="n">
        <v>1</v>
      </c>
      <c r="L157" s="37" t="n">
        <f aca="false">IF(F157="N/A","",IF(COUNT(H157:K157)=0,"",IF(Config!$C$19="Highest dimension",MAX(H157:K157),ROUND(H157*Config!$C$20+I157*Config!$C$21+J157*Config!$C$22+K157*Config!$C$23,1))))</f>
        <v>4</v>
      </c>
      <c r="M157" s="38" t="n">
        <f aca="false">IF(OR(L157="",G157=""),"",G157*L157)</f>
        <v>8</v>
      </c>
      <c r="N157" s="31" t="n">
        <f aca="false">IF(M157="","",MATCH(M157,Config!$E$5:$E$9,1))</f>
        <v>2</v>
      </c>
      <c r="O157" s="7" t="str">
        <f aca="false">IF(F157="N/A","N/A",IF(N157="","Not assessed",INDEX(Config!$B$5:$B$9,N157)))</f>
        <v>Medium-Low</v>
      </c>
      <c r="P157" s="32" t="n">
        <v>0</v>
      </c>
      <c r="Q157" s="8"/>
      <c r="R157" s="33"/>
      <c r="S157" s="34" t="n">
        <f aca="false">IF(N157="","",IF(AND(R157="Y",P157&lt;&gt;0),MAX(1,MIN(5,N157+MAX(-Config!$C$27,MIN(Config!$C$27,P157)))),N157))</f>
        <v>2</v>
      </c>
      <c r="T157" s="35" t="str">
        <f aca="false">IF(F157="N/A","N/A",IF(S157="","Not assessed",INDEX(Config!$B$5:$B$9,S157)))</f>
        <v>Medium-Low</v>
      </c>
      <c r="U157" s="7" t="str">
        <f aca="false">IF(P157=0,"None",IF(R157="Y","Applied","Pending HO approval"))</f>
        <v>None</v>
      </c>
      <c r="V157" s="8"/>
    </row>
    <row r="158" customFormat="false" ht="15" hidden="false" customHeight="false" outlineLevel="0" collapsed="false">
      <c r="A158" s="26" t="str">
        <f aca="false">Entities!$A$16</f>
        <v>QA</v>
      </c>
      <c r="B158" s="12" t="str">
        <f aca="false">INDEX(Entities!$B$5:$B$34,MATCH(A158,Entities!$A$5:$A$34,0))</f>
        <v>Arab Bank – Qatar</v>
      </c>
      <c r="C158" s="12" t="str">
        <f aca="false">INDEX(Entities!$D$5:$D$34,MATCH(A158,Entities!$A$5:$A$34,0))</f>
        <v>GCC</v>
      </c>
      <c r="D158" s="12" t="s">
        <v>289</v>
      </c>
      <c r="E158" s="12" t="str">
        <f aca="false">INDEX('Risk Taxonomy'!$B$5:$B$24,MATCH(D158,'Risk Taxonomy'!$A$5:$A$24,0))</f>
        <v>Legal and litigation</v>
      </c>
      <c r="F158" s="7" t="str">
        <f aca="false">IF(D158="RC-04",IF(INDEX(Entities!$G$5:$G$34,MATCH(A158,Entities!$A$5:$A$34,0))="Y","Yes","N/A"),"Yes")</f>
        <v>Yes</v>
      </c>
      <c r="G158" s="24" t="n">
        <v>2</v>
      </c>
      <c r="H158" s="24" t="n">
        <v>3</v>
      </c>
      <c r="I158" s="24" t="n">
        <v>3</v>
      </c>
      <c r="J158" s="24" t="n">
        <v>2</v>
      </c>
      <c r="K158" s="24" t="n">
        <v>2</v>
      </c>
      <c r="L158" s="37" t="n">
        <f aca="false">IF(F158="N/A","",IF(COUNT(H158:K158)=0,"",IF(Config!$C$19="Highest dimension",MAX(H158:K158),ROUND(H158*Config!$C$20+I158*Config!$C$21+J158*Config!$C$22+K158*Config!$C$23,1))))</f>
        <v>3</v>
      </c>
      <c r="M158" s="38" t="n">
        <f aca="false">IF(OR(L158="",G158=""),"",G158*L158)</f>
        <v>6</v>
      </c>
      <c r="N158" s="31" t="n">
        <f aca="false">IF(M158="","",MATCH(M158,Config!$E$5:$E$9,1))</f>
        <v>2</v>
      </c>
      <c r="O158" s="7" t="str">
        <f aca="false">IF(F158="N/A","N/A",IF(N158="","Not assessed",INDEX(Config!$B$5:$B$9,N158)))</f>
        <v>Medium-Low</v>
      </c>
      <c r="P158" s="32" t="n">
        <v>0</v>
      </c>
      <c r="Q158" s="8"/>
      <c r="R158" s="33"/>
      <c r="S158" s="34" t="n">
        <f aca="false">IF(N158="","",IF(AND(R158="Y",P158&lt;&gt;0),MAX(1,MIN(5,N158+MAX(-Config!$C$27,MIN(Config!$C$27,P158)))),N158))</f>
        <v>2</v>
      </c>
      <c r="T158" s="35" t="str">
        <f aca="false">IF(F158="N/A","N/A",IF(S158="","Not assessed",INDEX(Config!$B$5:$B$9,S158)))</f>
        <v>Medium-Low</v>
      </c>
      <c r="U158" s="7" t="str">
        <f aca="false">IF(P158=0,"None",IF(R158="Y","Applied","Pending HO approval"))</f>
        <v>None</v>
      </c>
      <c r="V158" s="8"/>
    </row>
    <row r="159" customFormat="false" ht="15" hidden="false" customHeight="false" outlineLevel="0" collapsed="false">
      <c r="A159" s="26" t="str">
        <f aca="false">Entities!$A$16</f>
        <v>QA</v>
      </c>
      <c r="B159" s="12" t="str">
        <f aca="false">INDEX(Entities!$B$5:$B$34,MATCH(A159,Entities!$A$5:$A$34,0))</f>
        <v>Arab Bank – Qatar</v>
      </c>
      <c r="C159" s="12" t="str">
        <f aca="false">INDEX(Entities!$D$5:$D$34,MATCH(A159,Entities!$A$5:$A$34,0))</f>
        <v>GCC</v>
      </c>
      <c r="D159" s="12" t="s">
        <v>292</v>
      </c>
      <c r="E159" s="12" t="str">
        <f aca="false">INDEX('Risk Taxonomy'!$B$5:$B$24,MATCH(D159,'Risk Taxonomy'!$A$5:$A$24,0))</f>
        <v>Reputational</v>
      </c>
      <c r="F159" s="7" t="str">
        <f aca="false">IF(D159="RC-04",IF(INDEX(Entities!$G$5:$G$34,MATCH(A159,Entities!$A$5:$A$34,0))="Y","Yes","N/A"),"Yes")</f>
        <v>Yes</v>
      </c>
      <c r="G159" s="24" t="n">
        <v>4</v>
      </c>
      <c r="H159" s="24" t="n">
        <v>3</v>
      </c>
      <c r="I159" s="24" t="n">
        <v>3</v>
      </c>
      <c r="J159" s="24" t="n">
        <v>4</v>
      </c>
      <c r="K159" s="24" t="n">
        <v>4</v>
      </c>
      <c r="L159" s="37" t="n">
        <f aca="false">IF(F159="N/A","",IF(COUNT(H159:K159)=0,"",IF(Config!$C$19="Highest dimension",MAX(H159:K159),ROUND(H159*Config!$C$20+I159*Config!$C$21+J159*Config!$C$22+K159*Config!$C$23,1))))</f>
        <v>4</v>
      </c>
      <c r="M159" s="38" t="n">
        <f aca="false">IF(OR(L159="",G159=""),"",G159*L159)</f>
        <v>16</v>
      </c>
      <c r="N159" s="31" t="n">
        <f aca="false">IF(M159="","",MATCH(M159,Config!$E$5:$E$9,1))</f>
        <v>4</v>
      </c>
      <c r="O159" s="7" t="str">
        <f aca="false">IF(F159="N/A","N/A",IF(N159="","Not assessed",INDEX(Config!$B$5:$B$9,N159)))</f>
        <v>Medium-High</v>
      </c>
      <c r="P159" s="32" t="n">
        <v>0</v>
      </c>
      <c r="Q159" s="8"/>
      <c r="R159" s="33"/>
      <c r="S159" s="34" t="n">
        <f aca="false">IF(N159="","",IF(AND(R159="Y",P159&lt;&gt;0),MAX(1,MIN(5,N159+MAX(-Config!$C$27,MIN(Config!$C$27,P159)))),N159))</f>
        <v>4</v>
      </c>
      <c r="T159" s="35" t="str">
        <f aca="false">IF(F159="N/A","N/A",IF(S159="","Not assessed",INDEX(Config!$B$5:$B$9,S159)))</f>
        <v>Medium-High</v>
      </c>
      <c r="U159" s="7" t="str">
        <f aca="false">IF(P159=0,"None",IF(R159="Y","Applied","Pending HO approval"))</f>
        <v>None</v>
      </c>
      <c r="V159" s="8"/>
    </row>
    <row r="160" customFormat="false" ht="15" hidden="false" customHeight="false" outlineLevel="0" collapsed="false">
      <c r="A160" s="26" t="str">
        <f aca="false">Entities!$A$16</f>
        <v>QA</v>
      </c>
      <c r="B160" s="12" t="str">
        <f aca="false">INDEX(Entities!$B$5:$B$34,MATCH(A160,Entities!$A$5:$A$34,0))</f>
        <v>Arab Bank – Qatar</v>
      </c>
      <c r="C160" s="12" t="str">
        <f aca="false">INDEX(Entities!$D$5:$D$34,MATCH(A160,Entities!$A$5:$A$34,0))</f>
        <v>GCC</v>
      </c>
      <c r="D160" s="12" t="s">
        <v>295</v>
      </c>
      <c r="E160" s="12" t="str">
        <f aca="false">INDEX('Risk Taxonomy'!$B$5:$B$24,MATCH(D160,'Risk Taxonomy'!$A$5:$A$24,0))</f>
        <v>Strategic, business model and ESG</v>
      </c>
      <c r="F160" s="7" t="str">
        <f aca="false">IF(D160="RC-04",IF(INDEX(Entities!$G$5:$G$34,MATCH(A160,Entities!$A$5:$A$34,0))="Y","Yes","N/A"),"Yes")</f>
        <v>Yes</v>
      </c>
      <c r="G160" s="24" t="n">
        <v>2</v>
      </c>
      <c r="H160" s="24" t="n">
        <v>4</v>
      </c>
      <c r="I160" s="24" t="n">
        <v>3</v>
      </c>
      <c r="J160" s="24" t="n">
        <v>3</v>
      </c>
      <c r="K160" s="24" t="n">
        <v>3</v>
      </c>
      <c r="L160" s="37" t="n">
        <f aca="false">IF(F160="N/A","",IF(COUNT(H160:K160)=0,"",IF(Config!$C$19="Highest dimension",MAX(H160:K160),ROUND(H160*Config!$C$20+I160*Config!$C$21+J160*Config!$C$22+K160*Config!$C$23,1))))</f>
        <v>4</v>
      </c>
      <c r="M160" s="38" t="n">
        <f aca="false">IF(OR(L160="",G160=""),"",G160*L160)</f>
        <v>8</v>
      </c>
      <c r="N160" s="31" t="n">
        <f aca="false">IF(M160="","",MATCH(M160,Config!$E$5:$E$9,1))</f>
        <v>2</v>
      </c>
      <c r="O160" s="7" t="str">
        <f aca="false">IF(F160="N/A","N/A",IF(N160="","Not assessed",INDEX(Config!$B$5:$B$9,N160)))</f>
        <v>Medium-Low</v>
      </c>
      <c r="P160" s="32" t="n">
        <v>0</v>
      </c>
      <c r="Q160" s="8"/>
      <c r="R160" s="33"/>
      <c r="S160" s="34" t="n">
        <f aca="false">IF(N160="","",IF(AND(R160="Y",P160&lt;&gt;0),MAX(1,MIN(5,N160+MAX(-Config!$C$27,MIN(Config!$C$27,P160)))),N160))</f>
        <v>2</v>
      </c>
      <c r="T160" s="35" t="str">
        <f aca="false">IF(F160="N/A","N/A",IF(S160="","Not assessed",INDEX(Config!$B$5:$B$9,S160)))</f>
        <v>Medium-Low</v>
      </c>
      <c r="U160" s="7" t="str">
        <f aca="false">IF(P160=0,"None",IF(R160="Y","Applied","Pending HO approval"))</f>
        <v>None</v>
      </c>
      <c r="V160" s="8"/>
    </row>
    <row r="161" customFormat="false" ht="15" hidden="false" customHeight="false" outlineLevel="0" collapsed="false">
      <c r="A161" s="26" t="str">
        <f aca="false">Entities!$A$17</f>
        <v>SA</v>
      </c>
      <c r="B161" s="12" t="str">
        <f aca="false">INDEX(Entities!$B$5:$B$34,MATCH(A161,Entities!$A$5:$A$34,0))</f>
        <v>Arab National Bank (affiliate)</v>
      </c>
      <c r="C161" s="12" t="str">
        <f aca="false">INDEX(Entities!$D$5:$D$34,MATCH(A161,Entities!$A$5:$A$34,0))</f>
        <v>GCC</v>
      </c>
      <c r="D161" s="12" t="s">
        <v>257</v>
      </c>
      <c r="E161" s="12" t="str">
        <f aca="false">INDEX('Risk Taxonomy'!$B$5:$B$24,MATCH(D161,'Risk Taxonomy'!$A$5:$A$24,0))</f>
        <v>Regulatory compliance</v>
      </c>
      <c r="F161" s="7" t="str">
        <f aca="false">IF(D161="RC-04",IF(INDEX(Entities!$G$5:$G$34,MATCH(A161,Entities!$A$5:$A$34,0))="Y","Yes","N/A"),"Yes")</f>
        <v>Yes</v>
      </c>
      <c r="G161" s="24" t="n">
        <v>3</v>
      </c>
      <c r="H161" s="24" t="n">
        <v>3</v>
      </c>
      <c r="I161" s="24" t="n">
        <v>2</v>
      </c>
      <c r="J161" s="24" t="n">
        <v>5</v>
      </c>
      <c r="K161" s="24" t="n">
        <v>2</v>
      </c>
      <c r="L161" s="37" t="n">
        <f aca="false">IF(F161="N/A","",IF(COUNT(H161:K161)=0,"",IF(Config!$C$19="Highest dimension",MAX(H161:K161),ROUND(H161*Config!$C$20+I161*Config!$C$21+J161*Config!$C$22+K161*Config!$C$23,1))))</f>
        <v>5</v>
      </c>
      <c r="M161" s="38" t="n">
        <f aca="false">IF(OR(L161="",G161=""),"",G161*L161)</f>
        <v>15</v>
      </c>
      <c r="N161" s="31" t="n">
        <f aca="false">IF(M161="","",MATCH(M161,Config!$E$5:$E$9,1))</f>
        <v>4</v>
      </c>
      <c r="O161" s="7" t="str">
        <f aca="false">IF(F161="N/A","N/A",IF(N161="","Not assessed",INDEX(Config!$B$5:$B$9,N161)))</f>
        <v>Medium-High</v>
      </c>
      <c r="P161" s="32" t="n">
        <v>0</v>
      </c>
      <c r="Q161" s="8"/>
      <c r="R161" s="33"/>
      <c r="S161" s="34" t="n">
        <f aca="false">IF(N161="","",IF(AND(R161="Y",P161&lt;&gt;0),MAX(1,MIN(5,N161+MAX(-Config!$C$27,MIN(Config!$C$27,P161)))),N161))</f>
        <v>4</v>
      </c>
      <c r="T161" s="35" t="str">
        <f aca="false">IF(F161="N/A","N/A",IF(S161="","Not assessed",INDEX(Config!$B$5:$B$9,S161)))</f>
        <v>Medium-High</v>
      </c>
      <c r="U161" s="7" t="str">
        <f aca="false">IF(P161=0,"None",IF(R161="Y","Applied","Pending HO approval"))</f>
        <v>None</v>
      </c>
      <c r="V161" s="8"/>
    </row>
    <row r="162" customFormat="false" ht="15" hidden="false" customHeight="false" outlineLevel="0" collapsed="false">
      <c r="A162" s="26" t="str">
        <f aca="false">Entities!$A$17</f>
        <v>SA</v>
      </c>
      <c r="B162" s="12" t="str">
        <f aca="false">INDEX(Entities!$B$5:$B$34,MATCH(A162,Entities!$A$5:$A$34,0))</f>
        <v>Arab National Bank (affiliate)</v>
      </c>
      <c r="C162" s="12" t="str">
        <f aca="false">INDEX(Entities!$D$5:$D$34,MATCH(A162,Entities!$A$5:$A$34,0))</f>
        <v>GCC</v>
      </c>
      <c r="D162" s="12" t="s">
        <v>261</v>
      </c>
      <c r="E162" s="12" t="str">
        <f aca="false">INDEX('Risk Taxonomy'!$B$5:$B$24,MATCH(D162,'Risk Taxonomy'!$A$5:$A$24,0))</f>
        <v>Conduct and consumer protection</v>
      </c>
      <c r="F162" s="7" t="str">
        <f aca="false">IF(D162="RC-04",IF(INDEX(Entities!$G$5:$G$34,MATCH(A162,Entities!$A$5:$A$34,0))="Y","Yes","N/A"),"Yes")</f>
        <v>Yes</v>
      </c>
      <c r="G162" s="24" t="n">
        <v>3</v>
      </c>
      <c r="H162" s="24" t="n">
        <v>4</v>
      </c>
      <c r="I162" s="24" t="n">
        <v>5</v>
      </c>
      <c r="J162" s="24" t="n">
        <v>1</v>
      </c>
      <c r="K162" s="24" t="n">
        <v>3</v>
      </c>
      <c r="L162" s="37" t="n">
        <f aca="false">IF(F162="N/A","",IF(COUNT(H162:K162)=0,"",IF(Config!$C$19="Highest dimension",MAX(H162:K162),ROUND(H162*Config!$C$20+I162*Config!$C$21+J162*Config!$C$22+K162*Config!$C$23,1))))</f>
        <v>5</v>
      </c>
      <c r="M162" s="38" t="n">
        <f aca="false">IF(OR(L162="",G162=""),"",G162*L162)</f>
        <v>15</v>
      </c>
      <c r="N162" s="31" t="n">
        <f aca="false">IF(M162="","",MATCH(M162,Config!$E$5:$E$9,1))</f>
        <v>4</v>
      </c>
      <c r="O162" s="7" t="str">
        <f aca="false">IF(F162="N/A","N/A",IF(N162="","Not assessed",INDEX(Config!$B$5:$B$9,N162)))</f>
        <v>Medium-High</v>
      </c>
      <c r="P162" s="32" t="n">
        <v>0</v>
      </c>
      <c r="Q162" s="8"/>
      <c r="R162" s="33"/>
      <c r="S162" s="34" t="n">
        <f aca="false">IF(N162="","",IF(AND(R162="Y",P162&lt;&gt;0),MAX(1,MIN(5,N162+MAX(-Config!$C$27,MIN(Config!$C$27,P162)))),N162))</f>
        <v>4</v>
      </c>
      <c r="T162" s="35" t="str">
        <f aca="false">IF(F162="N/A","N/A",IF(S162="","Not assessed",INDEX(Config!$B$5:$B$9,S162)))</f>
        <v>Medium-High</v>
      </c>
      <c r="U162" s="7" t="str">
        <f aca="false">IF(P162=0,"None",IF(R162="Y","Applied","Pending HO approval"))</f>
        <v>None</v>
      </c>
      <c r="V162" s="8"/>
    </row>
    <row r="163" customFormat="false" ht="15" hidden="false" customHeight="false" outlineLevel="0" collapsed="false">
      <c r="A163" s="26" t="str">
        <f aca="false">Entities!$A$17</f>
        <v>SA</v>
      </c>
      <c r="B163" s="12" t="str">
        <f aca="false">INDEX(Entities!$B$5:$B$34,MATCH(A163,Entities!$A$5:$A$34,0))</f>
        <v>Arab National Bank (affiliate)</v>
      </c>
      <c r="C163" s="12" t="str">
        <f aca="false">INDEX(Entities!$D$5:$D$34,MATCH(A163,Entities!$A$5:$A$34,0))</f>
        <v>GCC</v>
      </c>
      <c r="D163" s="12" t="s">
        <v>263</v>
      </c>
      <c r="E163" s="12" t="str">
        <f aca="false">INDEX('Risk Taxonomy'!$B$5:$B$24,MATCH(D163,'Risk Taxonomy'!$A$5:$A$24,0))</f>
        <v>Data protection and privacy</v>
      </c>
      <c r="F163" s="7" t="str">
        <f aca="false">IF(D163="RC-04",IF(INDEX(Entities!$G$5:$G$34,MATCH(A163,Entities!$A$5:$A$34,0))="Y","Yes","N/A"),"Yes")</f>
        <v>Yes</v>
      </c>
      <c r="G163" s="24" t="n">
        <v>2</v>
      </c>
      <c r="H163" s="24" t="n">
        <v>3</v>
      </c>
      <c r="I163" s="24" t="n">
        <v>3</v>
      </c>
      <c r="J163" s="24" t="n">
        <v>3</v>
      </c>
      <c r="K163" s="24" t="n">
        <v>3</v>
      </c>
      <c r="L163" s="37" t="n">
        <f aca="false">IF(F163="N/A","",IF(COUNT(H163:K163)=0,"",IF(Config!$C$19="Highest dimension",MAX(H163:K163),ROUND(H163*Config!$C$20+I163*Config!$C$21+J163*Config!$C$22+K163*Config!$C$23,1))))</f>
        <v>3</v>
      </c>
      <c r="M163" s="38" t="n">
        <f aca="false">IF(OR(L163="",G163=""),"",G163*L163)</f>
        <v>6</v>
      </c>
      <c r="N163" s="31" t="n">
        <f aca="false">IF(M163="","",MATCH(M163,Config!$E$5:$E$9,1))</f>
        <v>2</v>
      </c>
      <c r="O163" s="7" t="str">
        <f aca="false">IF(F163="N/A","N/A",IF(N163="","Not assessed",INDEX(Config!$B$5:$B$9,N163)))</f>
        <v>Medium-Low</v>
      </c>
      <c r="P163" s="32" t="n">
        <v>0</v>
      </c>
      <c r="Q163" s="8"/>
      <c r="R163" s="33"/>
      <c r="S163" s="34" t="n">
        <f aca="false">IF(N163="","",IF(AND(R163="Y",P163&lt;&gt;0),MAX(1,MIN(5,N163+MAX(-Config!$C$27,MIN(Config!$C$27,P163)))),N163))</f>
        <v>2</v>
      </c>
      <c r="T163" s="35" t="str">
        <f aca="false">IF(F163="N/A","N/A",IF(S163="","Not assessed",INDEX(Config!$B$5:$B$9,S163)))</f>
        <v>Medium-Low</v>
      </c>
      <c r="U163" s="7" t="str">
        <f aca="false">IF(P163=0,"None",IF(R163="Y","Applied","Pending HO approval"))</f>
        <v>None</v>
      </c>
      <c r="V163" s="8"/>
    </row>
    <row r="164" customFormat="false" ht="15" hidden="false" customHeight="false" outlineLevel="0" collapsed="false">
      <c r="A164" s="26" t="str">
        <f aca="false">Entities!$A$17</f>
        <v>SA</v>
      </c>
      <c r="B164" s="12" t="str">
        <f aca="false">INDEX(Entities!$B$5:$B$34,MATCH(A164,Entities!$A$5:$A$34,0))</f>
        <v>Arab National Bank (affiliate)</v>
      </c>
      <c r="C164" s="12" t="str">
        <f aca="false">INDEX(Entities!$D$5:$D$34,MATCH(A164,Entities!$A$5:$A$34,0))</f>
        <v>GCC</v>
      </c>
      <c r="D164" s="12" t="s">
        <v>266</v>
      </c>
      <c r="E164" s="12" t="str">
        <f aca="false">INDEX('Risk Taxonomy'!$B$5:$B$24,MATCH(D164,'Risk Taxonomy'!$A$5:$A$24,0))</f>
        <v>Shariah non-compliance</v>
      </c>
      <c r="F164" s="7" t="str">
        <f aca="false">IF(D164="RC-04",IF(INDEX(Entities!$G$5:$G$34,MATCH(A164,Entities!$A$5:$A$34,0))="Y","Yes","N/A"),"Yes")</f>
        <v>N/A</v>
      </c>
      <c r="G164" s="24"/>
      <c r="H164" s="24"/>
      <c r="I164" s="24"/>
      <c r="J164" s="24"/>
      <c r="K164" s="24"/>
      <c r="L164" s="37" t="str">
        <f aca="false">IF(F164="N/A","",IF(COUNT(H164:K164)=0,"",IF(Config!$C$19="Highest dimension",MAX(H164:K164),ROUND(H164*Config!$C$20+I164*Config!$C$21+J164*Config!$C$22+K164*Config!$C$23,1))))</f>
        <v/>
      </c>
      <c r="M164" s="38" t="str">
        <f aca="false">IF(OR(L164="",G164=""),"",G164*L164)</f>
        <v/>
      </c>
      <c r="N164" s="31" t="str">
        <f aca="false">IF(M164="","",MATCH(M164,Config!$E$5:$E$9,1))</f>
        <v/>
      </c>
      <c r="O164" s="7" t="str">
        <f aca="false">IF(F164="N/A","N/A",IF(N164="","Not assessed",INDEX(Config!$B$5:$B$9,N164)))</f>
        <v>N/A</v>
      </c>
      <c r="P164" s="32" t="n">
        <v>0</v>
      </c>
      <c r="Q164" s="8"/>
      <c r="R164" s="33"/>
      <c r="S164" s="34" t="str">
        <f aca="false">IF(N164="","",IF(AND(R164="Y",P164&lt;&gt;0),MAX(1,MIN(5,N164+MAX(-Config!$C$27,MIN(Config!$C$27,P164)))),N164))</f>
        <v/>
      </c>
      <c r="T164" s="35" t="str">
        <f aca="false">IF(F164="N/A","N/A",IF(S164="","Not assessed",INDEX(Config!$B$5:$B$9,S164)))</f>
        <v>N/A</v>
      </c>
      <c r="U164" s="7" t="str">
        <f aca="false">IF(P164=0,"None",IF(R164="Y","Applied","Pending HO approval"))</f>
        <v>None</v>
      </c>
      <c r="V164" s="8"/>
    </row>
    <row r="165" customFormat="false" ht="15" hidden="false" customHeight="false" outlineLevel="0" collapsed="false">
      <c r="A165" s="26" t="str">
        <f aca="false">Entities!$A$17</f>
        <v>SA</v>
      </c>
      <c r="B165" s="12" t="str">
        <f aca="false">INDEX(Entities!$B$5:$B$34,MATCH(A165,Entities!$A$5:$A$34,0))</f>
        <v>Arab National Bank (affiliate)</v>
      </c>
      <c r="C165" s="12" t="str">
        <f aca="false">INDEX(Entities!$D$5:$D$34,MATCH(A165,Entities!$A$5:$A$34,0))</f>
        <v>GCC</v>
      </c>
      <c r="D165" s="12" t="s">
        <v>270</v>
      </c>
      <c r="E165" s="12" t="str">
        <f aca="false">INDEX('Risk Taxonomy'!$B$5:$B$24,MATCH(D165,'Risk Taxonomy'!$A$5:$A$24,0))</f>
        <v>Credit risk</v>
      </c>
      <c r="F165" s="7" t="str">
        <f aca="false">IF(D165="RC-04",IF(INDEX(Entities!$G$5:$G$34,MATCH(A165,Entities!$A$5:$A$34,0))="Y","Yes","N/A"),"Yes")</f>
        <v>Yes</v>
      </c>
      <c r="G165" s="24" t="n">
        <v>2</v>
      </c>
      <c r="H165" s="24" t="n">
        <v>3</v>
      </c>
      <c r="I165" s="24" t="n">
        <v>2</v>
      </c>
      <c r="J165" s="24" t="n">
        <v>3</v>
      </c>
      <c r="K165" s="24" t="n">
        <v>3</v>
      </c>
      <c r="L165" s="37" t="n">
        <f aca="false">IF(F165="N/A","",IF(COUNT(H165:K165)=0,"",IF(Config!$C$19="Highest dimension",MAX(H165:K165),ROUND(H165*Config!$C$20+I165*Config!$C$21+J165*Config!$C$22+K165*Config!$C$23,1))))</f>
        <v>3</v>
      </c>
      <c r="M165" s="38" t="n">
        <f aca="false">IF(OR(L165="",G165=""),"",G165*L165)</f>
        <v>6</v>
      </c>
      <c r="N165" s="31" t="n">
        <f aca="false">IF(M165="","",MATCH(M165,Config!$E$5:$E$9,1))</f>
        <v>2</v>
      </c>
      <c r="O165" s="7" t="str">
        <f aca="false">IF(F165="N/A","N/A",IF(N165="","Not assessed",INDEX(Config!$B$5:$B$9,N165)))</f>
        <v>Medium-Low</v>
      </c>
      <c r="P165" s="32" t="n">
        <v>0</v>
      </c>
      <c r="Q165" s="8"/>
      <c r="R165" s="33"/>
      <c r="S165" s="34" t="n">
        <f aca="false">IF(N165="","",IF(AND(R165="Y",P165&lt;&gt;0),MAX(1,MIN(5,N165+MAX(-Config!$C$27,MIN(Config!$C$27,P165)))),N165))</f>
        <v>2</v>
      </c>
      <c r="T165" s="35" t="str">
        <f aca="false">IF(F165="N/A","N/A",IF(S165="","Not assessed",INDEX(Config!$B$5:$B$9,S165)))</f>
        <v>Medium-Low</v>
      </c>
      <c r="U165" s="7" t="str">
        <f aca="false">IF(P165=0,"None",IF(R165="Y","Applied","Pending HO approval"))</f>
        <v>None</v>
      </c>
      <c r="V165" s="8"/>
    </row>
    <row r="166" customFormat="false" ht="15" hidden="false" customHeight="false" outlineLevel="0" collapsed="false">
      <c r="A166" s="26" t="str">
        <f aca="false">Entities!$A$17</f>
        <v>SA</v>
      </c>
      <c r="B166" s="12" t="str">
        <f aca="false">INDEX(Entities!$B$5:$B$34,MATCH(A166,Entities!$A$5:$A$34,0))</f>
        <v>Arab National Bank (affiliate)</v>
      </c>
      <c r="C166" s="12" t="str">
        <f aca="false">INDEX(Entities!$D$5:$D$34,MATCH(A166,Entities!$A$5:$A$34,0))</f>
        <v>GCC</v>
      </c>
      <c r="D166" s="12" t="s">
        <v>275</v>
      </c>
      <c r="E166" s="12" t="str">
        <f aca="false">INDEX('Risk Taxonomy'!$B$5:$B$24,MATCH(D166,'Risk Taxonomy'!$A$5:$A$24,0))</f>
        <v>Market risk</v>
      </c>
      <c r="F166" s="7" t="str">
        <f aca="false">IF(D166="RC-04",IF(INDEX(Entities!$G$5:$G$34,MATCH(A166,Entities!$A$5:$A$34,0))="Y","Yes","N/A"),"Yes")</f>
        <v>Yes</v>
      </c>
      <c r="G166" s="24" t="n">
        <v>3</v>
      </c>
      <c r="H166" s="24" t="n">
        <v>3</v>
      </c>
      <c r="I166" s="24" t="n">
        <v>3</v>
      </c>
      <c r="J166" s="24" t="n">
        <v>2</v>
      </c>
      <c r="K166" s="24" t="n">
        <v>3</v>
      </c>
      <c r="L166" s="37" t="n">
        <f aca="false">IF(F166="N/A","",IF(COUNT(H166:K166)=0,"",IF(Config!$C$19="Highest dimension",MAX(H166:K166),ROUND(H166*Config!$C$20+I166*Config!$C$21+J166*Config!$C$22+K166*Config!$C$23,1))))</f>
        <v>3</v>
      </c>
      <c r="M166" s="38" t="n">
        <f aca="false">IF(OR(L166="",G166=""),"",G166*L166)</f>
        <v>9</v>
      </c>
      <c r="N166" s="31" t="n">
        <f aca="false">IF(M166="","",MATCH(M166,Config!$E$5:$E$9,1))</f>
        <v>3</v>
      </c>
      <c r="O166" s="7" t="str">
        <f aca="false">IF(F166="N/A","N/A",IF(N166="","Not assessed",INDEX(Config!$B$5:$B$9,N166)))</f>
        <v>Medium</v>
      </c>
      <c r="P166" s="32" t="n">
        <v>0</v>
      </c>
      <c r="Q166" s="8"/>
      <c r="R166" s="33"/>
      <c r="S166" s="34" t="n">
        <f aca="false">IF(N166="","",IF(AND(R166="Y",P166&lt;&gt;0),MAX(1,MIN(5,N166+MAX(-Config!$C$27,MIN(Config!$C$27,P166)))),N166))</f>
        <v>3</v>
      </c>
      <c r="T166" s="35" t="str">
        <f aca="false">IF(F166="N/A","N/A",IF(S166="","Not assessed",INDEX(Config!$B$5:$B$9,S166)))</f>
        <v>Medium</v>
      </c>
      <c r="U166" s="7" t="str">
        <f aca="false">IF(P166=0,"None",IF(R166="Y","Applied","Pending HO approval"))</f>
        <v>None</v>
      </c>
      <c r="V166" s="8"/>
    </row>
    <row r="167" customFormat="false" ht="15" hidden="false" customHeight="false" outlineLevel="0" collapsed="false">
      <c r="A167" s="26" t="str">
        <f aca="false">Entities!$A$17</f>
        <v>SA</v>
      </c>
      <c r="B167" s="12" t="str">
        <f aca="false">INDEX(Entities!$B$5:$B$34,MATCH(A167,Entities!$A$5:$A$34,0))</f>
        <v>Arab National Bank (affiliate)</v>
      </c>
      <c r="C167" s="12" t="str">
        <f aca="false">INDEX(Entities!$D$5:$D$34,MATCH(A167,Entities!$A$5:$A$34,0))</f>
        <v>GCC</v>
      </c>
      <c r="D167" s="12" t="s">
        <v>277</v>
      </c>
      <c r="E167" s="12" t="str">
        <f aca="false">INDEX('Risk Taxonomy'!$B$5:$B$24,MATCH(D167,'Risk Taxonomy'!$A$5:$A$24,0))</f>
        <v>Liquidity and funding risk</v>
      </c>
      <c r="F167" s="7" t="str">
        <f aca="false">IF(D167="RC-04",IF(INDEX(Entities!$G$5:$G$34,MATCH(A167,Entities!$A$5:$A$34,0))="Y","Yes","N/A"),"Yes")</f>
        <v>Yes</v>
      </c>
      <c r="G167" s="24" t="n">
        <v>5</v>
      </c>
      <c r="H167" s="24" t="n">
        <v>1</v>
      </c>
      <c r="I167" s="24" t="n">
        <v>3</v>
      </c>
      <c r="J167" s="24" t="n">
        <v>2</v>
      </c>
      <c r="K167" s="24" t="n">
        <v>3</v>
      </c>
      <c r="L167" s="37" t="n">
        <f aca="false">IF(F167="N/A","",IF(COUNT(H167:K167)=0,"",IF(Config!$C$19="Highest dimension",MAX(H167:K167),ROUND(H167*Config!$C$20+I167*Config!$C$21+J167*Config!$C$22+K167*Config!$C$23,1))))</f>
        <v>3</v>
      </c>
      <c r="M167" s="38" t="n">
        <f aca="false">IF(OR(L167="",G167=""),"",G167*L167)</f>
        <v>15</v>
      </c>
      <c r="N167" s="31" t="n">
        <f aca="false">IF(M167="","",MATCH(M167,Config!$E$5:$E$9,1))</f>
        <v>4</v>
      </c>
      <c r="O167" s="7" t="str">
        <f aca="false">IF(F167="N/A","N/A",IF(N167="","Not assessed",INDEX(Config!$B$5:$B$9,N167)))</f>
        <v>Medium-High</v>
      </c>
      <c r="P167" s="32" t="n">
        <v>0</v>
      </c>
      <c r="Q167" s="8"/>
      <c r="R167" s="33"/>
      <c r="S167" s="34" t="n">
        <f aca="false">IF(N167="","",IF(AND(R167="Y",P167&lt;&gt;0),MAX(1,MIN(5,N167+MAX(-Config!$C$27,MIN(Config!$C$27,P167)))),N167))</f>
        <v>4</v>
      </c>
      <c r="T167" s="35" t="str">
        <f aca="false">IF(F167="N/A","N/A",IF(S167="","Not assessed",INDEX(Config!$B$5:$B$9,S167)))</f>
        <v>Medium-High</v>
      </c>
      <c r="U167" s="7" t="str">
        <f aca="false">IF(P167=0,"None",IF(R167="Y","Applied","Pending HO approval"))</f>
        <v>None</v>
      </c>
      <c r="V167" s="8"/>
    </row>
    <row r="168" customFormat="false" ht="15" hidden="false" customHeight="false" outlineLevel="0" collapsed="false">
      <c r="A168" s="26" t="str">
        <f aca="false">Entities!$A$17</f>
        <v>SA</v>
      </c>
      <c r="B168" s="12" t="str">
        <f aca="false">INDEX(Entities!$B$5:$B$34,MATCH(A168,Entities!$A$5:$A$34,0))</f>
        <v>Arab National Bank (affiliate)</v>
      </c>
      <c r="C168" s="12" t="str">
        <f aca="false">INDEX(Entities!$D$5:$D$34,MATCH(A168,Entities!$A$5:$A$34,0))</f>
        <v>GCC</v>
      </c>
      <c r="D168" s="12" t="s">
        <v>280</v>
      </c>
      <c r="E168" s="12" t="str">
        <f aca="false">INDEX('Risk Taxonomy'!$B$5:$B$24,MATCH(D168,'Risk Taxonomy'!$A$5:$A$24,0))</f>
        <v>Operational risk</v>
      </c>
      <c r="F168" s="7" t="str">
        <f aca="false">IF(D168="RC-04",IF(INDEX(Entities!$G$5:$G$34,MATCH(A168,Entities!$A$5:$A$34,0))="Y","Yes","N/A"),"Yes")</f>
        <v>Yes</v>
      </c>
      <c r="G168" s="24" t="n">
        <v>3</v>
      </c>
      <c r="H168" s="24" t="n">
        <v>4</v>
      </c>
      <c r="I168" s="24" t="n">
        <v>2</v>
      </c>
      <c r="J168" s="24" t="n">
        <v>2</v>
      </c>
      <c r="K168" s="24" t="n">
        <v>2</v>
      </c>
      <c r="L168" s="37" t="n">
        <f aca="false">IF(F168="N/A","",IF(COUNT(H168:K168)=0,"",IF(Config!$C$19="Highest dimension",MAX(H168:K168),ROUND(H168*Config!$C$20+I168*Config!$C$21+J168*Config!$C$22+K168*Config!$C$23,1))))</f>
        <v>4</v>
      </c>
      <c r="M168" s="38" t="n">
        <f aca="false">IF(OR(L168="",G168=""),"",G168*L168)</f>
        <v>12</v>
      </c>
      <c r="N168" s="31" t="n">
        <f aca="false">IF(M168="","",MATCH(M168,Config!$E$5:$E$9,1))</f>
        <v>3</v>
      </c>
      <c r="O168" s="7" t="str">
        <f aca="false">IF(F168="N/A","N/A",IF(N168="","Not assessed",INDEX(Config!$B$5:$B$9,N168)))</f>
        <v>Medium</v>
      </c>
      <c r="P168" s="32" t="n">
        <v>0</v>
      </c>
      <c r="Q168" s="8"/>
      <c r="R168" s="33"/>
      <c r="S168" s="34" t="n">
        <f aca="false">IF(N168="","",IF(AND(R168="Y",P168&lt;&gt;0),MAX(1,MIN(5,N168+MAX(-Config!$C$27,MIN(Config!$C$27,P168)))),N168))</f>
        <v>3</v>
      </c>
      <c r="T168" s="35" t="str">
        <f aca="false">IF(F168="N/A","N/A",IF(S168="","Not assessed",INDEX(Config!$B$5:$B$9,S168)))</f>
        <v>Medium</v>
      </c>
      <c r="U168" s="7" t="str">
        <f aca="false">IF(P168=0,"None",IF(R168="Y","Applied","Pending HO approval"))</f>
        <v>None</v>
      </c>
      <c r="V168" s="8"/>
    </row>
    <row r="169" customFormat="false" ht="15" hidden="false" customHeight="false" outlineLevel="0" collapsed="false">
      <c r="A169" s="26" t="str">
        <f aca="false">Entities!$A$17</f>
        <v>SA</v>
      </c>
      <c r="B169" s="12" t="str">
        <f aca="false">INDEX(Entities!$B$5:$B$34,MATCH(A169,Entities!$A$5:$A$34,0))</f>
        <v>Arab National Bank (affiliate)</v>
      </c>
      <c r="C169" s="12" t="str">
        <f aca="false">INDEX(Entities!$D$5:$D$34,MATCH(A169,Entities!$A$5:$A$34,0))</f>
        <v>GCC</v>
      </c>
      <c r="D169" s="12" t="s">
        <v>283</v>
      </c>
      <c r="E169" s="12" t="str">
        <f aca="false">INDEX('Risk Taxonomy'!$B$5:$B$24,MATCH(D169,'Risk Taxonomy'!$A$5:$A$24,0))</f>
        <v>Cyber, information security and technology</v>
      </c>
      <c r="F169" s="7" t="str">
        <f aca="false">IF(D169="RC-04",IF(INDEX(Entities!$G$5:$G$34,MATCH(A169,Entities!$A$5:$A$34,0))="Y","Yes","N/A"),"Yes")</f>
        <v>Yes</v>
      </c>
      <c r="G169" s="24" t="n">
        <v>3</v>
      </c>
      <c r="H169" s="24" t="n">
        <v>2</v>
      </c>
      <c r="I169" s="24" t="n">
        <v>3</v>
      </c>
      <c r="J169" s="24" t="n">
        <v>3</v>
      </c>
      <c r="K169" s="24" t="n">
        <v>2</v>
      </c>
      <c r="L169" s="37" t="n">
        <f aca="false">IF(F169="N/A","",IF(COUNT(H169:K169)=0,"",IF(Config!$C$19="Highest dimension",MAX(H169:K169),ROUND(H169*Config!$C$20+I169*Config!$C$21+J169*Config!$C$22+K169*Config!$C$23,1))))</f>
        <v>3</v>
      </c>
      <c r="M169" s="38" t="n">
        <f aca="false">IF(OR(L169="",G169=""),"",G169*L169)</f>
        <v>9</v>
      </c>
      <c r="N169" s="31" t="n">
        <f aca="false">IF(M169="","",MATCH(M169,Config!$E$5:$E$9,1))</f>
        <v>3</v>
      </c>
      <c r="O169" s="7" t="str">
        <f aca="false">IF(F169="N/A","N/A",IF(N169="","Not assessed",INDEX(Config!$B$5:$B$9,N169)))</f>
        <v>Medium</v>
      </c>
      <c r="P169" s="32" t="n">
        <v>0</v>
      </c>
      <c r="Q169" s="8"/>
      <c r="R169" s="33"/>
      <c r="S169" s="34" t="n">
        <f aca="false">IF(N169="","",IF(AND(R169="Y",P169&lt;&gt;0),MAX(1,MIN(5,N169+MAX(-Config!$C$27,MIN(Config!$C$27,P169)))),N169))</f>
        <v>3</v>
      </c>
      <c r="T169" s="35" t="str">
        <f aca="false">IF(F169="N/A","N/A",IF(S169="","Not assessed",INDEX(Config!$B$5:$B$9,S169)))</f>
        <v>Medium</v>
      </c>
      <c r="U169" s="7" t="str">
        <f aca="false">IF(P169=0,"None",IF(R169="Y","Applied","Pending HO approval"))</f>
        <v>None</v>
      </c>
      <c r="V169" s="8"/>
    </row>
    <row r="170" customFormat="false" ht="15" hidden="false" customHeight="false" outlineLevel="0" collapsed="false">
      <c r="A170" s="26" t="str">
        <f aca="false">Entities!$A$17</f>
        <v>SA</v>
      </c>
      <c r="B170" s="12" t="str">
        <f aca="false">INDEX(Entities!$B$5:$B$34,MATCH(A170,Entities!$A$5:$A$34,0))</f>
        <v>Arab National Bank (affiliate)</v>
      </c>
      <c r="C170" s="12" t="str">
        <f aca="false">INDEX(Entities!$D$5:$D$34,MATCH(A170,Entities!$A$5:$A$34,0))</f>
        <v>GCC</v>
      </c>
      <c r="D170" s="12" t="s">
        <v>286</v>
      </c>
      <c r="E170" s="12" t="str">
        <f aca="false">INDEX('Risk Taxonomy'!$B$5:$B$24,MATCH(D170,'Risk Taxonomy'!$A$5:$A$24,0))</f>
        <v>Third-party and outsourcing</v>
      </c>
      <c r="F170" s="7" t="str">
        <f aca="false">IF(D170="RC-04",IF(INDEX(Entities!$G$5:$G$34,MATCH(A170,Entities!$A$5:$A$34,0))="Y","Yes","N/A"),"Yes")</f>
        <v>Yes</v>
      </c>
      <c r="G170" s="24" t="n">
        <v>3</v>
      </c>
      <c r="H170" s="24" t="n">
        <v>2</v>
      </c>
      <c r="I170" s="24" t="n">
        <v>3</v>
      </c>
      <c r="J170" s="24" t="n">
        <v>2</v>
      </c>
      <c r="K170" s="24" t="n">
        <v>3</v>
      </c>
      <c r="L170" s="37" t="n">
        <f aca="false">IF(F170="N/A","",IF(COUNT(H170:K170)=0,"",IF(Config!$C$19="Highest dimension",MAX(H170:K170),ROUND(H170*Config!$C$20+I170*Config!$C$21+J170*Config!$C$22+K170*Config!$C$23,1))))</f>
        <v>3</v>
      </c>
      <c r="M170" s="38" t="n">
        <f aca="false">IF(OR(L170="",G170=""),"",G170*L170)</f>
        <v>9</v>
      </c>
      <c r="N170" s="31" t="n">
        <f aca="false">IF(M170="","",MATCH(M170,Config!$E$5:$E$9,1))</f>
        <v>3</v>
      </c>
      <c r="O170" s="7" t="str">
        <f aca="false">IF(F170="N/A","N/A",IF(N170="","Not assessed",INDEX(Config!$B$5:$B$9,N170)))</f>
        <v>Medium</v>
      </c>
      <c r="P170" s="32" t="n">
        <v>0</v>
      </c>
      <c r="Q170" s="8"/>
      <c r="R170" s="33"/>
      <c r="S170" s="34" t="n">
        <f aca="false">IF(N170="","",IF(AND(R170="Y",P170&lt;&gt;0),MAX(1,MIN(5,N170+MAX(-Config!$C$27,MIN(Config!$C$27,P170)))),N170))</f>
        <v>3</v>
      </c>
      <c r="T170" s="35" t="str">
        <f aca="false">IF(F170="N/A","N/A",IF(S170="","Not assessed",INDEX(Config!$B$5:$B$9,S170)))</f>
        <v>Medium</v>
      </c>
      <c r="U170" s="7" t="str">
        <f aca="false">IF(P170=0,"None",IF(R170="Y","Applied","Pending HO approval"))</f>
        <v>None</v>
      </c>
      <c r="V170" s="8"/>
    </row>
    <row r="171" customFormat="false" ht="15" hidden="false" customHeight="false" outlineLevel="0" collapsed="false">
      <c r="A171" s="26" t="str">
        <f aca="false">Entities!$A$17</f>
        <v>SA</v>
      </c>
      <c r="B171" s="12" t="str">
        <f aca="false">INDEX(Entities!$B$5:$B$34,MATCH(A171,Entities!$A$5:$A$34,0))</f>
        <v>Arab National Bank (affiliate)</v>
      </c>
      <c r="C171" s="12" t="str">
        <f aca="false">INDEX(Entities!$D$5:$D$34,MATCH(A171,Entities!$A$5:$A$34,0))</f>
        <v>GCC</v>
      </c>
      <c r="D171" s="12" t="s">
        <v>289</v>
      </c>
      <c r="E171" s="12" t="str">
        <f aca="false">INDEX('Risk Taxonomy'!$B$5:$B$24,MATCH(D171,'Risk Taxonomy'!$A$5:$A$24,0))</f>
        <v>Legal and litigation</v>
      </c>
      <c r="F171" s="7" t="str">
        <f aca="false">IF(D171="RC-04",IF(INDEX(Entities!$G$5:$G$34,MATCH(A171,Entities!$A$5:$A$34,0))="Y","Yes","N/A"),"Yes")</f>
        <v>Yes</v>
      </c>
      <c r="G171" s="24" t="n">
        <v>1</v>
      </c>
      <c r="H171" s="24" t="n">
        <v>3</v>
      </c>
      <c r="I171" s="24" t="n">
        <v>3</v>
      </c>
      <c r="J171" s="24" t="n">
        <v>2</v>
      </c>
      <c r="K171" s="24" t="n">
        <v>3</v>
      </c>
      <c r="L171" s="37" t="n">
        <f aca="false">IF(F171="N/A","",IF(COUNT(H171:K171)=0,"",IF(Config!$C$19="Highest dimension",MAX(H171:K171),ROUND(H171*Config!$C$20+I171*Config!$C$21+J171*Config!$C$22+K171*Config!$C$23,1))))</f>
        <v>3</v>
      </c>
      <c r="M171" s="38" t="n">
        <f aca="false">IF(OR(L171="",G171=""),"",G171*L171)</f>
        <v>3</v>
      </c>
      <c r="N171" s="31" t="n">
        <f aca="false">IF(M171="","",MATCH(M171,Config!$E$5:$E$9,1))</f>
        <v>1</v>
      </c>
      <c r="O171" s="7" t="str">
        <f aca="false">IF(F171="N/A","N/A",IF(N171="","Not assessed",INDEX(Config!$B$5:$B$9,N171)))</f>
        <v>Low</v>
      </c>
      <c r="P171" s="32" t="n">
        <v>0</v>
      </c>
      <c r="Q171" s="8"/>
      <c r="R171" s="33"/>
      <c r="S171" s="34" t="n">
        <f aca="false">IF(N171="","",IF(AND(R171="Y",P171&lt;&gt;0),MAX(1,MIN(5,N171+MAX(-Config!$C$27,MIN(Config!$C$27,P171)))),N171))</f>
        <v>1</v>
      </c>
      <c r="T171" s="35" t="str">
        <f aca="false">IF(F171="N/A","N/A",IF(S171="","Not assessed",INDEX(Config!$B$5:$B$9,S171)))</f>
        <v>Low</v>
      </c>
      <c r="U171" s="7" t="str">
        <f aca="false">IF(P171=0,"None",IF(R171="Y","Applied","Pending HO approval"))</f>
        <v>None</v>
      </c>
      <c r="V171" s="8"/>
    </row>
    <row r="172" customFormat="false" ht="15" hidden="false" customHeight="false" outlineLevel="0" collapsed="false">
      <c r="A172" s="26" t="str">
        <f aca="false">Entities!$A$17</f>
        <v>SA</v>
      </c>
      <c r="B172" s="12" t="str">
        <f aca="false">INDEX(Entities!$B$5:$B$34,MATCH(A172,Entities!$A$5:$A$34,0))</f>
        <v>Arab National Bank (affiliate)</v>
      </c>
      <c r="C172" s="12" t="str">
        <f aca="false">INDEX(Entities!$D$5:$D$34,MATCH(A172,Entities!$A$5:$A$34,0))</f>
        <v>GCC</v>
      </c>
      <c r="D172" s="12" t="s">
        <v>292</v>
      </c>
      <c r="E172" s="12" t="str">
        <f aca="false">INDEX('Risk Taxonomy'!$B$5:$B$24,MATCH(D172,'Risk Taxonomy'!$A$5:$A$24,0))</f>
        <v>Reputational</v>
      </c>
      <c r="F172" s="7" t="str">
        <f aca="false">IF(D172="RC-04",IF(INDEX(Entities!$G$5:$G$34,MATCH(A172,Entities!$A$5:$A$34,0))="Y","Yes","N/A"),"Yes")</f>
        <v>Yes</v>
      </c>
      <c r="G172" s="24" t="n">
        <v>2</v>
      </c>
      <c r="H172" s="24" t="n">
        <v>3</v>
      </c>
      <c r="I172" s="24" t="n">
        <v>2</v>
      </c>
      <c r="J172" s="24" t="n">
        <v>3</v>
      </c>
      <c r="K172" s="24" t="n">
        <v>1</v>
      </c>
      <c r="L172" s="37" t="n">
        <f aca="false">IF(F172="N/A","",IF(COUNT(H172:K172)=0,"",IF(Config!$C$19="Highest dimension",MAX(H172:K172),ROUND(H172*Config!$C$20+I172*Config!$C$21+J172*Config!$C$22+K172*Config!$C$23,1))))</f>
        <v>3</v>
      </c>
      <c r="M172" s="38" t="n">
        <f aca="false">IF(OR(L172="",G172=""),"",G172*L172)</f>
        <v>6</v>
      </c>
      <c r="N172" s="31" t="n">
        <f aca="false">IF(M172="","",MATCH(M172,Config!$E$5:$E$9,1))</f>
        <v>2</v>
      </c>
      <c r="O172" s="7" t="str">
        <f aca="false">IF(F172="N/A","N/A",IF(N172="","Not assessed",INDEX(Config!$B$5:$B$9,N172)))</f>
        <v>Medium-Low</v>
      </c>
      <c r="P172" s="32" t="n">
        <v>0</v>
      </c>
      <c r="Q172" s="8"/>
      <c r="R172" s="33"/>
      <c r="S172" s="34" t="n">
        <f aca="false">IF(N172="","",IF(AND(R172="Y",P172&lt;&gt;0),MAX(1,MIN(5,N172+MAX(-Config!$C$27,MIN(Config!$C$27,P172)))),N172))</f>
        <v>2</v>
      </c>
      <c r="T172" s="35" t="str">
        <f aca="false">IF(F172="N/A","N/A",IF(S172="","Not assessed",INDEX(Config!$B$5:$B$9,S172)))</f>
        <v>Medium-Low</v>
      </c>
      <c r="U172" s="7" t="str">
        <f aca="false">IF(P172=0,"None",IF(R172="Y","Applied","Pending HO approval"))</f>
        <v>None</v>
      </c>
      <c r="V172" s="8"/>
    </row>
    <row r="173" customFormat="false" ht="15" hidden="false" customHeight="false" outlineLevel="0" collapsed="false">
      <c r="A173" s="26" t="str">
        <f aca="false">Entities!$A$17</f>
        <v>SA</v>
      </c>
      <c r="B173" s="12" t="str">
        <f aca="false">INDEX(Entities!$B$5:$B$34,MATCH(A173,Entities!$A$5:$A$34,0))</f>
        <v>Arab National Bank (affiliate)</v>
      </c>
      <c r="C173" s="12" t="str">
        <f aca="false">INDEX(Entities!$D$5:$D$34,MATCH(A173,Entities!$A$5:$A$34,0))</f>
        <v>GCC</v>
      </c>
      <c r="D173" s="12" t="s">
        <v>295</v>
      </c>
      <c r="E173" s="12" t="str">
        <f aca="false">INDEX('Risk Taxonomy'!$B$5:$B$24,MATCH(D173,'Risk Taxonomy'!$A$5:$A$24,0))</f>
        <v>Strategic, business model and ESG</v>
      </c>
      <c r="F173" s="7" t="str">
        <f aca="false">IF(D173="RC-04",IF(INDEX(Entities!$G$5:$G$34,MATCH(A173,Entities!$A$5:$A$34,0))="Y","Yes","N/A"),"Yes")</f>
        <v>Yes</v>
      </c>
      <c r="G173" s="24" t="n">
        <v>3</v>
      </c>
      <c r="H173" s="24" t="n">
        <v>2</v>
      </c>
      <c r="I173" s="24" t="n">
        <v>3</v>
      </c>
      <c r="J173" s="24" t="n">
        <v>3</v>
      </c>
      <c r="K173" s="24" t="n">
        <v>3</v>
      </c>
      <c r="L173" s="37" t="n">
        <f aca="false">IF(F173="N/A","",IF(COUNT(H173:K173)=0,"",IF(Config!$C$19="Highest dimension",MAX(H173:K173),ROUND(H173*Config!$C$20+I173*Config!$C$21+J173*Config!$C$22+K173*Config!$C$23,1))))</f>
        <v>3</v>
      </c>
      <c r="M173" s="38" t="n">
        <f aca="false">IF(OR(L173="",G173=""),"",G173*L173)</f>
        <v>9</v>
      </c>
      <c r="N173" s="31" t="n">
        <f aca="false">IF(M173="","",MATCH(M173,Config!$E$5:$E$9,1))</f>
        <v>3</v>
      </c>
      <c r="O173" s="7" t="str">
        <f aca="false">IF(F173="N/A","N/A",IF(N173="","Not assessed",INDEX(Config!$B$5:$B$9,N173)))</f>
        <v>Medium</v>
      </c>
      <c r="P173" s="32" t="n">
        <v>0</v>
      </c>
      <c r="Q173" s="8"/>
      <c r="R173" s="33"/>
      <c r="S173" s="34" t="n">
        <f aca="false">IF(N173="","",IF(AND(R173="Y",P173&lt;&gt;0),MAX(1,MIN(5,N173+MAX(-Config!$C$27,MIN(Config!$C$27,P173)))),N173))</f>
        <v>3</v>
      </c>
      <c r="T173" s="35" t="str">
        <f aca="false">IF(F173="N/A","N/A",IF(S173="","Not assessed",INDEX(Config!$B$5:$B$9,S173)))</f>
        <v>Medium</v>
      </c>
      <c r="U173" s="7" t="str">
        <f aca="false">IF(P173=0,"None",IF(R173="Y","Applied","Pending HO approval"))</f>
        <v>None</v>
      </c>
      <c r="V173" s="8"/>
    </row>
    <row r="174" customFormat="false" ht="15" hidden="false" customHeight="false" outlineLevel="0" collapsed="false">
      <c r="A174" s="26" t="str">
        <f aca="false">Entities!$A$18</f>
        <v>OM</v>
      </c>
      <c r="B174" s="12" t="str">
        <f aca="false">INDEX(Entities!$B$5:$B$34,MATCH(A174,Entities!$A$5:$A$34,0))</f>
        <v>Oman Arab Bank (affiliate)</v>
      </c>
      <c r="C174" s="12" t="str">
        <f aca="false">INDEX(Entities!$D$5:$D$34,MATCH(A174,Entities!$A$5:$A$34,0))</f>
        <v>GCC</v>
      </c>
      <c r="D174" s="12" t="s">
        <v>257</v>
      </c>
      <c r="E174" s="12" t="str">
        <f aca="false">INDEX('Risk Taxonomy'!$B$5:$B$24,MATCH(D174,'Risk Taxonomy'!$A$5:$A$24,0))</f>
        <v>Regulatory compliance</v>
      </c>
      <c r="F174" s="7" t="str">
        <f aca="false">IF(D174="RC-04",IF(INDEX(Entities!$G$5:$G$34,MATCH(A174,Entities!$A$5:$A$34,0))="Y","Yes","N/A"),"Yes")</f>
        <v>Yes</v>
      </c>
      <c r="G174" s="24" t="n">
        <v>3</v>
      </c>
      <c r="H174" s="24" t="n">
        <v>3</v>
      </c>
      <c r="I174" s="24" t="n">
        <v>3</v>
      </c>
      <c r="J174" s="24" t="n">
        <v>3</v>
      </c>
      <c r="K174" s="24" t="n">
        <v>3</v>
      </c>
      <c r="L174" s="37" t="n">
        <f aca="false">IF(F174="N/A","",IF(COUNT(H174:K174)=0,"",IF(Config!$C$19="Highest dimension",MAX(H174:K174),ROUND(H174*Config!$C$20+I174*Config!$C$21+J174*Config!$C$22+K174*Config!$C$23,1))))</f>
        <v>3</v>
      </c>
      <c r="M174" s="38" t="n">
        <f aca="false">IF(OR(L174="",G174=""),"",G174*L174)</f>
        <v>9</v>
      </c>
      <c r="N174" s="31" t="n">
        <f aca="false">IF(M174="","",MATCH(M174,Config!$E$5:$E$9,1))</f>
        <v>3</v>
      </c>
      <c r="O174" s="7" t="str">
        <f aca="false">IF(F174="N/A","N/A",IF(N174="","Not assessed",INDEX(Config!$B$5:$B$9,N174)))</f>
        <v>Medium</v>
      </c>
      <c r="P174" s="32" t="n">
        <v>0</v>
      </c>
      <c r="Q174" s="8"/>
      <c r="R174" s="33"/>
      <c r="S174" s="34" t="n">
        <f aca="false">IF(N174="","",IF(AND(R174="Y",P174&lt;&gt;0),MAX(1,MIN(5,N174+MAX(-Config!$C$27,MIN(Config!$C$27,P174)))),N174))</f>
        <v>3</v>
      </c>
      <c r="T174" s="35" t="str">
        <f aca="false">IF(F174="N/A","N/A",IF(S174="","Not assessed",INDEX(Config!$B$5:$B$9,S174)))</f>
        <v>Medium</v>
      </c>
      <c r="U174" s="7" t="str">
        <f aca="false">IF(P174=0,"None",IF(R174="Y","Applied","Pending HO approval"))</f>
        <v>None</v>
      </c>
      <c r="V174" s="8"/>
    </row>
    <row r="175" customFormat="false" ht="15" hidden="false" customHeight="false" outlineLevel="0" collapsed="false">
      <c r="A175" s="26" t="str">
        <f aca="false">Entities!$A$18</f>
        <v>OM</v>
      </c>
      <c r="B175" s="12" t="str">
        <f aca="false">INDEX(Entities!$B$5:$B$34,MATCH(A175,Entities!$A$5:$A$34,0))</f>
        <v>Oman Arab Bank (affiliate)</v>
      </c>
      <c r="C175" s="12" t="str">
        <f aca="false">INDEX(Entities!$D$5:$D$34,MATCH(A175,Entities!$A$5:$A$34,0))</f>
        <v>GCC</v>
      </c>
      <c r="D175" s="12" t="s">
        <v>261</v>
      </c>
      <c r="E175" s="12" t="str">
        <f aca="false">INDEX('Risk Taxonomy'!$B$5:$B$24,MATCH(D175,'Risk Taxonomy'!$A$5:$A$24,0))</f>
        <v>Conduct and consumer protection</v>
      </c>
      <c r="F175" s="7" t="str">
        <f aca="false">IF(D175="RC-04",IF(INDEX(Entities!$G$5:$G$34,MATCH(A175,Entities!$A$5:$A$34,0))="Y","Yes","N/A"),"Yes")</f>
        <v>Yes</v>
      </c>
      <c r="G175" s="24" t="n">
        <v>4</v>
      </c>
      <c r="H175" s="24" t="n">
        <v>2</v>
      </c>
      <c r="I175" s="24" t="n">
        <v>3</v>
      </c>
      <c r="J175" s="24" t="n">
        <v>3</v>
      </c>
      <c r="K175" s="24" t="n">
        <v>3</v>
      </c>
      <c r="L175" s="37" t="n">
        <f aca="false">IF(F175="N/A","",IF(COUNT(H175:K175)=0,"",IF(Config!$C$19="Highest dimension",MAX(H175:K175),ROUND(H175*Config!$C$20+I175*Config!$C$21+J175*Config!$C$22+K175*Config!$C$23,1))))</f>
        <v>3</v>
      </c>
      <c r="M175" s="38" t="n">
        <f aca="false">IF(OR(L175="",G175=""),"",G175*L175)</f>
        <v>12</v>
      </c>
      <c r="N175" s="31" t="n">
        <f aca="false">IF(M175="","",MATCH(M175,Config!$E$5:$E$9,1))</f>
        <v>3</v>
      </c>
      <c r="O175" s="7" t="str">
        <f aca="false">IF(F175="N/A","N/A",IF(N175="","Not assessed",INDEX(Config!$B$5:$B$9,N175)))</f>
        <v>Medium</v>
      </c>
      <c r="P175" s="32" t="n">
        <v>0</v>
      </c>
      <c r="Q175" s="8"/>
      <c r="R175" s="33"/>
      <c r="S175" s="34" t="n">
        <f aca="false">IF(N175="","",IF(AND(R175="Y",P175&lt;&gt;0),MAX(1,MIN(5,N175+MAX(-Config!$C$27,MIN(Config!$C$27,P175)))),N175))</f>
        <v>3</v>
      </c>
      <c r="T175" s="35" t="str">
        <f aca="false">IF(F175="N/A","N/A",IF(S175="","Not assessed",INDEX(Config!$B$5:$B$9,S175)))</f>
        <v>Medium</v>
      </c>
      <c r="U175" s="7" t="str">
        <f aca="false">IF(P175=0,"None",IF(R175="Y","Applied","Pending HO approval"))</f>
        <v>None</v>
      </c>
      <c r="V175" s="8"/>
    </row>
    <row r="176" customFormat="false" ht="15" hidden="false" customHeight="false" outlineLevel="0" collapsed="false">
      <c r="A176" s="26" t="str">
        <f aca="false">Entities!$A$18</f>
        <v>OM</v>
      </c>
      <c r="B176" s="12" t="str">
        <f aca="false">INDEX(Entities!$B$5:$B$34,MATCH(A176,Entities!$A$5:$A$34,0))</f>
        <v>Oman Arab Bank (affiliate)</v>
      </c>
      <c r="C176" s="12" t="str">
        <f aca="false">INDEX(Entities!$D$5:$D$34,MATCH(A176,Entities!$A$5:$A$34,0))</f>
        <v>GCC</v>
      </c>
      <c r="D176" s="12" t="s">
        <v>263</v>
      </c>
      <c r="E176" s="12" t="str">
        <f aca="false">INDEX('Risk Taxonomy'!$B$5:$B$24,MATCH(D176,'Risk Taxonomy'!$A$5:$A$24,0))</f>
        <v>Data protection and privacy</v>
      </c>
      <c r="F176" s="7" t="str">
        <f aca="false">IF(D176="RC-04",IF(INDEX(Entities!$G$5:$G$34,MATCH(A176,Entities!$A$5:$A$34,0))="Y","Yes","N/A"),"Yes")</f>
        <v>Yes</v>
      </c>
      <c r="G176" s="24" t="n">
        <v>3</v>
      </c>
      <c r="H176" s="24" t="n">
        <v>4</v>
      </c>
      <c r="I176" s="24" t="n">
        <v>4</v>
      </c>
      <c r="J176" s="24" t="n">
        <v>3</v>
      </c>
      <c r="K176" s="24" t="n">
        <v>2</v>
      </c>
      <c r="L176" s="37" t="n">
        <f aca="false">IF(F176="N/A","",IF(COUNT(H176:K176)=0,"",IF(Config!$C$19="Highest dimension",MAX(H176:K176),ROUND(H176*Config!$C$20+I176*Config!$C$21+J176*Config!$C$22+K176*Config!$C$23,1))))</f>
        <v>4</v>
      </c>
      <c r="M176" s="38" t="n">
        <f aca="false">IF(OR(L176="",G176=""),"",G176*L176)</f>
        <v>12</v>
      </c>
      <c r="N176" s="31" t="n">
        <f aca="false">IF(M176="","",MATCH(M176,Config!$E$5:$E$9,1))</f>
        <v>3</v>
      </c>
      <c r="O176" s="7" t="str">
        <f aca="false">IF(F176="N/A","N/A",IF(N176="","Not assessed",INDEX(Config!$B$5:$B$9,N176)))</f>
        <v>Medium</v>
      </c>
      <c r="P176" s="32" t="n">
        <v>0</v>
      </c>
      <c r="Q176" s="8"/>
      <c r="R176" s="33"/>
      <c r="S176" s="34" t="n">
        <f aca="false">IF(N176="","",IF(AND(R176="Y",P176&lt;&gt;0),MAX(1,MIN(5,N176+MAX(-Config!$C$27,MIN(Config!$C$27,P176)))),N176))</f>
        <v>3</v>
      </c>
      <c r="T176" s="35" t="str">
        <f aca="false">IF(F176="N/A","N/A",IF(S176="","Not assessed",INDEX(Config!$B$5:$B$9,S176)))</f>
        <v>Medium</v>
      </c>
      <c r="U176" s="7" t="str">
        <f aca="false">IF(P176=0,"None",IF(R176="Y","Applied","Pending HO approval"))</f>
        <v>None</v>
      </c>
      <c r="V176" s="8"/>
    </row>
    <row r="177" customFormat="false" ht="15" hidden="false" customHeight="false" outlineLevel="0" collapsed="false">
      <c r="A177" s="26" t="str">
        <f aca="false">Entities!$A$18</f>
        <v>OM</v>
      </c>
      <c r="B177" s="12" t="str">
        <f aca="false">INDEX(Entities!$B$5:$B$34,MATCH(A177,Entities!$A$5:$A$34,0))</f>
        <v>Oman Arab Bank (affiliate)</v>
      </c>
      <c r="C177" s="12" t="str">
        <f aca="false">INDEX(Entities!$D$5:$D$34,MATCH(A177,Entities!$A$5:$A$34,0))</f>
        <v>GCC</v>
      </c>
      <c r="D177" s="12" t="s">
        <v>266</v>
      </c>
      <c r="E177" s="12" t="str">
        <f aca="false">INDEX('Risk Taxonomy'!$B$5:$B$24,MATCH(D177,'Risk Taxonomy'!$A$5:$A$24,0))</f>
        <v>Shariah non-compliance</v>
      </c>
      <c r="F177" s="7" t="str">
        <f aca="false">IF(D177="RC-04",IF(INDEX(Entities!$G$5:$G$34,MATCH(A177,Entities!$A$5:$A$34,0))="Y","Yes","N/A"),"Yes")</f>
        <v>N/A</v>
      </c>
      <c r="G177" s="24"/>
      <c r="H177" s="24"/>
      <c r="I177" s="24"/>
      <c r="J177" s="24"/>
      <c r="K177" s="24"/>
      <c r="L177" s="37" t="str">
        <f aca="false">IF(F177="N/A","",IF(COUNT(H177:K177)=0,"",IF(Config!$C$19="Highest dimension",MAX(H177:K177),ROUND(H177*Config!$C$20+I177*Config!$C$21+J177*Config!$C$22+K177*Config!$C$23,1))))</f>
        <v/>
      </c>
      <c r="M177" s="38" t="str">
        <f aca="false">IF(OR(L177="",G177=""),"",G177*L177)</f>
        <v/>
      </c>
      <c r="N177" s="31" t="str">
        <f aca="false">IF(M177="","",MATCH(M177,Config!$E$5:$E$9,1))</f>
        <v/>
      </c>
      <c r="O177" s="7" t="str">
        <f aca="false">IF(F177="N/A","N/A",IF(N177="","Not assessed",INDEX(Config!$B$5:$B$9,N177)))</f>
        <v>N/A</v>
      </c>
      <c r="P177" s="32" t="n">
        <v>0</v>
      </c>
      <c r="Q177" s="8"/>
      <c r="R177" s="33"/>
      <c r="S177" s="34" t="str">
        <f aca="false">IF(N177="","",IF(AND(R177="Y",P177&lt;&gt;0),MAX(1,MIN(5,N177+MAX(-Config!$C$27,MIN(Config!$C$27,P177)))),N177))</f>
        <v/>
      </c>
      <c r="T177" s="35" t="str">
        <f aca="false">IF(F177="N/A","N/A",IF(S177="","Not assessed",INDEX(Config!$B$5:$B$9,S177)))</f>
        <v>N/A</v>
      </c>
      <c r="U177" s="7" t="str">
        <f aca="false">IF(P177=0,"None",IF(R177="Y","Applied","Pending HO approval"))</f>
        <v>None</v>
      </c>
      <c r="V177" s="8"/>
    </row>
    <row r="178" customFormat="false" ht="15" hidden="false" customHeight="false" outlineLevel="0" collapsed="false">
      <c r="A178" s="26" t="str">
        <f aca="false">Entities!$A$18</f>
        <v>OM</v>
      </c>
      <c r="B178" s="12" t="str">
        <f aca="false">INDEX(Entities!$B$5:$B$34,MATCH(A178,Entities!$A$5:$A$34,0))</f>
        <v>Oman Arab Bank (affiliate)</v>
      </c>
      <c r="C178" s="12" t="str">
        <f aca="false">INDEX(Entities!$D$5:$D$34,MATCH(A178,Entities!$A$5:$A$34,0))</f>
        <v>GCC</v>
      </c>
      <c r="D178" s="12" t="s">
        <v>270</v>
      </c>
      <c r="E178" s="12" t="str">
        <f aca="false">INDEX('Risk Taxonomy'!$B$5:$B$24,MATCH(D178,'Risk Taxonomy'!$A$5:$A$24,0))</f>
        <v>Credit risk</v>
      </c>
      <c r="F178" s="7" t="str">
        <f aca="false">IF(D178="RC-04",IF(INDEX(Entities!$G$5:$G$34,MATCH(A178,Entities!$A$5:$A$34,0))="Y","Yes","N/A"),"Yes")</f>
        <v>Yes</v>
      </c>
      <c r="G178" s="24" t="n">
        <v>2</v>
      </c>
      <c r="H178" s="24" t="n">
        <v>2</v>
      </c>
      <c r="I178" s="24" t="n">
        <v>3</v>
      </c>
      <c r="J178" s="24" t="n">
        <v>2</v>
      </c>
      <c r="K178" s="24" t="n">
        <v>3</v>
      </c>
      <c r="L178" s="37" t="n">
        <f aca="false">IF(F178="N/A","",IF(COUNT(H178:K178)=0,"",IF(Config!$C$19="Highest dimension",MAX(H178:K178),ROUND(H178*Config!$C$20+I178*Config!$C$21+J178*Config!$C$22+K178*Config!$C$23,1))))</f>
        <v>3</v>
      </c>
      <c r="M178" s="38" t="n">
        <f aca="false">IF(OR(L178="",G178=""),"",G178*L178)</f>
        <v>6</v>
      </c>
      <c r="N178" s="31" t="n">
        <f aca="false">IF(M178="","",MATCH(M178,Config!$E$5:$E$9,1))</f>
        <v>2</v>
      </c>
      <c r="O178" s="7" t="str">
        <f aca="false">IF(F178="N/A","N/A",IF(N178="","Not assessed",INDEX(Config!$B$5:$B$9,N178)))</f>
        <v>Medium-Low</v>
      </c>
      <c r="P178" s="32" t="n">
        <v>0</v>
      </c>
      <c r="Q178" s="8"/>
      <c r="R178" s="33"/>
      <c r="S178" s="34" t="n">
        <f aca="false">IF(N178="","",IF(AND(R178="Y",P178&lt;&gt;0),MAX(1,MIN(5,N178+MAX(-Config!$C$27,MIN(Config!$C$27,P178)))),N178))</f>
        <v>2</v>
      </c>
      <c r="T178" s="35" t="str">
        <f aca="false">IF(F178="N/A","N/A",IF(S178="","Not assessed",INDEX(Config!$B$5:$B$9,S178)))</f>
        <v>Medium-Low</v>
      </c>
      <c r="U178" s="7" t="str">
        <f aca="false">IF(P178=0,"None",IF(R178="Y","Applied","Pending HO approval"))</f>
        <v>None</v>
      </c>
      <c r="V178" s="8"/>
    </row>
    <row r="179" customFormat="false" ht="15" hidden="false" customHeight="false" outlineLevel="0" collapsed="false">
      <c r="A179" s="26" t="str">
        <f aca="false">Entities!$A$18</f>
        <v>OM</v>
      </c>
      <c r="B179" s="12" t="str">
        <f aca="false">INDEX(Entities!$B$5:$B$34,MATCH(A179,Entities!$A$5:$A$34,0))</f>
        <v>Oman Arab Bank (affiliate)</v>
      </c>
      <c r="C179" s="12" t="str">
        <f aca="false">INDEX(Entities!$D$5:$D$34,MATCH(A179,Entities!$A$5:$A$34,0))</f>
        <v>GCC</v>
      </c>
      <c r="D179" s="12" t="s">
        <v>275</v>
      </c>
      <c r="E179" s="12" t="str">
        <f aca="false">INDEX('Risk Taxonomy'!$B$5:$B$24,MATCH(D179,'Risk Taxonomy'!$A$5:$A$24,0))</f>
        <v>Market risk</v>
      </c>
      <c r="F179" s="7" t="str">
        <f aca="false">IF(D179="RC-04",IF(INDEX(Entities!$G$5:$G$34,MATCH(A179,Entities!$A$5:$A$34,0))="Y","Yes","N/A"),"Yes")</f>
        <v>Yes</v>
      </c>
      <c r="G179" s="24" t="n">
        <v>2</v>
      </c>
      <c r="H179" s="24" t="n">
        <v>3</v>
      </c>
      <c r="I179" s="24" t="n">
        <v>2</v>
      </c>
      <c r="J179" s="24" t="n">
        <v>4</v>
      </c>
      <c r="K179" s="24" t="n">
        <v>4</v>
      </c>
      <c r="L179" s="37" t="n">
        <f aca="false">IF(F179="N/A","",IF(COUNT(H179:K179)=0,"",IF(Config!$C$19="Highest dimension",MAX(H179:K179),ROUND(H179*Config!$C$20+I179*Config!$C$21+J179*Config!$C$22+K179*Config!$C$23,1))))</f>
        <v>4</v>
      </c>
      <c r="M179" s="38" t="n">
        <f aca="false">IF(OR(L179="",G179=""),"",G179*L179)</f>
        <v>8</v>
      </c>
      <c r="N179" s="31" t="n">
        <f aca="false">IF(M179="","",MATCH(M179,Config!$E$5:$E$9,1))</f>
        <v>2</v>
      </c>
      <c r="O179" s="7" t="str">
        <f aca="false">IF(F179="N/A","N/A",IF(N179="","Not assessed",INDEX(Config!$B$5:$B$9,N179)))</f>
        <v>Medium-Low</v>
      </c>
      <c r="P179" s="32" t="n">
        <v>0</v>
      </c>
      <c r="Q179" s="8"/>
      <c r="R179" s="33"/>
      <c r="S179" s="34" t="n">
        <f aca="false">IF(N179="","",IF(AND(R179="Y",P179&lt;&gt;0),MAX(1,MIN(5,N179+MAX(-Config!$C$27,MIN(Config!$C$27,P179)))),N179))</f>
        <v>2</v>
      </c>
      <c r="T179" s="35" t="str">
        <f aca="false">IF(F179="N/A","N/A",IF(S179="","Not assessed",INDEX(Config!$B$5:$B$9,S179)))</f>
        <v>Medium-Low</v>
      </c>
      <c r="U179" s="7" t="str">
        <f aca="false">IF(P179=0,"None",IF(R179="Y","Applied","Pending HO approval"))</f>
        <v>None</v>
      </c>
      <c r="V179" s="8"/>
    </row>
    <row r="180" customFormat="false" ht="15" hidden="false" customHeight="false" outlineLevel="0" collapsed="false">
      <c r="A180" s="26" t="str">
        <f aca="false">Entities!$A$18</f>
        <v>OM</v>
      </c>
      <c r="B180" s="12" t="str">
        <f aca="false">INDEX(Entities!$B$5:$B$34,MATCH(A180,Entities!$A$5:$A$34,0))</f>
        <v>Oman Arab Bank (affiliate)</v>
      </c>
      <c r="C180" s="12" t="str">
        <f aca="false">INDEX(Entities!$D$5:$D$34,MATCH(A180,Entities!$A$5:$A$34,0))</f>
        <v>GCC</v>
      </c>
      <c r="D180" s="12" t="s">
        <v>277</v>
      </c>
      <c r="E180" s="12" t="str">
        <f aca="false">INDEX('Risk Taxonomy'!$B$5:$B$24,MATCH(D180,'Risk Taxonomy'!$A$5:$A$24,0))</f>
        <v>Liquidity and funding risk</v>
      </c>
      <c r="F180" s="7" t="str">
        <f aca="false">IF(D180="RC-04",IF(INDEX(Entities!$G$5:$G$34,MATCH(A180,Entities!$A$5:$A$34,0))="Y","Yes","N/A"),"Yes")</f>
        <v>Yes</v>
      </c>
      <c r="G180" s="24" t="n">
        <v>3</v>
      </c>
      <c r="H180" s="24" t="n">
        <v>3</v>
      </c>
      <c r="I180" s="24" t="n">
        <v>3</v>
      </c>
      <c r="J180" s="24" t="n">
        <v>3</v>
      </c>
      <c r="K180" s="24" t="n">
        <v>3</v>
      </c>
      <c r="L180" s="37" t="n">
        <f aca="false">IF(F180="N/A","",IF(COUNT(H180:K180)=0,"",IF(Config!$C$19="Highest dimension",MAX(H180:K180),ROUND(H180*Config!$C$20+I180*Config!$C$21+J180*Config!$C$22+K180*Config!$C$23,1))))</f>
        <v>3</v>
      </c>
      <c r="M180" s="38" t="n">
        <f aca="false">IF(OR(L180="",G180=""),"",G180*L180)</f>
        <v>9</v>
      </c>
      <c r="N180" s="31" t="n">
        <f aca="false">IF(M180="","",MATCH(M180,Config!$E$5:$E$9,1))</f>
        <v>3</v>
      </c>
      <c r="O180" s="7" t="str">
        <f aca="false">IF(F180="N/A","N/A",IF(N180="","Not assessed",INDEX(Config!$B$5:$B$9,N180)))</f>
        <v>Medium</v>
      </c>
      <c r="P180" s="32" t="n">
        <v>0</v>
      </c>
      <c r="Q180" s="8"/>
      <c r="R180" s="33"/>
      <c r="S180" s="34" t="n">
        <f aca="false">IF(N180="","",IF(AND(R180="Y",P180&lt;&gt;0),MAX(1,MIN(5,N180+MAX(-Config!$C$27,MIN(Config!$C$27,P180)))),N180))</f>
        <v>3</v>
      </c>
      <c r="T180" s="35" t="str">
        <f aca="false">IF(F180="N/A","N/A",IF(S180="","Not assessed",INDEX(Config!$B$5:$B$9,S180)))</f>
        <v>Medium</v>
      </c>
      <c r="U180" s="7" t="str">
        <f aca="false">IF(P180=0,"None",IF(R180="Y","Applied","Pending HO approval"))</f>
        <v>None</v>
      </c>
      <c r="V180" s="8"/>
    </row>
    <row r="181" customFormat="false" ht="15" hidden="false" customHeight="false" outlineLevel="0" collapsed="false">
      <c r="A181" s="26" t="str">
        <f aca="false">Entities!$A$18</f>
        <v>OM</v>
      </c>
      <c r="B181" s="12" t="str">
        <f aca="false">INDEX(Entities!$B$5:$B$34,MATCH(A181,Entities!$A$5:$A$34,0))</f>
        <v>Oman Arab Bank (affiliate)</v>
      </c>
      <c r="C181" s="12" t="str">
        <f aca="false">INDEX(Entities!$D$5:$D$34,MATCH(A181,Entities!$A$5:$A$34,0))</f>
        <v>GCC</v>
      </c>
      <c r="D181" s="12" t="s">
        <v>280</v>
      </c>
      <c r="E181" s="12" t="str">
        <f aca="false">INDEX('Risk Taxonomy'!$B$5:$B$24,MATCH(D181,'Risk Taxonomy'!$A$5:$A$24,0))</f>
        <v>Operational risk</v>
      </c>
      <c r="F181" s="7" t="str">
        <f aca="false">IF(D181="RC-04",IF(INDEX(Entities!$G$5:$G$34,MATCH(A181,Entities!$A$5:$A$34,0))="Y","Yes","N/A"),"Yes")</f>
        <v>Yes</v>
      </c>
      <c r="G181" s="24" t="n">
        <v>4</v>
      </c>
      <c r="H181" s="24" t="n">
        <v>2</v>
      </c>
      <c r="I181" s="24" t="n">
        <v>3</v>
      </c>
      <c r="J181" s="24" t="n">
        <v>3</v>
      </c>
      <c r="K181" s="24" t="n">
        <v>3</v>
      </c>
      <c r="L181" s="37" t="n">
        <f aca="false">IF(F181="N/A","",IF(COUNT(H181:K181)=0,"",IF(Config!$C$19="Highest dimension",MAX(H181:K181),ROUND(H181*Config!$C$20+I181*Config!$C$21+J181*Config!$C$22+K181*Config!$C$23,1))))</f>
        <v>3</v>
      </c>
      <c r="M181" s="38" t="n">
        <f aca="false">IF(OR(L181="",G181=""),"",G181*L181)</f>
        <v>12</v>
      </c>
      <c r="N181" s="31" t="n">
        <f aca="false">IF(M181="","",MATCH(M181,Config!$E$5:$E$9,1))</f>
        <v>3</v>
      </c>
      <c r="O181" s="7" t="str">
        <f aca="false">IF(F181="N/A","N/A",IF(N181="","Not assessed",INDEX(Config!$B$5:$B$9,N181)))</f>
        <v>Medium</v>
      </c>
      <c r="P181" s="32" t="n">
        <v>0</v>
      </c>
      <c r="Q181" s="8"/>
      <c r="R181" s="33"/>
      <c r="S181" s="34" t="n">
        <f aca="false">IF(N181="","",IF(AND(R181="Y",P181&lt;&gt;0),MAX(1,MIN(5,N181+MAX(-Config!$C$27,MIN(Config!$C$27,P181)))),N181))</f>
        <v>3</v>
      </c>
      <c r="T181" s="35" t="str">
        <f aca="false">IF(F181="N/A","N/A",IF(S181="","Not assessed",INDEX(Config!$B$5:$B$9,S181)))</f>
        <v>Medium</v>
      </c>
      <c r="U181" s="7" t="str">
        <f aca="false">IF(P181=0,"None",IF(R181="Y","Applied","Pending HO approval"))</f>
        <v>None</v>
      </c>
      <c r="V181" s="8"/>
    </row>
    <row r="182" customFormat="false" ht="15" hidden="false" customHeight="false" outlineLevel="0" collapsed="false">
      <c r="A182" s="26" t="str">
        <f aca="false">Entities!$A$18</f>
        <v>OM</v>
      </c>
      <c r="B182" s="12" t="str">
        <f aca="false">INDEX(Entities!$B$5:$B$34,MATCH(A182,Entities!$A$5:$A$34,0))</f>
        <v>Oman Arab Bank (affiliate)</v>
      </c>
      <c r="C182" s="12" t="str">
        <f aca="false">INDEX(Entities!$D$5:$D$34,MATCH(A182,Entities!$A$5:$A$34,0))</f>
        <v>GCC</v>
      </c>
      <c r="D182" s="12" t="s">
        <v>283</v>
      </c>
      <c r="E182" s="12" t="str">
        <f aca="false">INDEX('Risk Taxonomy'!$B$5:$B$24,MATCH(D182,'Risk Taxonomy'!$A$5:$A$24,0))</f>
        <v>Cyber, information security and technology</v>
      </c>
      <c r="F182" s="7" t="str">
        <f aca="false">IF(D182="RC-04",IF(INDEX(Entities!$G$5:$G$34,MATCH(A182,Entities!$A$5:$A$34,0))="Y","Yes","N/A"),"Yes")</f>
        <v>Yes</v>
      </c>
      <c r="G182" s="24" t="n">
        <v>4</v>
      </c>
      <c r="H182" s="24" t="n">
        <v>2</v>
      </c>
      <c r="I182" s="24" t="n">
        <v>4</v>
      </c>
      <c r="J182" s="24" t="n">
        <v>1</v>
      </c>
      <c r="K182" s="24" t="n">
        <v>3</v>
      </c>
      <c r="L182" s="37" t="n">
        <f aca="false">IF(F182="N/A","",IF(COUNT(H182:K182)=0,"",IF(Config!$C$19="Highest dimension",MAX(H182:K182),ROUND(H182*Config!$C$20+I182*Config!$C$21+J182*Config!$C$22+K182*Config!$C$23,1))))</f>
        <v>4</v>
      </c>
      <c r="M182" s="38" t="n">
        <f aca="false">IF(OR(L182="",G182=""),"",G182*L182)</f>
        <v>16</v>
      </c>
      <c r="N182" s="31" t="n">
        <f aca="false">IF(M182="","",MATCH(M182,Config!$E$5:$E$9,1))</f>
        <v>4</v>
      </c>
      <c r="O182" s="7" t="str">
        <f aca="false">IF(F182="N/A","N/A",IF(N182="","Not assessed",INDEX(Config!$B$5:$B$9,N182)))</f>
        <v>Medium-High</v>
      </c>
      <c r="P182" s="32" t="n">
        <v>0</v>
      </c>
      <c r="Q182" s="8"/>
      <c r="R182" s="33"/>
      <c r="S182" s="34" t="n">
        <f aca="false">IF(N182="","",IF(AND(R182="Y",P182&lt;&gt;0),MAX(1,MIN(5,N182+MAX(-Config!$C$27,MIN(Config!$C$27,P182)))),N182))</f>
        <v>4</v>
      </c>
      <c r="T182" s="35" t="str">
        <f aca="false">IF(F182="N/A","N/A",IF(S182="","Not assessed",INDEX(Config!$B$5:$B$9,S182)))</f>
        <v>Medium-High</v>
      </c>
      <c r="U182" s="7" t="str">
        <f aca="false">IF(P182=0,"None",IF(R182="Y","Applied","Pending HO approval"))</f>
        <v>None</v>
      </c>
      <c r="V182" s="8"/>
    </row>
    <row r="183" customFormat="false" ht="15" hidden="false" customHeight="false" outlineLevel="0" collapsed="false">
      <c r="A183" s="26" t="str">
        <f aca="false">Entities!$A$18</f>
        <v>OM</v>
      </c>
      <c r="B183" s="12" t="str">
        <f aca="false">INDEX(Entities!$B$5:$B$34,MATCH(A183,Entities!$A$5:$A$34,0))</f>
        <v>Oman Arab Bank (affiliate)</v>
      </c>
      <c r="C183" s="12" t="str">
        <f aca="false">INDEX(Entities!$D$5:$D$34,MATCH(A183,Entities!$A$5:$A$34,0))</f>
        <v>GCC</v>
      </c>
      <c r="D183" s="12" t="s">
        <v>286</v>
      </c>
      <c r="E183" s="12" t="str">
        <f aca="false">INDEX('Risk Taxonomy'!$B$5:$B$24,MATCH(D183,'Risk Taxonomy'!$A$5:$A$24,0))</f>
        <v>Third-party and outsourcing</v>
      </c>
      <c r="F183" s="7" t="str">
        <f aca="false">IF(D183="RC-04",IF(INDEX(Entities!$G$5:$G$34,MATCH(A183,Entities!$A$5:$A$34,0))="Y","Yes","N/A"),"Yes")</f>
        <v>Yes</v>
      </c>
      <c r="G183" s="24" t="n">
        <v>1</v>
      </c>
      <c r="H183" s="24" t="n">
        <v>2</v>
      </c>
      <c r="I183" s="24" t="n">
        <v>3</v>
      </c>
      <c r="J183" s="24" t="n">
        <v>2</v>
      </c>
      <c r="K183" s="24" t="n">
        <v>3</v>
      </c>
      <c r="L183" s="37" t="n">
        <f aca="false">IF(F183="N/A","",IF(COUNT(H183:K183)=0,"",IF(Config!$C$19="Highest dimension",MAX(H183:K183),ROUND(H183*Config!$C$20+I183*Config!$C$21+J183*Config!$C$22+K183*Config!$C$23,1))))</f>
        <v>3</v>
      </c>
      <c r="M183" s="38" t="n">
        <f aca="false">IF(OR(L183="",G183=""),"",G183*L183)</f>
        <v>3</v>
      </c>
      <c r="N183" s="31" t="n">
        <f aca="false">IF(M183="","",MATCH(M183,Config!$E$5:$E$9,1))</f>
        <v>1</v>
      </c>
      <c r="O183" s="7" t="str">
        <f aca="false">IF(F183="N/A","N/A",IF(N183="","Not assessed",INDEX(Config!$B$5:$B$9,N183)))</f>
        <v>Low</v>
      </c>
      <c r="P183" s="32" t="n">
        <v>0</v>
      </c>
      <c r="Q183" s="8"/>
      <c r="R183" s="33"/>
      <c r="S183" s="34" t="n">
        <f aca="false">IF(N183="","",IF(AND(R183="Y",P183&lt;&gt;0),MAX(1,MIN(5,N183+MAX(-Config!$C$27,MIN(Config!$C$27,P183)))),N183))</f>
        <v>1</v>
      </c>
      <c r="T183" s="35" t="str">
        <f aca="false">IF(F183="N/A","N/A",IF(S183="","Not assessed",INDEX(Config!$B$5:$B$9,S183)))</f>
        <v>Low</v>
      </c>
      <c r="U183" s="7" t="str">
        <f aca="false">IF(P183=0,"None",IF(R183="Y","Applied","Pending HO approval"))</f>
        <v>None</v>
      </c>
      <c r="V183" s="8"/>
    </row>
    <row r="184" customFormat="false" ht="15" hidden="false" customHeight="false" outlineLevel="0" collapsed="false">
      <c r="A184" s="26" t="str">
        <f aca="false">Entities!$A$18</f>
        <v>OM</v>
      </c>
      <c r="B184" s="12" t="str">
        <f aca="false">INDEX(Entities!$B$5:$B$34,MATCH(A184,Entities!$A$5:$A$34,0))</f>
        <v>Oman Arab Bank (affiliate)</v>
      </c>
      <c r="C184" s="12" t="str">
        <f aca="false">INDEX(Entities!$D$5:$D$34,MATCH(A184,Entities!$A$5:$A$34,0))</f>
        <v>GCC</v>
      </c>
      <c r="D184" s="12" t="s">
        <v>289</v>
      </c>
      <c r="E184" s="12" t="str">
        <f aca="false">INDEX('Risk Taxonomy'!$B$5:$B$24,MATCH(D184,'Risk Taxonomy'!$A$5:$A$24,0))</f>
        <v>Legal and litigation</v>
      </c>
      <c r="F184" s="7" t="str">
        <f aca="false">IF(D184="RC-04",IF(INDEX(Entities!$G$5:$G$34,MATCH(A184,Entities!$A$5:$A$34,0))="Y","Yes","N/A"),"Yes")</f>
        <v>Yes</v>
      </c>
      <c r="G184" s="24" t="n">
        <v>3</v>
      </c>
      <c r="H184" s="24" t="n">
        <v>3</v>
      </c>
      <c r="I184" s="24" t="n">
        <v>3</v>
      </c>
      <c r="J184" s="24" t="n">
        <v>3</v>
      </c>
      <c r="K184" s="24" t="n">
        <v>3</v>
      </c>
      <c r="L184" s="37" t="n">
        <f aca="false">IF(F184="N/A","",IF(COUNT(H184:K184)=0,"",IF(Config!$C$19="Highest dimension",MAX(H184:K184),ROUND(H184*Config!$C$20+I184*Config!$C$21+J184*Config!$C$22+K184*Config!$C$23,1))))</f>
        <v>3</v>
      </c>
      <c r="M184" s="38" t="n">
        <f aca="false">IF(OR(L184="",G184=""),"",G184*L184)</f>
        <v>9</v>
      </c>
      <c r="N184" s="31" t="n">
        <f aca="false">IF(M184="","",MATCH(M184,Config!$E$5:$E$9,1))</f>
        <v>3</v>
      </c>
      <c r="O184" s="7" t="str">
        <f aca="false">IF(F184="N/A","N/A",IF(N184="","Not assessed",INDEX(Config!$B$5:$B$9,N184)))</f>
        <v>Medium</v>
      </c>
      <c r="P184" s="32" t="n">
        <v>0</v>
      </c>
      <c r="Q184" s="8"/>
      <c r="R184" s="33"/>
      <c r="S184" s="34" t="n">
        <f aca="false">IF(N184="","",IF(AND(R184="Y",P184&lt;&gt;0),MAX(1,MIN(5,N184+MAX(-Config!$C$27,MIN(Config!$C$27,P184)))),N184))</f>
        <v>3</v>
      </c>
      <c r="T184" s="35" t="str">
        <f aca="false">IF(F184="N/A","N/A",IF(S184="","Not assessed",INDEX(Config!$B$5:$B$9,S184)))</f>
        <v>Medium</v>
      </c>
      <c r="U184" s="7" t="str">
        <f aca="false">IF(P184=0,"None",IF(R184="Y","Applied","Pending HO approval"))</f>
        <v>None</v>
      </c>
      <c r="V184" s="8"/>
    </row>
    <row r="185" customFormat="false" ht="15" hidden="false" customHeight="false" outlineLevel="0" collapsed="false">
      <c r="A185" s="26" t="str">
        <f aca="false">Entities!$A$18</f>
        <v>OM</v>
      </c>
      <c r="B185" s="12" t="str">
        <f aca="false">INDEX(Entities!$B$5:$B$34,MATCH(A185,Entities!$A$5:$A$34,0))</f>
        <v>Oman Arab Bank (affiliate)</v>
      </c>
      <c r="C185" s="12" t="str">
        <f aca="false">INDEX(Entities!$D$5:$D$34,MATCH(A185,Entities!$A$5:$A$34,0))</f>
        <v>GCC</v>
      </c>
      <c r="D185" s="12" t="s">
        <v>292</v>
      </c>
      <c r="E185" s="12" t="str">
        <f aca="false">INDEX('Risk Taxonomy'!$B$5:$B$24,MATCH(D185,'Risk Taxonomy'!$A$5:$A$24,0))</f>
        <v>Reputational</v>
      </c>
      <c r="F185" s="7" t="str">
        <f aca="false">IF(D185="RC-04",IF(INDEX(Entities!$G$5:$G$34,MATCH(A185,Entities!$A$5:$A$34,0))="Y","Yes","N/A"),"Yes")</f>
        <v>Yes</v>
      </c>
      <c r="G185" s="24" t="n">
        <v>3</v>
      </c>
      <c r="H185" s="24" t="n">
        <v>2</v>
      </c>
      <c r="I185" s="24" t="n">
        <v>2</v>
      </c>
      <c r="J185" s="24" t="n">
        <v>3</v>
      </c>
      <c r="K185" s="24" t="n">
        <v>3</v>
      </c>
      <c r="L185" s="37" t="n">
        <f aca="false">IF(F185="N/A","",IF(COUNT(H185:K185)=0,"",IF(Config!$C$19="Highest dimension",MAX(H185:K185),ROUND(H185*Config!$C$20+I185*Config!$C$21+J185*Config!$C$22+K185*Config!$C$23,1))))</f>
        <v>3</v>
      </c>
      <c r="M185" s="38" t="n">
        <f aca="false">IF(OR(L185="",G185=""),"",G185*L185)</f>
        <v>9</v>
      </c>
      <c r="N185" s="31" t="n">
        <f aca="false">IF(M185="","",MATCH(M185,Config!$E$5:$E$9,1))</f>
        <v>3</v>
      </c>
      <c r="O185" s="7" t="str">
        <f aca="false">IF(F185="N/A","N/A",IF(N185="","Not assessed",INDEX(Config!$B$5:$B$9,N185)))</f>
        <v>Medium</v>
      </c>
      <c r="P185" s="32" t="n">
        <v>0</v>
      </c>
      <c r="Q185" s="8"/>
      <c r="R185" s="33"/>
      <c r="S185" s="34" t="n">
        <f aca="false">IF(N185="","",IF(AND(R185="Y",P185&lt;&gt;0),MAX(1,MIN(5,N185+MAX(-Config!$C$27,MIN(Config!$C$27,P185)))),N185))</f>
        <v>3</v>
      </c>
      <c r="T185" s="35" t="str">
        <f aca="false">IF(F185="N/A","N/A",IF(S185="","Not assessed",INDEX(Config!$B$5:$B$9,S185)))</f>
        <v>Medium</v>
      </c>
      <c r="U185" s="7" t="str">
        <f aca="false">IF(P185=0,"None",IF(R185="Y","Applied","Pending HO approval"))</f>
        <v>None</v>
      </c>
      <c r="V185" s="8"/>
    </row>
    <row r="186" customFormat="false" ht="15" hidden="false" customHeight="false" outlineLevel="0" collapsed="false">
      <c r="A186" s="26" t="str">
        <f aca="false">Entities!$A$18</f>
        <v>OM</v>
      </c>
      <c r="B186" s="12" t="str">
        <f aca="false">INDEX(Entities!$B$5:$B$34,MATCH(A186,Entities!$A$5:$A$34,0))</f>
        <v>Oman Arab Bank (affiliate)</v>
      </c>
      <c r="C186" s="12" t="str">
        <f aca="false">INDEX(Entities!$D$5:$D$34,MATCH(A186,Entities!$A$5:$A$34,0))</f>
        <v>GCC</v>
      </c>
      <c r="D186" s="12" t="s">
        <v>295</v>
      </c>
      <c r="E186" s="12" t="str">
        <f aca="false">INDEX('Risk Taxonomy'!$B$5:$B$24,MATCH(D186,'Risk Taxonomy'!$A$5:$A$24,0))</f>
        <v>Strategic, business model and ESG</v>
      </c>
      <c r="F186" s="7" t="str">
        <f aca="false">IF(D186="RC-04",IF(INDEX(Entities!$G$5:$G$34,MATCH(A186,Entities!$A$5:$A$34,0))="Y","Yes","N/A"),"Yes")</f>
        <v>Yes</v>
      </c>
      <c r="G186" s="24" t="n">
        <v>3</v>
      </c>
      <c r="H186" s="24" t="n">
        <v>5</v>
      </c>
      <c r="I186" s="24" t="n">
        <v>3</v>
      </c>
      <c r="J186" s="24" t="n">
        <v>2</v>
      </c>
      <c r="K186" s="24" t="n">
        <v>3</v>
      </c>
      <c r="L186" s="37" t="n">
        <f aca="false">IF(F186="N/A","",IF(COUNT(H186:K186)=0,"",IF(Config!$C$19="Highest dimension",MAX(H186:K186),ROUND(H186*Config!$C$20+I186*Config!$C$21+J186*Config!$C$22+K186*Config!$C$23,1))))</f>
        <v>5</v>
      </c>
      <c r="M186" s="38" t="n">
        <f aca="false">IF(OR(L186="",G186=""),"",G186*L186)</f>
        <v>15</v>
      </c>
      <c r="N186" s="31" t="n">
        <f aca="false">IF(M186="","",MATCH(M186,Config!$E$5:$E$9,1))</f>
        <v>4</v>
      </c>
      <c r="O186" s="7" t="str">
        <f aca="false">IF(F186="N/A","N/A",IF(N186="","Not assessed",INDEX(Config!$B$5:$B$9,N186)))</f>
        <v>Medium-High</v>
      </c>
      <c r="P186" s="32" t="n">
        <v>0</v>
      </c>
      <c r="Q186" s="8"/>
      <c r="R186" s="33"/>
      <c r="S186" s="34" t="n">
        <f aca="false">IF(N186="","",IF(AND(R186="Y",P186&lt;&gt;0),MAX(1,MIN(5,N186+MAX(-Config!$C$27,MIN(Config!$C$27,P186)))),N186))</f>
        <v>4</v>
      </c>
      <c r="T186" s="35" t="str">
        <f aca="false">IF(F186="N/A","N/A",IF(S186="","Not assessed",INDEX(Config!$B$5:$B$9,S186)))</f>
        <v>Medium-High</v>
      </c>
      <c r="U186" s="7" t="str">
        <f aca="false">IF(P186=0,"None",IF(R186="Y","Applied","Pending HO approval"))</f>
        <v>None</v>
      </c>
      <c r="V186" s="8"/>
    </row>
    <row r="187" customFormat="false" ht="15" hidden="false" customHeight="false" outlineLevel="0" collapsed="false">
      <c r="A187" s="26" t="str">
        <f aca="false">Entities!$A$19</f>
        <v>IQ</v>
      </c>
      <c r="B187" s="12" t="str">
        <f aca="false">INDEX(Entities!$B$5:$B$34,MATCH(A187,Entities!$A$5:$A$34,0))</f>
        <v>Arab Bank Iraq</v>
      </c>
      <c r="C187" s="12" t="str">
        <f aca="false">INDEX(Entities!$D$5:$D$34,MATCH(A187,Entities!$A$5:$A$34,0))</f>
        <v>Iraq and Yemen</v>
      </c>
      <c r="D187" s="12" t="s">
        <v>257</v>
      </c>
      <c r="E187" s="12" t="str">
        <f aca="false">INDEX('Risk Taxonomy'!$B$5:$B$24,MATCH(D187,'Risk Taxonomy'!$A$5:$A$24,0))</f>
        <v>Regulatory compliance</v>
      </c>
      <c r="F187" s="7" t="str">
        <f aca="false">IF(D187="RC-04",IF(INDEX(Entities!$G$5:$G$34,MATCH(A187,Entities!$A$5:$A$34,0))="Y","Yes","N/A"),"Yes")</f>
        <v>Yes</v>
      </c>
      <c r="G187" s="24" t="n">
        <v>5</v>
      </c>
      <c r="H187" s="24" t="n">
        <v>4</v>
      </c>
      <c r="I187" s="24" t="n">
        <v>4</v>
      </c>
      <c r="J187" s="24" t="n">
        <v>4</v>
      </c>
      <c r="K187" s="24" t="n">
        <v>3</v>
      </c>
      <c r="L187" s="37" t="n">
        <f aca="false">IF(F187="N/A","",IF(COUNT(H187:K187)=0,"",IF(Config!$C$19="Highest dimension",MAX(H187:K187),ROUND(H187*Config!$C$20+I187*Config!$C$21+J187*Config!$C$22+K187*Config!$C$23,1))))</f>
        <v>4</v>
      </c>
      <c r="M187" s="38" t="n">
        <f aca="false">IF(OR(L187="",G187=""),"",G187*L187)</f>
        <v>20</v>
      </c>
      <c r="N187" s="31" t="n">
        <f aca="false">IF(M187="","",MATCH(M187,Config!$E$5:$E$9,1))</f>
        <v>5</v>
      </c>
      <c r="O187" s="7" t="str">
        <f aca="false">IF(F187="N/A","N/A",IF(N187="","Not assessed",INDEX(Config!$B$5:$B$9,N187)))</f>
        <v>High</v>
      </c>
      <c r="P187" s="32" t="n">
        <v>0</v>
      </c>
      <c r="Q187" s="8"/>
      <c r="R187" s="33"/>
      <c r="S187" s="34" t="n">
        <f aca="false">IF(N187="","",IF(AND(R187="Y",P187&lt;&gt;0),MAX(1,MIN(5,N187+MAX(-Config!$C$27,MIN(Config!$C$27,P187)))),N187))</f>
        <v>5</v>
      </c>
      <c r="T187" s="35" t="str">
        <f aca="false">IF(F187="N/A","N/A",IF(S187="","Not assessed",INDEX(Config!$B$5:$B$9,S187)))</f>
        <v>High</v>
      </c>
      <c r="U187" s="7" t="str">
        <f aca="false">IF(P187=0,"None",IF(R187="Y","Applied","Pending HO approval"))</f>
        <v>None</v>
      </c>
      <c r="V187" s="8"/>
    </row>
    <row r="188" customFormat="false" ht="15" hidden="false" customHeight="false" outlineLevel="0" collapsed="false">
      <c r="A188" s="26" t="str">
        <f aca="false">Entities!$A$19</f>
        <v>IQ</v>
      </c>
      <c r="B188" s="12" t="str">
        <f aca="false">INDEX(Entities!$B$5:$B$34,MATCH(A188,Entities!$A$5:$A$34,0))</f>
        <v>Arab Bank Iraq</v>
      </c>
      <c r="C188" s="12" t="str">
        <f aca="false">INDEX(Entities!$D$5:$D$34,MATCH(A188,Entities!$A$5:$A$34,0))</f>
        <v>Iraq and Yemen</v>
      </c>
      <c r="D188" s="12" t="s">
        <v>261</v>
      </c>
      <c r="E188" s="12" t="str">
        <f aca="false">INDEX('Risk Taxonomy'!$B$5:$B$24,MATCH(D188,'Risk Taxonomy'!$A$5:$A$24,0))</f>
        <v>Conduct and consumer protection</v>
      </c>
      <c r="F188" s="7" t="str">
        <f aca="false">IF(D188="RC-04",IF(INDEX(Entities!$G$5:$G$34,MATCH(A188,Entities!$A$5:$A$34,0))="Y","Yes","N/A"),"Yes")</f>
        <v>Yes</v>
      </c>
      <c r="G188" s="24" t="n">
        <v>3</v>
      </c>
      <c r="H188" s="24" t="n">
        <v>4</v>
      </c>
      <c r="I188" s="24" t="n">
        <v>4</v>
      </c>
      <c r="J188" s="24" t="n">
        <v>3</v>
      </c>
      <c r="K188" s="24" t="n">
        <v>4</v>
      </c>
      <c r="L188" s="37" t="n">
        <f aca="false">IF(F188="N/A","",IF(COUNT(H188:K188)=0,"",IF(Config!$C$19="Highest dimension",MAX(H188:K188),ROUND(H188*Config!$C$20+I188*Config!$C$21+J188*Config!$C$22+K188*Config!$C$23,1))))</f>
        <v>4</v>
      </c>
      <c r="M188" s="38" t="n">
        <f aca="false">IF(OR(L188="",G188=""),"",G188*L188)</f>
        <v>12</v>
      </c>
      <c r="N188" s="31" t="n">
        <f aca="false">IF(M188="","",MATCH(M188,Config!$E$5:$E$9,1))</f>
        <v>3</v>
      </c>
      <c r="O188" s="7" t="str">
        <f aca="false">IF(F188="N/A","N/A",IF(N188="","Not assessed",INDEX(Config!$B$5:$B$9,N188)))</f>
        <v>Medium</v>
      </c>
      <c r="P188" s="32" t="n">
        <v>0</v>
      </c>
      <c r="Q188" s="8"/>
      <c r="R188" s="33"/>
      <c r="S188" s="34" t="n">
        <f aca="false">IF(N188="","",IF(AND(R188="Y",P188&lt;&gt;0),MAX(1,MIN(5,N188+MAX(-Config!$C$27,MIN(Config!$C$27,P188)))),N188))</f>
        <v>3</v>
      </c>
      <c r="T188" s="35" t="str">
        <f aca="false">IF(F188="N/A","N/A",IF(S188="","Not assessed",INDEX(Config!$B$5:$B$9,S188)))</f>
        <v>Medium</v>
      </c>
      <c r="U188" s="7" t="str">
        <f aca="false">IF(P188=0,"None",IF(R188="Y","Applied","Pending HO approval"))</f>
        <v>None</v>
      </c>
      <c r="V188" s="8"/>
    </row>
    <row r="189" customFormat="false" ht="15" hidden="false" customHeight="false" outlineLevel="0" collapsed="false">
      <c r="A189" s="26" t="str">
        <f aca="false">Entities!$A$19</f>
        <v>IQ</v>
      </c>
      <c r="B189" s="12" t="str">
        <f aca="false">INDEX(Entities!$B$5:$B$34,MATCH(A189,Entities!$A$5:$A$34,0))</f>
        <v>Arab Bank Iraq</v>
      </c>
      <c r="C189" s="12" t="str">
        <f aca="false">INDEX(Entities!$D$5:$D$34,MATCH(A189,Entities!$A$5:$A$34,0))</f>
        <v>Iraq and Yemen</v>
      </c>
      <c r="D189" s="12" t="s">
        <v>263</v>
      </c>
      <c r="E189" s="12" t="str">
        <f aca="false">INDEX('Risk Taxonomy'!$B$5:$B$24,MATCH(D189,'Risk Taxonomy'!$A$5:$A$24,0))</f>
        <v>Data protection and privacy</v>
      </c>
      <c r="F189" s="7" t="str">
        <f aca="false">IF(D189="RC-04",IF(INDEX(Entities!$G$5:$G$34,MATCH(A189,Entities!$A$5:$A$34,0))="Y","Yes","N/A"),"Yes")</f>
        <v>Yes</v>
      </c>
      <c r="G189" s="24" t="n">
        <v>5</v>
      </c>
      <c r="H189" s="24" t="n">
        <v>4</v>
      </c>
      <c r="I189" s="24" t="n">
        <v>5</v>
      </c>
      <c r="J189" s="24" t="n">
        <v>4</v>
      </c>
      <c r="K189" s="24" t="n">
        <v>4</v>
      </c>
      <c r="L189" s="37" t="n">
        <f aca="false">IF(F189="N/A","",IF(COUNT(H189:K189)=0,"",IF(Config!$C$19="Highest dimension",MAX(H189:K189),ROUND(H189*Config!$C$20+I189*Config!$C$21+J189*Config!$C$22+K189*Config!$C$23,1))))</f>
        <v>5</v>
      </c>
      <c r="M189" s="38" t="n">
        <f aca="false">IF(OR(L189="",G189=""),"",G189*L189)</f>
        <v>25</v>
      </c>
      <c r="N189" s="31" t="n">
        <f aca="false">IF(M189="","",MATCH(M189,Config!$E$5:$E$9,1))</f>
        <v>5</v>
      </c>
      <c r="O189" s="7" t="str">
        <f aca="false">IF(F189="N/A","N/A",IF(N189="","Not assessed",INDEX(Config!$B$5:$B$9,N189)))</f>
        <v>High</v>
      </c>
      <c r="P189" s="32" t="n">
        <v>0</v>
      </c>
      <c r="Q189" s="8"/>
      <c r="R189" s="33"/>
      <c r="S189" s="34" t="n">
        <f aca="false">IF(N189="","",IF(AND(R189="Y",P189&lt;&gt;0),MAX(1,MIN(5,N189+MAX(-Config!$C$27,MIN(Config!$C$27,P189)))),N189))</f>
        <v>5</v>
      </c>
      <c r="T189" s="35" t="str">
        <f aca="false">IF(F189="N/A","N/A",IF(S189="","Not assessed",INDEX(Config!$B$5:$B$9,S189)))</f>
        <v>High</v>
      </c>
      <c r="U189" s="7" t="str">
        <f aca="false">IF(P189=0,"None",IF(R189="Y","Applied","Pending HO approval"))</f>
        <v>None</v>
      </c>
      <c r="V189" s="8"/>
    </row>
    <row r="190" customFormat="false" ht="15" hidden="false" customHeight="false" outlineLevel="0" collapsed="false">
      <c r="A190" s="26" t="str">
        <f aca="false">Entities!$A$19</f>
        <v>IQ</v>
      </c>
      <c r="B190" s="12" t="str">
        <f aca="false">INDEX(Entities!$B$5:$B$34,MATCH(A190,Entities!$A$5:$A$34,0))</f>
        <v>Arab Bank Iraq</v>
      </c>
      <c r="C190" s="12" t="str">
        <f aca="false">INDEX(Entities!$D$5:$D$34,MATCH(A190,Entities!$A$5:$A$34,0))</f>
        <v>Iraq and Yemen</v>
      </c>
      <c r="D190" s="12" t="s">
        <v>266</v>
      </c>
      <c r="E190" s="12" t="str">
        <f aca="false">INDEX('Risk Taxonomy'!$B$5:$B$24,MATCH(D190,'Risk Taxonomy'!$A$5:$A$24,0))</f>
        <v>Shariah non-compliance</v>
      </c>
      <c r="F190" s="7" t="str">
        <f aca="false">IF(D190="RC-04",IF(INDEX(Entities!$G$5:$G$34,MATCH(A190,Entities!$A$5:$A$34,0))="Y","Yes","N/A"),"Yes")</f>
        <v>N/A</v>
      </c>
      <c r="G190" s="24"/>
      <c r="H190" s="24"/>
      <c r="I190" s="24"/>
      <c r="J190" s="24"/>
      <c r="K190" s="24"/>
      <c r="L190" s="37" t="str">
        <f aca="false">IF(F190="N/A","",IF(COUNT(H190:K190)=0,"",IF(Config!$C$19="Highest dimension",MAX(H190:K190),ROUND(H190*Config!$C$20+I190*Config!$C$21+J190*Config!$C$22+K190*Config!$C$23,1))))</f>
        <v/>
      </c>
      <c r="M190" s="38" t="str">
        <f aca="false">IF(OR(L190="",G190=""),"",G190*L190)</f>
        <v/>
      </c>
      <c r="N190" s="31" t="str">
        <f aca="false">IF(M190="","",MATCH(M190,Config!$E$5:$E$9,1))</f>
        <v/>
      </c>
      <c r="O190" s="7" t="str">
        <f aca="false">IF(F190="N/A","N/A",IF(N190="","Not assessed",INDEX(Config!$B$5:$B$9,N190)))</f>
        <v>N/A</v>
      </c>
      <c r="P190" s="32" t="n">
        <v>0</v>
      </c>
      <c r="Q190" s="8"/>
      <c r="R190" s="33"/>
      <c r="S190" s="34" t="str">
        <f aca="false">IF(N190="","",IF(AND(R190="Y",P190&lt;&gt;0),MAX(1,MIN(5,N190+MAX(-Config!$C$27,MIN(Config!$C$27,P190)))),N190))</f>
        <v/>
      </c>
      <c r="T190" s="35" t="str">
        <f aca="false">IF(F190="N/A","N/A",IF(S190="","Not assessed",INDEX(Config!$B$5:$B$9,S190)))</f>
        <v>N/A</v>
      </c>
      <c r="U190" s="7" t="str">
        <f aca="false">IF(P190=0,"None",IF(R190="Y","Applied","Pending HO approval"))</f>
        <v>None</v>
      </c>
      <c r="V190" s="8"/>
    </row>
    <row r="191" customFormat="false" ht="15" hidden="false" customHeight="false" outlineLevel="0" collapsed="false">
      <c r="A191" s="26" t="str">
        <f aca="false">Entities!$A$19</f>
        <v>IQ</v>
      </c>
      <c r="B191" s="12" t="str">
        <f aca="false">INDEX(Entities!$B$5:$B$34,MATCH(A191,Entities!$A$5:$A$34,0))</f>
        <v>Arab Bank Iraq</v>
      </c>
      <c r="C191" s="12" t="str">
        <f aca="false">INDEX(Entities!$D$5:$D$34,MATCH(A191,Entities!$A$5:$A$34,0))</f>
        <v>Iraq and Yemen</v>
      </c>
      <c r="D191" s="12" t="s">
        <v>270</v>
      </c>
      <c r="E191" s="12" t="str">
        <f aca="false">INDEX('Risk Taxonomy'!$B$5:$B$24,MATCH(D191,'Risk Taxonomy'!$A$5:$A$24,0))</f>
        <v>Credit risk</v>
      </c>
      <c r="F191" s="7" t="str">
        <f aca="false">IF(D191="RC-04",IF(INDEX(Entities!$G$5:$G$34,MATCH(A191,Entities!$A$5:$A$34,0))="Y","Yes","N/A"),"Yes")</f>
        <v>Yes</v>
      </c>
      <c r="G191" s="24" t="n">
        <v>4</v>
      </c>
      <c r="H191" s="24" t="n">
        <v>3</v>
      </c>
      <c r="I191" s="24" t="n">
        <v>4</v>
      </c>
      <c r="J191" s="24" t="n">
        <v>2</v>
      </c>
      <c r="K191" s="24" t="n">
        <v>4</v>
      </c>
      <c r="L191" s="37" t="n">
        <f aca="false">IF(F191="N/A","",IF(COUNT(H191:K191)=0,"",IF(Config!$C$19="Highest dimension",MAX(H191:K191),ROUND(H191*Config!$C$20+I191*Config!$C$21+J191*Config!$C$22+K191*Config!$C$23,1))))</f>
        <v>4</v>
      </c>
      <c r="M191" s="38" t="n">
        <f aca="false">IF(OR(L191="",G191=""),"",G191*L191)</f>
        <v>16</v>
      </c>
      <c r="N191" s="31" t="n">
        <f aca="false">IF(M191="","",MATCH(M191,Config!$E$5:$E$9,1))</f>
        <v>4</v>
      </c>
      <c r="O191" s="7" t="str">
        <f aca="false">IF(F191="N/A","N/A",IF(N191="","Not assessed",INDEX(Config!$B$5:$B$9,N191)))</f>
        <v>Medium-High</v>
      </c>
      <c r="P191" s="32" t="n">
        <v>0</v>
      </c>
      <c r="Q191" s="8"/>
      <c r="R191" s="33"/>
      <c r="S191" s="34" t="n">
        <f aca="false">IF(N191="","",IF(AND(R191="Y",P191&lt;&gt;0),MAX(1,MIN(5,N191+MAX(-Config!$C$27,MIN(Config!$C$27,P191)))),N191))</f>
        <v>4</v>
      </c>
      <c r="T191" s="35" t="str">
        <f aca="false">IF(F191="N/A","N/A",IF(S191="","Not assessed",INDEX(Config!$B$5:$B$9,S191)))</f>
        <v>Medium-High</v>
      </c>
      <c r="U191" s="7" t="str">
        <f aca="false">IF(P191=0,"None",IF(R191="Y","Applied","Pending HO approval"))</f>
        <v>None</v>
      </c>
      <c r="V191" s="8"/>
    </row>
    <row r="192" customFormat="false" ht="15" hidden="false" customHeight="false" outlineLevel="0" collapsed="false">
      <c r="A192" s="26" t="str">
        <f aca="false">Entities!$A$19</f>
        <v>IQ</v>
      </c>
      <c r="B192" s="12" t="str">
        <f aca="false">INDEX(Entities!$B$5:$B$34,MATCH(A192,Entities!$A$5:$A$34,0))</f>
        <v>Arab Bank Iraq</v>
      </c>
      <c r="C192" s="12" t="str">
        <f aca="false">INDEX(Entities!$D$5:$D$34,MATCH(A192,Entities!$A$5:$A$34,0))</f>
        <v>Iraq and Yemen</v>
      </c>
      <c r="D192" s="12" t="s">
        <v>275</v>
      </c>
      <c r="E192" s="12" t="str">
        <f aca="false">INDEX('Risk Taxonomy'!$B$5:$B$24,MATCH(D192,'Risk Taxonomy'!$A$5:$A$24,0))</f>
        <v>Market risk</v>
      </c>
      <c r="F192" s="7" t="str">
        <f aca="false">IF(D192="RC-04",IF(INDEX(Entities!$G$5:$G$34,MATCH(A192,Entities!$A$5:$A$34,0))="Y","Yes","N/A"),"Yes")</f>
        <v>Yes</v>
      </c>
      <c r="G192" s="24" t="n">
        <v>4</v>
      </c>
      <c r="H192" s="24" t="n">
        <v>4</v>
      </c>
      <c r="I192" s="24" t="n">
        <v>4</v>
      </c>
      <c r="J192" s="24" t="n">
        <v>4</v>
      </c>
      <c r="K192" s="24" t="n">
        <v>4</v>
      </c>
      <c r="L192" s="37" t="n">
        <f aca="false">IF(F192="N/A","",IF(COUNT(H192:K192)=0,"",IF(Config!$C$19="Highest dimension",MAX(H192:K192),ROUND(H192*Config!$C$20+I192*Config!$C$21+J192*Config!$C$22+K192*Config!$C$23,1))))</f>
        <v>4</v>
      </c>
      <c r="M192" s="38" t="n">
        <f aca="false">IF(OR(L192="",G192=""),"",G192*L192)</f>
        <v>16</v>
      </c>
      <c r="N192" s="31" t="n">
        <f aca="false">IF(M192="","",MATCH(M192,Config!$E$5:$E$9,1))</f>
        <v>4</v>
      </c>
      <c r="O192" s="7" t="str">
        <f aca="false">IF(F192="N/A","N/A",IF(N192="","Not assessed",INDEX(Config!$B$5:$B$9,N192)))</f>
        <v>Medium-High</v>
      </c>
      <c r="P192" s="32" t="n">
        <v>0</v>
      </c>
      <c r="Q192" s="8"/>
      <c r="R192" s="33"/>
      <c r="S192" s="34" t="n">
        <f aca="false">IF(N192="","",IF(AND(R192="Y",P192&lt;&gt;0),MAX(1,MIN(5,N192+MAX(-Config!$C$27,MIN(Config!$C$27,P192)))),N192))</f>
        <v>4</v>
      </c>
      <c r="T192" s="35" t="str">
        <f aca="false">IF(F192="N/A","N/A",IF(S192="","Not assessed",INDEX(Config!$B$5:$B$9,S192)))</f>
        <v>Medium-High</v>
      </c>
      <c r="U192" s="7" t="str">
        <f aca="false">IF(P192=0,"None",IF(R192="Y","Applied","Pending HO approval"))</f>
        <v>None</v>
      </c>
      <c r="V192" s="8"/>
    </row>
    <row r="193" customFormat="false" ht="15" hidden="false" customHeight="false" outlineLevel="0" collapsed="false">
      <c r="A193" s="26" t="str">
        <f aca="false">Entities!$A$19</f>
        <v>IQ</v>
      </c>
      <c r="B193" s="12" t="str">
        <f aca="false">INDEX(Entities!$B$5:$B$34,MATCH(A193,Entities!$A$5:$A$34,0))</f>
        <v>Arab Bank Iraq</v>
      </c>
      <c r="C193" s="12" t="str">
        <f aca="false">INDEX(Entities!$D$5:$D$34,MATCH(A193,Entities!$A$5:$A$34,0))</f>
        <v>Iraq and Yemen</v>
      </c>
      <c r="D193" s="12" t="s">
        <v>277</v>
      </c>
      <c r="E193" s="12" t="str">
        <f aca="false">INDEX('Risk Taxonomy'!$B$5:$B$24,MATCH(D193,'Risk Taxonomy'!$A$5:$A$24,0))</f>
        <v>Liquidity and funding risk</v>
      </c>
      <c r="F193" s="7" t="str">
        <f aca="false">IF(D193="RC-04",IF(INDEX(Entities!$G$5:$G$34,MATCH(A193,Entities!$A$5:$A$34,0))="Y","Yes","N/A"),"Yes")</f>
        <v>Yes</v>
      </c>
      <c r="G193" s="24" t="n">
        <v>5</v>
      </c>
      <c r="H193" s="24" t="n">
        <v>5</v>
      </c>
      <c r="I193" s="24" t="n">
        <v>3</v>
      </c>
      <c r="J193" s="24" t="n">
        <v>3</v>
      </c>
      <c r="K193" s="24" t="n">
        <v>3</v>
      </c>
      <c r="L193" s="37" t="n">
        <f aca="false">IF(F193="N/A","",IF(COUNT(H193:K193)=0,"",IF(Config!$C$19="Highest dimension",MAX(H193:K193),ROUND(H193*Config!$C$20+I193*Config!$C$21+J193*Config!$C$22+K193*Config!$C$23,1))))</f>
        <v>5</v>
      </c>
      <c r="M193" s="38" t="n">
        <f aca="false">IF(OR(L193="",G193=""),"",G193*L193)</f>
        <v>25</v>
      </c>
      <c r="N193" s="31" t="n">
        <f aca="false">IF(M193="","",MATCH(M193,Config!$E$5:$E$9,1))</f>
        <v>5</v>
      </c>
      <c r="O193" s="7" t="str">
        <f aca="false">IF(F193="N/A","N/A",IF(N193="","Not assessed",INDEX(Config!$B$5:$B$9,N193)))</f>
        <v>High</v>
      </c>
      <c r="P193" s="32" t="n">
        <v>0</v>
      </c>
      <c r="Q193" s="8"/>
      <c r="R193" s="33"/>
      <c r="S193" s="34" t="n">
        <f aca="false">IF(N193="","",IF(AND(R193="Y",P193&lt;&gt;0),MAX(1,MIN(5,N193+MAX(-Config!$C$27,MIN(Config!$C$27,P193)))),N193))</f>
        <v>5</v>
      </c>
      <c r="T193" s="35" t="str">
        <f aca="false">IF(F193="N/A","N/A",IF(S193="","Not assessed",INDEX(Config!$B$5:$B$9,S193)))</f>
        <v>High</v>
      </c>
      <c r="U193" s="7" t="str">
        <f aca="false">IF(P193=0,"None",IF(R193="Y","Applied","Pending HO approval"))</f>
        <v>None</v>
      </c>
      <c r="V193" s="8"/>
    </row>
    <row r="194" customFormat="false" ht="15" hidden="false" customHeight="false" outlineLevel="0" collapsed="false">
      <c r="A194" s="26" t="str">
        <f aca="false">Entities!$A$19</f>
        <v>IQ</v>
      </c>
      <c r="B194" s="12" t="str">
        <f aca="false">INDEX(Entities!$B$5:$B$34,MATCH(A194,Entities!$A$5:$A$34,0))</f>
        <v>Arab Bank Iraq</v>
      </c>
      <c r="C194" s="12" t="str">
        <f aca="false">INDEX(Entities!$D$5:$D$34,MATCH(A194,Entities!$A$5:$A$34,0))</f>
        <v>Iraq and Yemen</v>
      </c>
      <c r="D194" s="12" t="s">
        <v>280</v>
      </c>
      <c r="E194" s="12" t="str">
        <f aca="false">INDEX('Risk Taxonomy'!$B$5:$B$24,MATCH(D194,'Risk Taxonomy'!$A$5:$A$24,0))</f>
        <v>Operational risk</v>
      </c>
      <c r="F194" s="7" t="str">
        <f aca="false">IF(D194="RC-04",IF(INDEX(Entities!$G$5:$G$34,MATCH(A194,Entities!$A$5:$A$34,0))="Y","Yes","N/A"),"Yes")</f>
        <v>Yes</v>
      </c>
      <c r="G194" s="24" t="n">
        <v>4</v>
      </c>
      <c r="H194" s="24" t="n">
        <v>4</v>
      </c>
      <c r="I194" s="24" t="n">
        <v>4</v>
      </c>
      <c r="J194" s="24" t="n">
        <v>3</v>
      </c>
      <c r="K194" s="24" t="n">
        <v>5</v>
      </c>
      <c r="L194" s="37" t="n">
        <f aca="false">IF(F194="N/A","",IF(COUNT(H194:K194)=0,"",IF(Config!$C$19="Highest dimension",MAX(H194:K194),ROUND(H194*Config!$C$20+I194*Config!$C$21+J194*Config!$C$22+K194*Config!$C$23,1))))</f>
        <v>5</v>
      </c>
      <c r="M194" s="38" t="n">
        <f aca="false">IF(OR(L194="",G194=""),"",G194*L194)</f>
        <v>20</v>
      </c>
      <c r="N194" s="31" t="n">
        <f aca="false">IF(M194="","",MATCH(M194,Config!$E$5:$E$9,1))</f>
        <v>5</v>
      </c>
      <c r="O194" s="7" t="str">
        <f aca="false">IF(F194="N/A","N/A",IF(N194="","Not assessed",INDEX(Config!$B$5:$B$9,N194)))</f>
        <v>High</v>
      </c>
      <c r="P194" s="32" t="n">
        <v>0</v>
      </c>
      <c r="Q194" s="8"/>
      <c r="R194" s="33"/>
      <c r="S194" s="34" t="n">
        <f aca="false">IF(N194="","",IF(AND(R194="Y",P194&lt;&gt;0),MAX(1,MIN(5,N194+MAX(-Config!$C$27,MIN(Config!$C$27,P194)))),N194))</f>
        <v>5</v>
      </c>
      <c r="T194" s="35" t="str">
        <f aca="false">IF(F194="N/A","N/A",IF(S194="","Not assessed",INDEX(Config!$B$5:$B$9,S194)))</f>
        <v>High</v>
      </c>
      <c r="U194" s="7" t="str">
        <f aca="false">IF(P194=0,"None",IF(R194="Y","Applied","Pending HO approval"))</f>
        <v>None</v>
      </c>
      <c r="V194" s="8"/>
    </row>
    <row r="195" customFormat="false" ht="15" hidden="false" customHeight="false" outlineLevel="0" collapsed="false">
      <c r="A195" s="26" t="str">
        <f aca="false">Entities!$A$19</f>
        <v>IQ</v>
      </c>
      <c r="B195" s="12" t="str">
        <f aca="false">INDEX(Entities!$B$5:$B$34,MATCH(A195,Entities!$A$5:$A$34,0))</f>
        <v>Arab Bank Iraq</v>
      </c>
      <c r="C195" s="12" t="str">
        <f aca="false">INDEX(Entities!$D$5:$D$34,MATCH(A195,Entities!$A$5:$A$34,0))</f>
        <v>Iraq and Yemen</v>
      </c>
      <c r="D195" s="12" t="s">
        <v>283</v>
      </c>
      <c r="E195" s="12" t="str">
        <f aca="false">INDEX('Risk Taxonomy'!$B$5:$B$24,MATCH(D195,'Risk Taxonomy'!$A$5:$A$24,0))</f>
        <v>Cyber, information security and technology</v>
      </c>
      <c r="F195" s="7" t="str">
        <f aca="false">IF(D195="RC-04",IF(INDEX(Entities!$G$5:$G$34,MATCH(A195,Entities!$A$5:$A$34,0))="Y","Yes","N/A"),"Yes")</f>
        <v>Yes</v>
      </c>
      <c r="G195" s="24" t="n">
        <v>5</v>
      </c>
      <c r="H195" s="24" t="n">
        <v>3</v>
      </c>
      <c r="I195" s="24" t="n">
        <v>4</v>
      </c>
      <c r="J195" s="24" t="n">
        <v>4</v>
      </c>
      <c r="K195" s="24" t="n">
        <v>4</v>
      </c>
      <c r="L195" s="37" t="n">
        <f aca="false">IF(F195="N/A","",IF(COUNT(H195:K195)=0,"",IF(Config!$C$19="Highest dimension",MAX(H195:K195),ROUND(H195*Config!$C$20+I195*Config!$C$21+J195*Config!$C$22+K195*Config!$C$23,1))))</f>
        <v>4</v>
      </c>
      <c r="M195" s="38" t="n">
        <f aca="false">IF(OR(L195="",G195=""),"",G195*L195)</f>
        <v>20</v>
      </c>
      <c r="N195" s="31" t="n">
        <f aca="false">IF(M195="","",MATCH(M195,Config!$E$5:$E$9,1))</f>
        <v>5</v>
      </c>
      <c r="O195" s="7" t="str">
        <f aca="false">IF(F195="N/A","N/A",IF(N195="","Not assessed",INDEX(Config!$B$5:$B$9,N195)))</f>
        <v>High</v>
      </c>
      <c r="P195" s="32" t="n">
        <v>0</v>
      </c>
      <c r="Q195" s="8"/>
      <c r="R195" s="33"/>
      <c r="S195" s="34" t="n">
        <f aca="false">IF(N195="","",IF(AND(R195="Y",P195&lt;&gt;0),MAX(1,MIN(5,N195+MAX(-Config!$C$27,MIN(Config!$C$27,P195)))),N195))</f>
        <v>5</v>
      </c>
      <c r="T195" s="35" t="str">
        <f aca="false">IF(F195="N/A","N/A",IF(S195="","Not assessed",INDEX(Config!$B$5:$B$9,S195)))</f>
        <v>High</v>
      </c>
      <c r="U195" s="7" t="str">
        <f aca="false">IF(P195=0,"None",IF(R195="Y","Applied","Pending HO approval"))</f>
        <v>None</v>
      </c>
      <c r="V195" s="8"/>
    </row>
    <row r="196" customFormat="false" ht="15" hidden="false" customHeight="false" outlineLevel="0" collapsed="false">
      <c r="A196" s="26" t="str">
        <f aca="false">Entities!$A$19</f>
        <v>IQ</v>
      </c>
      <c r="B196" s="12" t="str">
        <f aca="false">INDEX(Entities!$B$5:$B$34,MATCH(A196,Entities!$A$5:$A$34,0))</f>
        <v>Arab Bank Iraq</v>
      </c>
      <c r="C196" s="12" t="str">
        <f aca="false">INDEX(Entities!$D$5:$D$34,MATCH(A196,Entities!$A$5:$A$34,0))</f>
        <v>Iraq and Yemen</v>
      </c>
      <c r="D196" s="12" t="s">
        <v>286</v>
      </c>
      <c r="E196" s="12" t="str">
        <f aca="false">INDEX('Risk Taxonomy'!$B$5:$B$24,MATCH(D196,'Risk Taxonomy'!$A$5:$A$24,0))</f>
        <v>Third-party and outsourcing</v>
      </c>
      <c r="F196" s="7" t="str">
        <f aca="false">IF(D196="RC-04",IF(INDEX(Entities!$G$5:$G$34,MATCH(A196,Entities!$A$5:$A$34,0))="Y","Yes","N/A"),"Yes")</f>
        <v>Yes</v>
      </c>
      <c r="G196" s="24" t="n">
        <v>4</v>
      </c>
      <c r="H196" s="24" t="n">
        <v>3</v>
      </c>
      <c r="I196" s="24" t="n">
        <v>2</v>
      </c>
      <c r="J196" s="24" t="n">
        <v>4</v>
      </c>
      <c r="K196" s="24" t="n">
        <v>4</v>
      </c>
      <c r="L196" s="37" t="n">
        <f aca="false">IF(F196="N/A","",IF(COUNT(H196:K196)=0,"",IF(Config!$C$19="Highest dimension",MAX(H196:K196),ROUND(H196*Config!$C$20+I196*Config!$C$21+J196*Config!$C$22+K196*Config!$C$23,1))))</f>
        <v>4</v>
      </c>
      <c r="M196" s="38" t="n">
        <f aca="false">IF(OR(L196="",G196=""),"",G196*L196)</f>
        <v>16</v>
      </c>
      <c r="N196" s="31" t="n">
        <f aca="false">IF(M196="","",MATCH(M196,Config!$E$5:$E$9,1))</f>
        <v>4</v>
      </c>
      <c r="O196" s="7" t="str">
        <f aca="false">IF(F196="N/A","N/A",IF(N196="","Not assessed",INDEX(Config!$B$5:$B$9,N196)))</f>
        <v>Medium-High</v>
      </c>
      <c r="P196" s="32" t="n">
        <v>0</v>
      </c>
      <c r="Q196" s="8"/>
      <c r="R196" s="33"/>
      <c r="S196" s="34" t="n">
        <f aca="false">IF(N196="","",IF(AND(R196="Y",P196&lt;&gt;0),MAX(1,MIN(5,N196+MAX(-Config!$C$27,MIN(Config!$C$27,P196)))),N196))</f>
        <v>4</v>
      </c>
      <c r="T196" s="35" t="str">
        <f aca="false">IF(F196="N/A","N/A",IF(S196="","Not assessed",INDEX(Config!$B$5:$B$9,S196)))</f>
        <v>Medium-High</v>
      </c>
      <c r="U196" s="7" t="str">
        <f aca="false">IF(P196=0,"None",IF(R196="Y","Applied","Pending HO approval"))</f>
        <v>None</v>
      </c>
      <c r="V196" s="8"/>
    </row>
    <row r="197" customFormat="false" ht="15" hidden="false" customHeight="false" outlineLevel="0" collapsed="false">
      <c r="A197" s="26" t="str">
        <f aca="false">Entities!$A$19</f>
        <v>IQ</v>
      </c>
      <c r="B197" s="12" t="str">
        <f aca="false">INDEX(Entities!$B$5:$B$34,MATCH(A197,Entities!$A$5:$A$34,0))</f>
        <v>Arab Bank Iraq</v>
      </c>
      <c r="C197" s="12" t="str">
        <f aca="false">INDEX(Entities!$D$5:$D$34,MATCH(A197,Entities!$A$5:$A$34,0))</f>
        <v>Iraq and Yemen</v>
      </c>
      <c r="D197" s="12" t="s">
        <v>289</v>
      </c>
      <c r="E197" s="12" t="str">
        <f aca="false">INDEX('Risk Taxonomy'!$B$5:$B$24,MATCH(D197,'Risk Taxonomy'!$A$5:$A$24,0))</f>
        <v>Legal and litigation</v>
      </c>
      <c r="F197" s="7" t="str">
        <f aca="false">IF(D197="RC-04",IF(INDEX(Entities!$G$5:$G$34,MATCH(A197,Entities!$A$5:$A$34,0))="Y","Yes","N/A"),"Yes")</f>
        <v>Yes</v>
      </c>
      <c r="G197" s="24" t="n">
        <v>3</v>
      </c>
      <c r="H197" s="24" t="n">
        <v>4</v>
      </c>
      <c r="I197" s="24" t="n">
        <v>4</v>
      </c>
      <c r="J197" s="24" t="n">
        <v>3</v>
      </c>
      <c r="K197" s="24" t="n">
        <v>3</v>
      </c>
      <c r="L197" s="37" t="n">
        <f aca="false">IF(F197="N/A","",IF(COUNT(H197:K197)=0,"",IF(Config!$C$19="Highest dimension",MAX(H197:K197),ROUND(H197*Config!$C$20+I197*Config!$C$21+J197*Config!$C$22+K197*Config!$C$23,1))))</f>
        <v>4</v>
      </c>
      <c r="M197" s="38" t="n">
        <f aca="false">IF(OR(L197="",G197=""),"",G197*L197)</f>
        <v>12</v>
      </c>
      <c r="N197" s="31" t="n">
        <f aca="false">IF(M197="","",MATCH(M197,Config!$E$5:$E$9,1))</f>
        <v>3</v>
      </c>
      <c r="O197" s="7" t="str">
        <f aca="false">IF(F197="N/A","N/A",IF(N197="","Not assessed",INDEX(Config!$B$5:$B$9,N197)))</f>
        <v>Medium</v>
      </c>
      <c r="P197" s="32" t="n">
        <v>0</v>
      </c>
      <c r="Q197" s="8"/>
      <c r="R197" s="33"/>
      <c r="S197" s="34" t="n">
        <f aca="false">IF(N197="","",IF(AND(R197="Y",P197&lt;&gt;0),MAX(1,MIN(5,N197+MAX(-Config!$C$27,MIN(Config!$C$27,P197)))),N197))</f>
        <v>3</v>
      </c>
      <c r="T197" s="35" t="str">
        <f aca="false">IF(F197="N/A","N/A",IF(S197="","Not assessed",INDEX(Config!$B$5:$B$9,S197)))</f>
        <v>Medium</v>
      </c>
      <c r="U197" s="7" t="str">
        <f aca="false">IF(P197=0,"None",IF(R197="Y","Applied","Pending HO approval"))</f>
        <v>None</v>
      </c>
      <c r="V197" s="8"/>
    </row>
    <row r="198" customFormat="false" ht="15" hidden="false" customHeight="false" outlineLevel="0" collapsed="false">
      <c r="A198" s="26" t="str">
        <f aca="false">Entities!$A$19</f>
        <v>IQ</v>
      </c>
      <c r="B198" s="12" t="str">
        <f aca="false">INDEX(Entities!$B$5:$B$34,MATCH(A198,Entities!$A$5:$A$34,0))</f>
        <v>Arab Bank Iraq</v>
      </c>
      <c r="C198" s="12" t="str">
        <f aca="false">INDEX(Entities!$D$5:$D$34,MATCH(A198,Entities!$A$5:$A$34,0))</f>
        <v>Iraq and Yemen</v>
      </c>
      <c r="D198" s="12" t="s">
        <v>292</v>
      </c>
      <c r="E198" s="12" t="str">
        <f aca="false">INDEX('Risk Taxonomy'!$B$5:$B$24,MATCH(D198,'Risk Taxonomy'!$A$5:$A$24,0))</f>
        <v>Reputational</v>
      </c>
      <c r="F198" s="7" t="str">
        <f aca="false">IF(D198="RC-04",IF(INDEX(Entities!$G$5:$G$34,MATCH(A198,Entities!$A$5:$A$34,0))="Y","Yes","N/A"),"Yes")</f>
        <v>Yes</v>
      </c>
      <c r="G198" s="24" t="n">
        <v>4</v>
      </c>
      <c r="H198" s="24" t="n">
        <v>5</v>
      </c>
      <c r="I198" s="24" t="n">
        <v>4</v>
      </c>
      <c r="J198" s="24" t="n">
        <v>3</v>
      </c>
      <c r="K198" s="24" t="n">
        <v>4</v>
      </c>
      <c r="L198" s="37" t="n">
        <f aca="false">IF(F198="N/A","",IF(COUNT(H198:K198)=0,"",IF(Config!$C$19="Highest dimension",MAX(H198:K198),ROUND(H198*Config!$C$20+I198*Config!$C$21+J198*Config!$C$22+K198*Config!$C$23,1))))</f>
        <v>5</v>
      </c>
      <c r="M198" s="38" t="n">
        <f aca="false">IF(OR(L198="",G198=""),"",G198*L198)</f>
        <v>20</v>
      </c>
      <c r="N198" s="31" t="n">
        <f aca="false">IF(M198="","",MATCH(M198,Config!$E$5:$E$9,1))</f>
        <v>5</v>
      </c>
      <c r="O198" s="7" t="str">
        <f aca="false">IF(F198="N/A","N/A",IF(N198="","Not assessed",INDEX(Config!$B$5:$B$9,N198)))</f>
        <v>High</v>
      </c>
      <c r="P198" s="32" t="n">
        <v>0</v>
      </c>
      <c r="Q198" s="8"/>
      <c r="R198" s="33"/>
      <c r="S198" s="34" t="n">
        <f aca="false">IF(N198="","",IF(AND(R198="Y",P198&lt;&gt;0),MAX(1,MIN(5,N198+MAX(-Config!$C$27,MIN(Config!$C$27,P198)))),N198))</f>
        <v>5</v>
      </c>
      <c r="T198" s="35" t="str">
        <f aca="false">IF(F198="N/A","N/A",IF(S198="","Not assessed",INDEX(Config!$B$5:$B$9,S198)))</f>
        <v>High</v>
      </c>
      <c r="U198" s="7" t="str">
        <f aca="false">IF(P198=0,"None",IF(R198="Y","Applied","Pending HO approval"))</f>
        <v>None</v>
      </c>
      <c r="V198" s="8"/>
    </row>
    <row r="199" customFormat="false" ht="15" hidden="false" customHeight="false" outlineLevel="0" collapsed="false">
      <c r="A199" s="26" t="str">
        <f aca="false">Entities!$A$19</f>
        <v>IQ</v>
      </c>
      <c r="B199" s="12" t="str">
        <f aca="false">INDEX(Entities!$B$5:$B$34,MATCH(A199,Entities!$A$5:$A$34,0))</f>
        <v>Arab Bank Iraq</v>
      </c>
      <c r="C199" s="12" t="str">
        <f aca="false">INDEX(Entities!$D$5:$D$34,MATCH(A199,Entities!$A$5:$A$34,0))</f>
        <v>Iraq and Yemen</v>
      </c>
      <c r="D199" s="12" t="s">
        <v>295</v>
      </c>
      <c r="E199" s="12" t="str">
        <f aca="false">INDEX('Risk Taxonomy'!$B$5:$B$24,MATCH(D199,'Risk Taxonomy'!$A$5:$A$24,0))</f>
        <v>Strategic, business model and ESG</v>
      </c>
      <c r="F199" s="7" t="str">
        <f aca="false">IF(D199="RC-04",IF(INDEX(Entities!$G$5:$G$34,MATCH(A199,Entities!$A$5:$A$34,0))="Y","Yes","N/A"),"Yes")</f>
        <v>Yes</v>
      </c>
      <c r="G199" s="24" t="n">
        <v>4</v>
      </c>
      <c r="H199" s="24" t="n">
        <v>2</v>
      </c>
      <c r="I199" s="24" t="n">
        <v>3</v>
      </c>
      <c r="J199" s="24" t="n">
        <v>2</v>
      </c>
      <c r="K199" s="24" t="n">
        <v>4</v>
      </c>
      <c r="L199" s="37" t="n">
        <f aca="false">IF(F199="N/A","",IF(COUNT(H199:K199)=0,"",IF(Config!$C$19="Highest dimension",MAX(H199:K199),ROUND(H199*Config!$C$20+I199*Config!$C$21+J199*Config!$C$22+K199*Config!$C$23,1))))</f>
        <v>4</v>
      </c>
      <c r="M199" s="38" t="n">
        <f aca="false">IF(OR(L199="",G199=""),"",G199*L199)</f>
        <v>16</v>
      </c>
      <c r="N199" s="31" t="n">
        <f aca="false">IF(M199="","",MATCH(M199,Config!$E$5:$E$9,1))</f>
        <v>4</v>
      </c>
      <c r="O199" s="7" t="str">
        <f aca="false">IF(F199="N/A","N/A",IF(N199="","Not assessed",INDEX(Config!$B$5:$B$9,N199)))</f>
        <v>Medium-High</v>
      </c>
      <c r="P199" s="32" t="n">
        <v>0</v>
      </c>
      <c r="Q199" s="8"/>
      <c r="R199" s="33"/>
      <c r="S199" s="34" t="n">
        <f aca="false">IF(N199="","",IF(AND(R199="Y",P199&lt;&gt;0),MAX(1,MIN(5,N199+MAX(-Config!$C$27,MIN(Config!$C$27,P199)))),N199))</f>
        <v>4</v>
      </c>
      <c r="T199" s="35" t="str">
        <f aca="false">IF(F199="N/A","N/A",IF(S199="","Not assessed",INDEX(Config!$B$5:$B$9,S199)))</f>
        <v>Medium-High</v>
      </c>
      <c r="U199" s="7" t="str">
        <f aca="false">IF(P199=0,"None",IF(R199="Y","Applied","Pending HO approval"))</f>
        <v>None</v>
      </c>
      <c r="V199" s="8"/>
    </row>
    <row r="200" customFormat="false" ht="15" hidden="false" customHeight="false" outlineLevel="0" collapsed="false">
      <c r="A200" s="26" t="str">
        <f aca="false">Entities!$A$20</f>
        <v>YE</v>
      </c>
      <c r="B200" s="12" t="str">
        <f aca="false">INDEX(Entities!$B$5:$B$34,MATCH(A200,Entities!$A$5:$A$34,0))</f>
        <v>Arab Bank – Yemen</v>
      </c>
      <c r="C200" s="12" t="str">
        <f aca="false">INDEX(Entities!$D$5:$D$34,MATCH(A200,Entities!$A$5:$A$34,0))</f>
        <v>Iraq and Yemen</v>
      </c>
      <c r="D200" s="12" t="s">
        <v>257</v>
      </c>
      <c r="E200" s="12" t="str">
        <f aca="false">INDEX('Risk Taxonomy'!$B$5:$B$24,MATCH(D200,'Risk Taxonomy'!$A$5:$A$24,0))</f>
        <v>Regulatory compliance</v>
      </c>
      <c r="F200" s="7" t="str">
        <f aca="false">IF(D200="RC-04",IF(INDEX(Entities!$G$5:$G$34,MATCH(A200,Entities!$A$5:$A$34,0))="Y","Yes","N/A"),"Yes")</f>
        <v>Yes</v>
      </c>
      <c r="G200" s="24" t="n">
        <v>5</v>
      </c>
      <c r="H200" s="24" t="n">
        <v>4</v>
      </c>
      <c r="I200" s="24" t="n">
        <v>3</v>
      </c>
      <c r="J200" s="24" t="n">
        <v>3</v>
      </c>
      <c r="K200" s="24" t="n">
        <v>3</v>
      </c>
      <c r="L200" s="37" t="n">
        <f aca="false">IF(F200="N/A","",IF(COUNT(H200:K200)=0,"",IF(Config!$C$19="Highest dimension",MAX(H200:K200),ROUND(H200*Config!$C$20+I200*Config!$C$21+J200*Config!$C$22+K200*Config!$C$23,1))))</f>
        <v>4</v>
      </c>
      <c r="M200" s="38" t="n">
        <f aca="false">IF(OR(L200="",G200=""),"",G200*L200)</f>
        <v>20</v>
      </c>
      <c r="N200" s="31" t="n">
        <f aca="false">IF(M200="","",MATCH(M200,Config!$E$5:$E$9,1))</f>
        <v>5</v>
      </c>
      <c r="O200" s="7" t="str">
        <f aca="false">IF(F200="N/A","N/A",IF(N200="","Not assessed",INDEX(Config!$B$5:$B$9,N200)))</f>
        <v>High</v>
      </c>
      <c r="P200" s="32" t="n">
        <v>0</v>
      </c>
      <c r="Q200" s="8"/>
      <c r="R200" s="33"/>
      <c r="S200" s="34" t="n">
        <f aca="false">IF(N200="","",IF(AND(R200="Y",P200&lt;&gt;0),MAX(1,MIN(5,N200+MAX(-Config!$C$27,MIN(Config!$C$27,P200)))),N200))</f>
        <v>5</v>
      </c>
      <c r="T200" s="35" t="str">
        <f aca="false">IF(F200="N/A","N/A",IF(S200="","Not assessed",INDEX(Config!$B$5:$B$9,S200)))</f>
        <v>High</v>
      </c>
      <c r="U200" s="7" t="str">
        <f aca="false">IF(P200=0,"None",IF(R200="Y","Applied","Pending HO approval"))</f>
        <v>None</v>
      </c>
      <c r="V200" s="8"/>
    </row>
    <row r="201" customFormat="false" ht="15" hidden="false" customHeight="false" outlineLevel="0" collapsed="false">
      <c r="A201" s="26" t="str">
        <f aca="false">Entities!$A$20</f>
        <v>YE</v>
      </c>
      <c r="B201" s="12" t="str">
        <f aca="false">INDEX(Entities!$B$5:$B$34,MATCH(A201,Entities!$A$5:$A$34,0))</f>
        <v>Arab Bank – Yemen</v>
      </c>
      <c r="C201" s="12" t="str">
        <f aca="false">INDEX(Entities!$D$5:$D$34,MATCH(A201,Entities!$A$5:$A$34,0))</f>
        <v>Iraq and Yemen</v>
      </c>
      <c r="D201" s="12" t="s">
        <v>261</v>
      </c>
      <c r="E201" s="12" t="str">
        <f aca="false">INDEX('Risk Taxonomy'!$B$5:$B$24,MATCH(D201,'Risk Taxonomy'!$A$5:$A$24,0))</f>
        <v>Conduct and consumer protection</v>
      </c>
      <c r="F201" s="7" t="str">
        <f aca="false">IF(D201="RC-04",IF(INDEX(Entities!$G$5:$G$34,MATCH(A201,Entities!$A$5:$A$34,0))="Y","Yes","N/A"),"Yes")</f>
        <v>Yes</v>
      </c>
      <c r="G201" s="24" t="n">
        <v>3</v>
      </c>
      <c r="H201" s="24" t="n">
        <v>3</v>
      </c>
      <c r="I201" s="24" t="n">
        <v>3</v>
      </c>
      <c r="J201" s="24" t="n">
        <v>4</v>
      </c>
      <c r="K201" s="24" t="n">
        <v>4</v>
      </c>
      <c r="L201" s="37" t="n">
        <f aca="false">IF(F201="N/A","",IF(COUNT(H201:K201)=0,"",IF(Config!$C$19="Highest dimension",MAX(H201:K201),ROUND(H201*Config!$C$20+I201*Config!$C$21+J201*Config!$C$22+K201*Config!$C$23,1))))</f>
        <v>4</v>
      </c>
      <c r="M201" s="38" t="n">
        <f aca="false">IF(OR(L201="",G201=""),"",G201*L201)</f>
        <v>12</v>
      </c>
      <c r="N201" s="31" t="n">
        <f aca="false">IF(M201="","",MATCH(M201,Config!$E$5:$E$9,1))</f>
        <v>3</v>
      </c>
      <c r="O201" s="7" t="str">
        <f aca="false">IF(F201="N/A","N/A",IF(N201="","Not assessed",INDEX(Config!$B$5:$B$9,N201)))</f>
        <v>Medium</v>
      </c>
      <c r="P201" s="32" t="n">
        <v>0</v>
      </c>
      <c r="Q201" s="8"/>
      <c r="R201" s="33"/>
      <c r="S201" s="34" t="n">
        <f aca="false">IF(N201="","",IF(AND(R201="Y",P201&lt;&gt;0),MAX(1,MIN(5,N201+MAX(-Config!$C$27,MIN(Config!$C$27,P201)))),N201))</f>
        <v>3</v>
      </c>
      <c r="T201" s="35" t="str">
        <f aca="false">IF(F201="N/A","N/A",IF(S201="","Not assessed",INDEX(Config!$B$5:$B$9,S201)))</f>
        <v>Medium</v>
      </c>
      <c r="U201" s="7" t="str">
        <f aca="false">IF(P201=0,"None",IF(R201="Y","Applied","Pending HO approval"))</f>
        <v>None</v>
      </c>
      <c r="V201" s="8"/>
    </row>
    <row r="202" customFormat="false" ht="15" hidden="false" customHeight="false" outlineLevel="0" collapsed="false">
      <c r="A202" s="26" t="str">
        <f aca="false">Entities!$A$20</f>
        <v>YE</v>
      </c>
      <c r="B202" s="12" t="str">
        <f aca="false">INDEX(Entities!$B$5:$B$34,MATCH(A202,Entities!$A$5:$A$34,0))</f>
        <v>Arab Bank – Yemen</v>
      </c>
      <c r="C202" s="12" t="str">
        <f aca="false">INDEX(Entities!$D$5:$D$34,MATCH(A202,Entities!$A$5:$A$34,0))</f>
        <v>Iraq and Yemen</v>
      </c>
      <c r="D202" s="12" t="s">
        <v>263</v>
      </c>
      <c r="E202" s="12" t="str">
        <f aca="false">INDEX('Risk Taxonomy'!$B$5:$B$24,MATCH(D202,'Risk Taxonomy'!$A$5:$A$24,0))</f>
        <v>Data protection and privacy</v>
      </c>
      <c r="F202" s="7" t="str">
        <f aca="false">IF(D202="RC-04",IF(INDEX(Entities!$G$5:$G$34,MATCH(A202,Entities!$A$5:$A$34,0))="Y","Yes","N/A"),"Yes")</f>
        <v>Yes</v>
      </c>
      <c r="G202" s="24" t="n">
        <v>3</v>
      </c>
      <c r="H202" s="24" t="n">
        <v>4</v>
      </c>
      <c r="I202" s="24" t="n">
        <v>5</v>
      </c>
      <c r="J202" s="24" t="n">
        <v>3</v>
      </c>
      <c r="K202" s="24" t="n">
        <v>4</v>
      </c>
      <c r="L202" s="37" t="n">
        <f aca="false">IF(F202="N/A","",IF(COUNT(H202:K202)=0,"",IF(Config!$C$19="Highest dimension",MAX(H202:K202),ROUND(H202*Config!$C$20+I202*Config!$C$21+J202*Config!$C$22+K202*Config!$C$23,1))))</f>
        <v>5</v>
      </c>
      <c r="M202" s="38" t="n">
        <f aca="false">IF(OR(L202="",G202=""),"",G202*L202)</f>
        <v>15</v>
      </c>
      <c r="N202" s="31" t="n">
        <f aca="false">IF(M202="","",MATCH(M202,Config!$E$5:$E$9,1))</f>
        <v>4</v>
      </c>
      <c r="O202" s="7" t="str">
        <f aca="false">IF(F202="N/A","N/A",IF(N202="","Not assessed",INDEX(Config!$B$5:$B$9,N202)))</f>
        <v>Medium-High</v>
      </c>
      <c r="P202" s="32" t="n">
        <v>0</v>
      </c>
      <c r="Q202" s="8"/>
      <c r="R202" s="33"/>
      <c r="S202" s="34" t="n">
        <f aca="false">IF(N202="","",IF(AND(R202="Y",P202&lt;&gt;0),MAX(1,MIN(5,N202+MAX(-Config!$C$27,MIN(Config!$C$27,P202)))),N202))</f>
        <v>4</v>
      </c>
      <c r="T202" s="35" t="str">
        <f aca="false">IF(F202="N/A","N/A",IF(S202="","Not assessed",INDEX(Config!$B$5:$B$9,S202)))</f>
        <v>Medium-High</v>
      </c>
      <c r="U202" s="7" t="str">
        <f aca="false">IF(P202=0,"None",IF(R202="Y","Applied","Pending HO approval"))</f>
        <v>None</v>
      </c>
      <c r="V202" s="8"/>
    </row>
    <row r="203" customFormat="false" ht="15" hidden="false" customHeight="false" outlineLevel="0" collapsed="false">
      <c r="A203" s="26" t="str">
        <f aca="false">Entities!$A$20</f>
        <v>YE</v>
      </c>
      <c r="B203" s="12" t="str">
        <f aca="false">INDEX(Entities!$B$5:$B$34,MATCH(A203,Entities!$A$5:$A$34,0))</f>
        <v>Arab Bank – Yemen</v>
      </c>
      <c r="C203" s="12" t="str">
        <f aca="false">INDEX(Entities!$D$5:$D$34,MATCH(A203,Entities!$A$5:$A$34,0))</f>
        <v>Iraq and Yemen</v>
      </c>
      <c r="D203" s="12" t="s">
        <v>266</v>
      </c>
      <c r="E203" s="12" t="str">
        <f aca="false">INDEX('Risk Taxonomy'!$B$5:$B$24,MATCH(D203,'Risk Taxonomy'!$A$5:$A$24,0))</f>
        <v>Shariah non-compliance</v>
      </c>
      <c r="F203" s="7" t="str">
        <f aca="false">IF(D203="RC-04",IF(INDEX(Entities!$G$5:$G$34,MATCH(A203,Entities!$A$5:$A$34,0))="Y","Yes","N/A"),"Yes")</f>
        <v>N/A</v>
      </c>
      <c r="G203" s="24"/>
      <c r="H203" s="24"/>
      <c r="I203" s="24"/>
      <c r="J203" s="24"/>
      <c r="K203" s="24"/>
      <c r="L203" s="37" t="str">
        <f aca="false">IF(F203="N/A","",IF(COUNT(H203:K203)=0,"",IF(Config!$C$19="Highest dimension",MAX(H203:K203),ROUND(H203*Config!$C$20+I203*Config!$C$21+J203*Config!$C$22+K203*Config!$C$23,1))))</f>
        <v/>
      </c>
      <c r="M203" s="38" t="str">
        <f aca="false">IF(OR(L203="",G203=""),"",G203*L203)</f>
        <v/>
      </c>
      <c r="N203" s="31" t="str">
        <f aca="false">IF(M203="","",MATCH(M203,Config!$E$5:$E$9,1))</f>
        <v/>
      </c>
      <c r="O203" s="7" t="str">
        <f aca="false">IF(F203="N/A","N/A",IF(N203="","Not assessed",INDEX(Config!$B$5:$B$9,N203)))</f>
        <v>N/A</v>
      </c>
      <c r="P203" s="32" t="n">
        <v>0</v>
      </c>
      <c r="Q203" s="8"/>
      <c r="R203" s="33"/>
      <c r="S203" s="34" t="str">
        <f aca="false">IF(N203="","",IF(AND(R203="Y",P203&lt;&gt;0),MAX(1,MIN(5,N203+MAX(-Config!$C$27,MIN(Config!$C$27,P203)))),N203))</f>
        <v/>
      </c>
      <c r="T203" s="35" t="str">
        <f aca="false">IF(F203="N/A","N/A",IF(S203="","Not assessed",INDEX(Config!$B$5:$B$9,S203)))</f>
        <v>N/A</v>
      </c>
      <c r="U203" s="7" t="str">
        <f aca="false">IF(P203=0,"None",IF(R203="Y","Applied","Pending HO approval"))</f>
        <v>None</v>
      </c>
      <c r="V203" s="8"/>
    </row>
    <row r="204" customFormat="false" ht="15" hidden="false" customHeight="false" outlineLevel="0" collapsed="false">
      <c r="A204" s="26" t="str">
        <f aca="false">Entities!$A$20</f>
        <v>YE</v>
      </c>
      <c r="B204" s="12" t="str">
        <f aca="false">INDEX(Entities!$B$5:$B$34,MATCH(A204,Entities!$A$5:$A$34,0))</f>
        <v>Arab Bank – Yemen</v>
      </c>
      <c r="C204" s="12" t="str">
        <f aca="false">INDEX(Entities!$D$5:$D$34,MATCH(A204,Entities!$A$5:$A$34,0))</f>
        <v>Iraq and Yemen</v>
      </c>
      <c r="D204" s="12" t="s">
        <v>270</v>
      </c>
      <c r="E204" s="12" t="str">
        <f aca="false">INDEX('Risk Taxonomy'!$B$5:$B$24,MATCH(D204,'Risk Taxonomy'!$A$5:$A$24,0))</f>
        <v>Credit risk</v>
      </c>
      <c r="F204" s="7" t="str">
        <f aca="false">IF(D204="RC-04",IF(INDEX(Entities!$G$5:$G$34,MATCH(A204,Entities!$A$5:$A$34,0))="Y","Yes","N/A"),"Yes")</f>
        <v>Yes</v>
      </c>
      <c r="G204" s="24" t="n">
        <v>5</v>
      </c>
      <c r="H204" s="24" t="n">
        <v>4</v>
      </c>
      <c r="I204" s="24" t="n">
        <v>3</v>
      </c>
      <c r="J204" s="24" t="n">
        <v>5</v>
      </c>
      <c r="K204" s="24" t="n">
        <v>4</v>
      </c>
      <c r="L204" s="37" t="n">
        <f aca="false">IF(F204="N/A","",IF(COUNT(H204:K204)=0,"",IF(Config!$C$19="Highest dimension",MAX(H204:K204),ROUND(H204*Config!$C$20+I204*Config!$C$21+J204*Config!$C$22+K204*Config!$C$23,1))))</f>
        <v>5</v>
      </c>
      <c r="M204" s="38" t="n">
        <f aca="false">IF(OR(L204="",G204=""),"",G204*L204)</f>
        <v>25</v>
      </c>
      <c r="N204" s="31" t="n">
        <f aca="false">IF(M204="","",MATCH(M204,Config!$E$5:$E$9,1))</f>
        <v>5</v>
      </c>
      <c r="O204" s="7" t="str">
        <f aca="false">IF(F204="N/A","N/A",IF(N204="","Not assessed",INDEX(Config!$B$5:$B$9,N204)))</f>
        <v>High</v>
      </c>
      <c r="P204" s="32" t="n">
        <v>0</v>
      </c>
      <c r="Q204" s="8"/>
      <c r="R204" s="33"/>
      <c r="S204" s="34" t="n">
        <f aca="false">IF(N204="","",IF(AND(R204="Y",P204&lt;&gt;0),MAX(1,MIN(5,N204+MAX(-Config!$C$27,MIN(Config!$C$27,P204)))),N204))</f>
        <v>5</v>
      </c>
      <c r="T204" s="35" t="str">
        <f aca="false">IF(F204="N/A","N/A",IF(S204="","Not assessed",INDEX(Config!$B$5:$B$9,S204)))</f>
        <v>High</v>
      </c>
      <c r="U204" s="7" t="str">
        <f aca="false">IF(P204=0,"None",IF(R204="Y","Applied","Pending HO approval"))</f>
        <v>None</v>
      </c>
      <c r="V204" s="8"/>
    </row>
    <row r="205" customFormat="false" ht="15" hidden="false" customHeight="false" outlineLevel="0" collapsed="false">
      <c r="A205" s="26" t="str">
        <f aca="false">Entities!$A$20</f>
        <v>YE</v>
      </c>
      <c r="B205" s="12" t="str">
        <f aca="false">INDEX(Entities!$B$5:$B$34,MATCH(A205,Entities!$A$5:$A$34,0))</f>
        <v>Arab Bank – Yemen</v>
      </c>
      <c r="C205" s="12" t="str">
        <f aca="false">INDEX(Entities!$D$5:$D$34,MATCH(A205,Entities!$A$5:$A$34,0))</f>
        <v>Iraq and Yemen</v>
      </c>
      <c r="D205" s="12" t="s">
        <v>275</v>
      </c>
      <c r="E205" s="12" t="str">
        <f aca="false">INDEX('Risk Taxonomy'!$B$5:$B$24,MATCH(D205,'Risk Taxonomy'!$A$5:$A$24,0))</f>
        <v>Market risk</v>
      </c>
      <c r="F205" s="7" t="str">
        <f aca="false">IF(D205="RC-04",IF(INDEX(Entities!$G$5:$G$34,MATCH(A205,Entities!$A$5:$A$34,0))="Y","Yes","N/A"),"Yes")</f>
        <v>Yes</v>
      </c>
      <c r="G205" s="24" t="n">
        <v>4</v>
      </c>
      <c r="H205" s="24" t="n">
        <v>5</v>
      </c>
      <c r="I205" s="24" t="n">
        <v>4</v>
      </c>
      <c r="J205" s="24" t="n">
        <v>4</v>
      </c>
      <c r="K205" s="24" t="n">
        <v>5</v>
      </c>
      <c r="L205" s="37" t="n">
        <f aca="false">IF(F205="N/A","",IF(COUNT(H205:K205)=0,"",IF(Config!$C$19="Highest dimension",MAX(H205:K205),ROUND(H205*Config!$C$20+I205*Config!$C$21+J205*Config!$C$22+K205*Config!$C$23,1))))</f>
        <v>5</v>
      </c>
      <c r="M205" s="38" t="n">
        <f aca="false">IF(OR(L205="",G205=""),"",G205*L205)</f>
        <v>20</v>
      </c>
      <c r="N205" s="31" t="n">
        <f aca="false">IF(M205="","",MATCH(M205,Config!$E$5:$E$9,1))</f>
        <v>5</v>
      </c>
      <c r="O205" s="7" t="str">
        <f aca="false">IF(F205="N/A","N/A",IF(N205="","Not assessed",INDEX(Config!$B$5:$B$9,N205)))</f>
        <v>High</v>
      </c>
      <c r="P205" s="32" t="n">
        <v>0</v>
      </c>
      <c r="Q205" s="8"/>
      <c r="R205" s="33"/>
      <c r="S205" s="34" t="n">
        <f aca="false">IF(N205="","",IF(AND(R205="Y",P205&lt;&gt;0),MAX(1,MIN(5,N205+MAX(-Config!$C$27,MIN(Config!$C$27,P205)))),N205))</f>
        <v>5</v>
      </c>
      <c r="T205" s="35" t="str">
        <f aca="false">IF(F205="N/A","N/A",IF(S205="","Not assessed",INDEX(Config!$B$5:$B$9,S205)))</f>
        <v>High</v>
      </c>
      <c r="U205" s="7" t="str">
        <f aca="false">IF(P205=0,"None",IF(R205="Y","Applied","Pending HO approval"))</f>
        <v>None</v>
      </c>
      <c r="V205" s="8"/>
    </row>
    <row r="206" customFormat="false" ht="15" hidden="false" customHeight="false" outlineLevel="0" collapsed="false">
      <c r="A206" s="26" t="str">
        <f aca="false">Entities!$A$20</f>
        <v>YE</v>
      </c>
      <c r="B206" s="12" t="str">
        <f aca="false">INDEX(Entities!$B$5:$B$34,MATCH(A206,Entities!$A$5:$A$34,0))</f>
        <v>Arab Bank – Yemen</v>
      </c>
      <c r="C206" s="12" t="str">
        <f aca="false">INDEX(Entities!$D$5:$D$34,MATCH(A206,Entities!$A$5:$A$34,0))</f>
        <v>Iraq and Yemen</v>
      </c>
      <c r="D206" s="12" t="s">
        <v>277</v>
      </c>
      <c r="E206" s="12" t="str">
        <f aca="false">INDEX('Risk Taxonomy'!$B$5:$B$24,MATCH(D206,'Risk Taxonomy'!$A$5:$A$24,0))</f>
        <v>Liquidity and funding risk</v>
      </c>
      <c r="F206" s="7" t="str">
        <f aca="false">IF(D206="RC-04",IF(INDEX(Entities!$G$5:$G$34,MATCH(A206,Entities!$A$5:$A$34,0))="Y","Yes","N/A"),"Yes")</f>
        <v>Yes</v>
      </c>
      <c r="G206" s="24" t="n">
        <v>4</v>
      </c>
      <c r="H206" s="24" t="n">
        <v>5</v>
      </c>
      <c r="I206" s="24" t="n">
        <v>3</v>
      </c>
      <c r="J206" s="24" t="n">
        <v>4</v>
      </c>
      <c r="K206" s="24" t="n">
        <v>5</v>
      </c>
      <c r="L206" s="37" t="n">
        <f aca="false">IF(F206="N/A","",IF(COUNT(H206:K206)=0,"",IF(Config!$C$19="Highest dimension",MAX(H206:K206),ROUND(H206*Config!$C$20+I206*Config!$C$21+J206*Config!$C$22+K206*Config!$C$23,1))))</f>
        <v>5</v>
      </c>
      <c r="M206" s="38" t="n">
        <f aca="false">IF(OR(L206="",G206=""),"",G206*L206)</f>
        <v>20</v>
      </c>
      <c r="N206" s="31" t="n">
        <f aca="false">IF(M206="","",MATCH(M206,Config!$E$5:$E$9,1))</f>
        <v>5</v>
      </c>
      <c r="O206" s="7" t="str">
        <f aca="false">IF(F206="N/A","N/A",IF(N206="","Not assessed",INDEX(Config!$B$5:$B$9,N206)))</f>
        <v>High</v>
      </c>
      <c r="P206" s="32" t="n">
        <v>0</v>
      </c>
      <c r="Q206" s="8"/>
      <c r="R206" s="33"/>
      <c r="S206" s="34" t="n">
        <f aca="false">IF(N206="","",IF(AND(R206="Y",P206&lt;&gt;0),MAX(1,MIN(5,N206+MAX(-Config!$C$27,MIN(Config!$C$27,P206)))),N206))</f>
        <v>5</v>
      </c>
      <c r="T206" s="35" t="str">
        <f aca="false">IF(F206="N/A","N/A",IF(S206="","Not assessed",INDEX(Config!$B$5:$B$9,S206)))</f>
        <v>High</v>
      </c>
      <c r="U206" s="7" t="str">
        <f aca="false">IF(P206=0,"None",IF(R206="Y","Applied","Pending HO approval"))</f>
        <v>None</v>
      </c>
      <c r="V206" s="8"/>
    </row>
    <row r="207" customFormat="false" ht="15" hidden="false" customHeight="false" outlineLevel="0" collapsed="false">
      <c r="A207" s="26" t="str">
        <f aca="false">Entities!$A$20</f>
        <v>YE</v>
      </c>
      <c r="B207" s="12" t="str">
        <f aca="false">INDEX(Entities!$B$5:$B$34,MATCH(A207,Entities!$A$5:$A$34,0))</f>
        <v>Arab Bank – Yemen</v>
      </c>
      <c r="C207" s="12" t="str">
        <f aca="false">INDEX(Entities!$D$5:$D$34,MATCH(A207,Entities!$A$5:$A$34,0))</f>
        <v>Iraq and Yemen</v>
      </c>
      <c r="D207" s="12" t="s">
        <v>280</v>
      </c>
      <c r="E207" s="12" t="str">
        <f aca="false">INDEX('Risk Taxonomy'!$B$5:$B$24,MATCH(D207,'Risk Taxonomy'!$A$5:$A$24,0))</f>
        <v>Operational risk</v>
      </c>
      <c r="F207" s="7" t="str">
        <f aca="false">IF(D207="RC-04",IF(INDEX(Entities!$G$5:$G$34,MATCH(A207,Entities!$A$5:$A$34,0))="Y","Yes","N/A"),"Yes")</f>
        <v>Yes</v>
      </c>
      <c r="G207" s="24" t="n">
        <v>4</v>
      </c>
      <c r="H207" s="24" t="n">
        <v>4</v>
      </c>
      <c r="I207" s="24" t="n">
        <v>2</v>
      </c>
      <c r="J207" s="24" t="n">
        <v>4</v>
      </c>
      <c r="K207" s="24" t="n">
        <v>3</v>
      </c>
      <c r="L207" s="37" t="n">
        <f aca="false">IF(F207="N/A","",IF(COUNT(H207:K207)=0,"",IF(Config!$C$19="Highest dimension",MAX(H207:K207),ROUND(H207*Config!$C$20+I207*Config!$C$21+J207*Config!$C$22+K207*Config!$C$23,1))))</f>
        <v>4</v>
      </c>
      <c r="M207" s="38" t="n">
        <f aca="false">IF(OR(L207="",G207=""),"",G207*L207)</f>
        <v>16</v>
      </c>
      <c r="N207" s="31" t="n">
        <f aca="false">IF(M207="","",MATCH(M207,Config!$E$5:$E$9,1))</f>
        <v>4</v>
      </c>
      <c r="O207" s="7" t="str">
        <f aca="false">IF(F207="N/A","N/A",IF(N207="","Not assessed",INDEX(Config!$B$5:$B$9,N207)))</f>
        <v>Medium-High</v>
      </c>
      <c r="P207" s="32" t="n">
        <v>0</v>
      </c>
      <c r="Q207" s="8"/>
      <c r="R207" s="33"/>
      <c r="S207" s="34" t="n">
        <f aca="false">IF(N207="","",IF(AND(R207="Y",P207&lt;&gt;0),MAX(1,MIN(5,N207+MAX(-Config!$C$27,MIN(Config!$C$27,P207)))),N207))</f>
        <v>4</v>
      </c>
      <c r="T207" s="35" t="str">
        <f aca="false">IF(F207="N/A","N/A",IF(S207="","Not assessed",INDEX(Config!$B$5:$B$9,S207)))</f>
        <v>Medium-High</v>
      </c>
      <c r="U207" s="7" t="str">
        <f aca="false">IF(P207=0,"None",IF(R207="Y","Applied","Pending HO approval"))</f>
        <v>None</v>
      </c>
      <c r="V207" s="8"/>
    </row>
    <row r="208" customFormat="false" ht="15" hidden="false" customHeight="false" outlineLevel="0" collapsed="false">
      <c r="A208" s="26" t="str">
        <f aca="false">Entities!$A$20</f>
        <v>YE</v>
      </c>
      <c r="B208" s="12" t="str">
        <f aca="false">INDEX(Entities!$B$5:$B$34,MATCH(A208,Entities!$A$5:$A$34,0))</f>
        <v>Arab Bank – Yemen</v>
      </c>
      <c r="C208" s="12" t="str">
        <f aca="false">INDEX(Entities!$D$5:$D$34,MATCH(A208,Entities!$A$5:$A$34,0))</f>
        <v>Iraq and Yemen</v>
      </c>
      <c r="D208" s="12" t="s">
        <v>283</v>
      </c>
      <c r="E208" s="12" t="str">
        <f aca="false">INDEX('Risk Taxonomy'!$B$5:$B$24,MATCH(D208,'Risk Taxonomy'!$A$5:$A$24,0))</f>
        <v>Cyber, information security and technology</v>
      </c>
      <c r="F208" s="7" t="str">
        <f aca="false">IF(D208="RC-04",IF(INDEX(Entities!$G$5:$G$34,MATCH(A208,Entities!$A$5:$A$34,0))="Y","Yes","N/A"),"Yes")</f>
        <v>Yes</v>
      </c>
      <c r="G208" s="24" t="n">
        <v>5</v>
      </c>
      <c r="H208" s="24" t="n">
        <v>2</v>
      </c>
      <c r="I208" s="24" t="n">
        <v>2</v>
      </c>
      <c r="J208" s="24" t="n">
        <v>3</v>
      </c>
      <c r="K208" s="24" t="n">
        <v>4</v>
      </c>
      <c r="L208" s="37" t="n">
        <f aca="false">IF(F208="N/A","",IF(COUNT(H208:K208)=0,"",IF(Config!$C$19="Highest dimension",MAX(H208:K208),ROUND(H208*Config!$C$20+I208*Config!$C$21+J208*Config!$C$22+K208*Config!$C$23,1))))</f>
        <v>4</v>
      </c>
      <c r="M208" s="38" t="n">
        <f aca="false">IF(OR(L208="",G208=""),"",G208*L208)</f>
        <v>20</v>
      </c>
      <c r="N208" s="31" t="n">
        <f aca="false">IF(M208="","",MATCH(M208,Config!$E$5:$E$9,1))</f>
        <v>5</v>
      </c>
      <c r="O208" s="7" t="str">
        <f aca="false">IF(F208="N/A","N/A",IF(N208="","Not assessed",INDEX(Config!$B$5:$B$9,N208)))</f>
        <v>High</v>
      </c>
      <c r="P208" s="32" t="n">
        <v>0</v>
      </c>
      <c r="Q208" s="8"/>
      <c r="R208" s="33"/>
      <c r="S208" s="34" t="n">
        <f aca="false">IF(N208="","",IF(AND(R208="Y",P208&lt;&gt;0),MAX(1,MIN(5,N208+MAX(-Config!$C$27,MIN(Config!$C$27,P208)))),N208))</f>
        <v>5</v>
      </c>
      <c r="T208" s="35" t="str">
        <f aca="false">IF(F208="N/A","N/A",IF(S208="","Not assessed",INDEX(Config!$B$5:$B$9,S208)))</f>
        <v>High</v>
      </c>
      <c r="U208" s="7" t="str">
        <f aca="false">IF(P208=0,"None",IF(R208="Y","Applied","Pending HO approval"))</f>
        <v>None</v>
      </c>
      <c r="V208" s="8"/>
    </row>
    <row r="209" customFormat="false" ht="15" hidden="false" customHeight="false" outlineLevel="0" collapsed="false">
      <c r="A209" s="26" t="str">
        <f aca="false">Entities!$A$20</f>
        <v>YE</v>
      </c>
      <c r="B209" s="12" t="str">
        <f aca="false">INDEX(Entities!$B$5:$B$34,MATCH(A209,Entities!$A$5:$A$34,0))</f>
        <v>Arab Bank – Yemen</v>
      </c>
      <c r="C209" s="12" t="str">
        <f aca="false">INDEX(Entities!$D$5:$D$34,MATCH(A209,Entities!$A$5:$A$34,0))</f>
        <v>Iraq and Yemen</v>
      </c>
      <c r="D209" s="12" t="s">
        <v>286</v>
      </c>
      <c r="E209" s="12" t="str">
        <f aca="false">INDEX('Risk Taxonomy'!$B$5:$B$24,MATCH(D209,'Risk Taxonomy'!$A$5:$A$24,0))</f>
        <v>Third-party and outsourcing</v>
      </c>
      <c r="F209" s="7" t="str">
        <f aca="false">IF(D209="RC-04",IF(INDEX(Entities!$G$5:$G$34,MATCH(A209,Entities!$A$5:$A$34,0))="Y","Yes","N/A"),"Yes")</f>
        <v>Yes</v>
      </c>
      <c r="G209" s="24" t="n">
        <v>5</v>
      </c>
      <c r="H209" s="24" t="n">
        <v>4</v>
      </c>
      <c r="I209" s="24" t="n">
        <v>3</v>
      </c>
      <c r="J209" s="24" t="n">
        <v>3</v>
      </c>
      <c r="K209" s="24" t="n">
        <v>3</v>
      </c>
      <c r="L209" s="37" t="n">
        <f aca="false">IF(F209="N/A","",IF(COUNT(H209:K209)=0,"",IF(Config!$C$19="Highest dimension",MAX(H209:K209),ROUND(H209*Config!$C$20+I209*Config!$C$21+J209*Config!$C$22+K209*Config!$C$23,1))))</f>
        <v>4</v>
      </c>
      <c r="M209" s="38" t="n">
        <f aca="false">IF(OR(L209="",G209=""),"",G209*L209)</f>
        <v>20</v>
      </c>
      <c r="N209" s="31" t="n">
        <f aca="false">IF(M209="","",MATCH(M209,Config!$E$5:$E$9,1))</f>
        <v>5</v>
      </c>
      <c r="O209" s="7" t="str">
        <f aca="false">IF(F209="N/A","N/A",IF(N209="","Not assessed",INDEX(Config!$B$5:$B$9,N209)))</f>
        <v>High</v>
      </c>
      <c r="P209" s="32" t="n">
        <v>0</v>
      </c>
      <c r="Q209" s="8"/>
      <c r="R209" s="33"/>
      <c r="S209" s="34" t="n">
        <f aca="false">IF(N209="","",IF(AND(R209="Y",P209&lt;&gt;0),MAX(1,MIN(5,N209+MAX(-Config!$C$27,MIN(Config!$C$27,P209)))),N209))</f>
        <v>5</v>
      </c>
      <c r="T209" s="35" t="str">
        <f aca="false">IF(F209="N/A","N/A",IF(S209="","Not assessed",INDEX(Config!$B$5:$B$9,S209)))</f>
        <v>High</v>
      </c>
      <c r="U209" s="7" t="str">
        <f aca="false">IF(P209=0,"None",IF(R209="Y","Applied","Pending HO approval"))</f>
        <v>None</v>
      </c>
      <c r="V209" s="8"/>
    </row>
    <row r="210" customFormat="false" ht="15" hidden="false" customHeight="false" outlineLevel="0" collapsed="false">
      <c r="A210" s="26" t="str">
        <f aca="false">Entities!$A$20</f>
        <v>YE</v>
      </c>
      <c r="B210" s="12" t="str">
        <f aca="false">INDEX(Entities!$B$5:$B$34,MATCH(A210,Entities!$A$5:$A$34,0))</f>
        <v>Arab Bank – Yemen</v>
      </c>
      <c r="C210" s="12" t="str">
        <f aca="false">INDEX(Entities!$D$5:$D$34,MATCH(A210,Entities!$A$5:$A$34,0))</f>
        <v>Iraq and Yemen</v>
      </c>
      <c r="D210" s="12" t="s">
        <v>289</v>
      </c>
      <c r="E210" s="12" t="str">
        <f aca="false">INDEX('Risk Taxonomy'!$B$5:$B$24,MATCH(D210,'Risk Taxonomy'!$A$5:$A$24,0))</f>
        <v>Legal and litigation</v>
      </c>
      <c r="F210" s="7" t="str">
        <f aca="false">IF(D210="RC-04",IF(INDEX(Entities!$G$5:$G$34,MATCH(A210,Entities!$A$5:$A$34,0))="Y","Yes","N/A"),"Yes")</f>
        <v>Yes</v>
      </c>
      <c r="G210" s="24" t="n">
        <v>4</v>
      </c>
      <c r="H210" s="24" t="n">
        <v>4</v>
      </c>
      <c r="I210" s="24" t="n">
        <v>3</v>
      </c>
      <c r="J210" s="24" t="n">
        <v>3</v>
      </c>
      <c r="K210" s="24" t="n">
        <v>4</v>
      </c>
      <c r="L210" s="37" t="n">
        <f aca="false">IF(F210="N/A","",IF(COUNT(H210:K210)=0,"",IF(Config!$C$19="Highest dimension",MAX(H210:K210),ROUND(H210*Config!$C$20+I210*Config!$C$21+J210*Config!$C$22+K210*Config!$C$23,1))))</f>
        <v>4</v>
      </c>
      <c r="M210" s="38" t="n">
        <f aca="false">IF(OR(L210="",G210=""),"",G210*L210)</f>
        <v>16</v>
      </c>
      <c r="N210" s="31" t="n">
        <f aca="false">IF(M210="","",MATCH(M210,Config!$E$5:$E$9,1))</f>
        <v>4</v>
      </c>
      <c r="O210" s="7" t="str">
        <f aca="false">IF(F210="N/A","N/A",IF(N210="","Not assessed",INDEX(Config!$B$5:$B$9,N210)))</f>
        <v>Medium-High</v>
      </c>
      <c r="P210" s="32" t="n">
        <v>0</v>
      </c>
      <c r="Q210" s="8"/>
      <c r="R210" s="33"/>
      <c r="S210" s="34" t="n">
        <f aca="false">IF(N210="","",IF(AND(R210="Y",P210&lt;&gt;0),MAX(1,MIN(5,N210+MAX(-Config!$C$27,MIN(Config!$C$27,P210)))),N210))</f>
        <v>4</v>
      </c>
      <c r="T210" s="35" t="str">
        <f aca="false">IF(F210="N/A","N/A",IF(S210="","Not assessed",INDEX(Config!$B$5:$B$9,S210)))</f>
        <v>Medium-High</v>
      </c>
      <c r="U210" s="7" t="str">
        <f aca="false">IF(P210=0,"None",IF(R210="Y","Applied","Pending HO approval"))</f>
        <v>None</v>
      </c>
      <c r="V210" s="8"/>
    </row>
    <row r="211" customFormat="false" ht="15" hidden="false" customHeight="false" outlineLevel="0" collapsed="false">
      <c r="A211" s="26" t="str">
        <f aca="false">Entities!$A$20</f>
        <v>YE</v>
      </c>
      <c r="B211" s="12" t="str">
        <f aca="false">INDEX(Entities!$B$5:$B$34,MATCH(A211,Entities!$A$5:$A$34,0))</f>
        <v>Arab Bank – Yemen</v>
      </c>
      <c r="C211" s="12" t="str">
        <f aca="false">INDEX(Entities!$D$5:$D$34,MATCH(A211,Entities!$A$5:$A$34,0))</f>
        <v>Iraq and Yemen</v>
      </c>
      <c r="D211" s="12" t="s">
        <v>292</v>
      </c>
      <c r="E211" s="12" t="str">
        <f aca="false">INDEX('Risk Taxonomy'!$B$5:$B$24,MATCH(D211,'Risk Taxonomy'!$A$5:$A$24,0))</f>
        <v>Reputational</v>
      </c>
      <c r="F211" s="7" t="str">
        <f aca="false">IF(D211="RC-04",IF(INDEX(Entities!$G$5:$G$34,MATCH(A211,Entities!$A$5:$A$34,0))="Y","Yes","N/A"),"Yes")</f>
        <v>Yes</v>
      </c>
      <c r="G211" s="24" t="n">
        <v>3</v>
      </c>
      <c r="H211" s="24" t="n">
        <v>3</v>
      </c>
      <c r="I211" s="24" t="n">
        <v>4</v>
      </c>
      <c r="J211" s="24" t="n">
        <v>3</v>
      </c>
      <c r="K211" s="24" t="n">
        <v>3</v>
      </c>
      <c r="L211" s="37" t="n">
        <f aca="false">IF(F211="N/A","",IF(COUNT(H211:K211)=0,"",IF(Config!$C$19="Highest dimension",MAX(H211:K211),ROUND(H211*Config!$C$20+I211*Config!$C$21+J211*Config!$C$22+K211*Config!$C$23,1))))</f>
        <v>4</v>
      </c>
      <c r="M211" s="38" t="n">
        <f aca="false">IF(OR(L211="",G211=""),"",G211*L211)</f>
        <v>12</v>
      </c>
      <c r="N211" s="31" t="n">
        <f aca="false">IF(M211="","",MATCH(M211,Config!$E$5:$E$9,1))</f>
        <v>3</v>
      </c>
      <c r="O211" s="7" t="str">
        <f aca="false">IF(F211="N/A","N/A",IF(N211="","Not assessed",INDEX(Config!$B$5:$B$9,N211)))</f>
        <v>Medium</v>
      </c>
      <c r="P211" s="32" t="n">
        <v>0</v>
      </c>
      <c r="Q211" s="8"/>
      <c r="R211" s="33"/>
      <c r="S211" s="34" t="n">
        <f aca="false">IF(N211="","",IF(AND(R211="Y",P211&lt;&gt;0),MAX(1,MIN(5,N211+MAX(-Config!$C$27,MIN(Config!$C$27,P211)))),N211))</f>
        <v>3</v>
      </c>
      <c r="T211" s="35" t="str">
        <f aca="false">IF(F211="N/A","N/A",IF(S211="","Not assessed",INDEX(Config!$B$5:$B$9,S211)))</f>
        <v>Medium</v>
      </c>
      <c r="U211" s="7" t="str">
        <f aca="false">IF(P211=0,"None",IF(R211="Y","Applied","Pending HO approval"))</f>
        <v>None</v>
      </c>
      <c r="V211" s="8"/>
    </row>
    <row r="212" customFormat="false" ht="15" hidden="false" customHeight="false" outlineLevel="0" collapsed="false">
      <c r="A212" s="26" t="str">
        <f aca="false">Entities!$A$20</f>
        <v>YE</v>
      </c>
      <c r="B212" s="12" t="str">
        <f aca="false">INDEX(Entities!$B$5:$B$34,MATCH(A212,Entities!$A$5:$A$34,0))</f>
        <v>Arab Bank – Yemen</v>
      </c>
      <c r="C212" s="12" t="str">
        <f aca="false">INDEX(Entities!$D$5:$D$34,MATCH(A212,Entities!$A$5:$A$34,0))</f>
        <v>Iraq and Yemen</v>
      </c>
      <c r="D212" s="12" t="s">
        <v>295</v>
      </c>
      <c r="E212" s="12" t="str">
        <f aca="false">INDEX('Risk Taxonomy'!$B$5:$B$24,MATCH(D212,'Risk Taxonomy'!$A$5:$A$24,0))</f>
        <v>Strategic, business model and ESG</v>
      </c>
      <c r="F212" s="7" t="str">
        <f aca="false">IF(D212="RC-04",IF(INDEX(Entities!$G$5:$G$34,MATCH(A212,Entities!$A$5:$A$34,0))="Y","Yes","N/A"),"Yes")</f>
        <v>Yes</v>
      </c>
      <c r="G212" s="24" t="n">
        <v>4</v>
      </c>
      <c r="H212" s="24" t="n">
        <v>4</v>
      </c>
      <c r="I212" s="24" t="n">
        <v>3</v>
      </c>
      <c r="J212" s="24" t="n">
        <v>4</v>
      </c>
      <c r="K212" s="24" t="n">
        <v>5</v>
      </c>
      <c r="L212" s="37" t="n">
        <f aca="false">IF(F212="N/A","",IF(COUNT(H212:K212)=0,"",IF(Config!$C$19="Highest dimension",MAX(H212:K212),ROUND(H212*Config!$C$20+I212*Config!$C$21+J212*Config!$C$22+K212*Config!$C$23,1))))</f>
        <v>5</v>
      </c>
      <c r="M212" s="38" t="n">
        <f aca="false">IF(OR(L212="",G212=""),"",G212*L212)</f>
        <v>20</v>
      </c>
      <c r="N212" s="31" t="n">
        <f aca="false">IF(M212="","",MATCH(M212,Config!$E$5:$E$9,1))</f>
        <v>5</v>
      </c>
      <c r="O212" s="7" t="str">
        <f aca="false">IF(F212="N/A","N/A",IF(N212="","Not assessed",INDEX(Config!$B$5:$B$9,N212)))</f>
        <v>High</v>
      </c>
      <c r="P212" s="32" t="n">
        <v>0</v>
      </c>
      <c r="Q212" s="8"/>
      <c r="R212" s="33"/>
      <c r="S212" s="34" t="n">
        <f aca="false">IF(N212="","",IF(AND(R212="Y",P212&lt;&gt;0),MAX(1,MIN(5,N212+MAX(-Config!$C$27,MIN(Config!$C$27,P212)))),N212))</f>
        <v>5</v>
      </c>
      <c r="T212" s="35" t="str">
        <f aca="false">IF(F212="N/A","N/A",IF(S212="","Not assessed",INDEX(Config!$B$5:$B$9,S212)))</f>
        <v>High</v>
      </c>
      <c r="U212" s="7" t="str">
        <f aca="false">IF(P212=0,"None",IF(R212="Y","Applied","Pending HO approval"))</f>
        <v>None</v>
      </c>
      <c r="V212" s="8"/>
    </row>
    <row r="213" customFormat="false" ht="15" hidden="false" customHeight="false" outlineLevel="0" collapsed="false">
      <c r="A213" s="26" t="str">
        <f aca="false">Entities!$A$21</f>
        <v>EG</v>
      </c>
      <c r="B213" s="12" t="str">
        <f aca="false">INDEX(Entities!$B$5:$B$34,MATCH(A213,Entities!$A$5:$A$34,0))</f>
        <v>Arab Bank – Egypt</v>
      </c>
      <c r="C213" s="12" t="str">
        <f aca="false">INDEX(Entities!$D$5:$D$34,MATCH(A213,Entities!$A$5:$A$34,0))</f>
        <v>North Africa</v>
      </c>
      <c r="D213" s="12" t="s">
        <v>257</v>
      </c>
      <c r="E213" s="12" t="str">
        <f aca="false">INDEX('Risk Taxonomy'!$B$5:$B$24,MATCH(D213,'Risk Taxonomy'!$A$5:$A$24,0))</f>
        <v>Regulatory compliance</v>
      </c>
      <c r="F213" s="7" t="str">
        <f aca="false">IF(D213="RC-04",IF(INDEX(Entities!$G$5:$G$34,MATCH(A213,Entities!$A$5:$A$34,0))="Y","Yes","N/A"),"Yes")</f>
        <v>Yes</v>
      </c>
      <c r="G213" s="24" t="n">
        <v>2</v>
      </c>
      <c r="H213" s="24" t="n">
        <v>4</v>
      </c>
      <c r="I213" s="24" t="n">
        <v>4</v>
      </c>
      <c r="J213" s="24" t="n">
        <v>2</v>
      </c>
      <c r="K213" s="24" t="n">
        <v>1</v>
      </c>
      <c r="L213" s="37" t="n">
        <f aca="false">IF(F213="N/A","",IF(COUNT(H213:K213)=0,"",IF(Config!$C$19="Highest dimension",MAX(H213:K213),ROUND(H213*Config!$C$20+I213*Config!$C$21+J213*Config!$C$22+K213*Config!$C$23,1))))</f>
        <v>4</v>
      </c>
      <c r="M213" s="38" t="n">
        <f aca="false">IF(OR(L213="",G213=""),"",G213*L213)</f>
        <v>8</v>
      </c>
      <c r="N213" s="31" t="n">
        <f aca="false">IF(M213="","",MATCH(M213,Config!$E$5:$E$9,1))</f>
        <v>2</v>
      </c>
      <c r="O213" s="7" t="str">
        <f aca="false">IF(F213="N/A","N/A",IF(N213="","Not assessed",INDEX(Config!$B$5:$B$9,N213)))</f>
        <v>Medium-Low</v>
      </c>
      <c r="P213" s="32" t="n">
        <v>0</v>
      </c>
      <c r="Q213" s="8"/>
      <c r="R213" s="33"/>
      <c r="S213" s="34" t="n">
        <f aca="false">IF(N213="","",IF(AND(R213="Y",P213&lt;&gt;0),MAX(1,MIN(5,N213+MAX(-Config!$C$27,MIN(Config!$C$27,P213)))),N213))</f>
        <v>2</v>
      </c>
      <c r="T213" s="35" t="str">
        <f aca="false">IF(F213="N/A","N/A",IF(S213="","Not assessed",INDEX(Config!$B$5:$B$9,S213)))</f>
        <v>Medium-Low</v>
      </c>
      <c r="U213" s="7" t="str">
        <f aca="false">IF(P213=0,"None",IF(R213="Y","Applied","Pending HO approval"))</f>
        <v>None</v>
      </c>
      <c r="V213" s="8"/>
    </row>
    <row r="214" customFormat="false" ht="15" hidden="false" customHeight="false" outlineLevel="0" collapsed="false">
      <c r="A214" s="26" t="str">
        <f aca="false">Entities!$A$21</f>
        <v>EG</v>
      </c>
      <c r="B214" s="12" t="str">
        <f aca="false">INDEX(Entities!$B$5:$B$34,MATCH(A214,Entities!$A$5:$A$34,0))</f>
        <v>Arab Bank – Egypt</v>
      </c>
      <c r="C214" s="12" t="str">
        <f aca="false">INDEX(Entities!$D$5:$D$34,MATCH(A214,Entities!$A$5:$A$34,0))</f>
        <v>North Africa</v>
      </c>
      <c r="D214" s="12" t="s">
        <v>261</v>
      </c>
      <c r="E214" s="12" t="str">
        <f aca="false">INDEX('Risk Taxonomy'!$B$5:$B$24,MATCH(D214,'Risk Taxonomy'!$A$5:$A$24,0))</f>
        <v>Conduct and consumer protection</v>
      </c>
      <c r="F214" s="7" t="str">
        <f aca="false">IF(D214="RC-04",IF(INDEX(Entities!$G$5:$G$34,MATCH(A214,Entities!$A$5:$A$34,0))="Y","Yes","N/A"),"Yes")</f>
        <v>Yes</v>
      </c>
      <c r="G214" s="24" t="n">
        <v>3</v>
      </c>
      <c r="H214" s="24" t="n">
        <v>1</v>
      </c>
      <c r="I214" s="24" t="n">
        <v>4</v>
      </c>
      <c r="J214" s="24" t="n">
        <v>2</v>
      </c>
      <c r="K214" s="24" t="n">
        <v>3</v>
      </c>
      <c r="L214" s="37" t="n">
        <f aca="false">IF(F214="N/A","",IF(COUNT(H214:K214)=0,"",IF(Config!$C$19="Highest dimension",MAX(H214:K214),ROUND(H214*Config!$C$20+I214*Config!$C$21+J214*Config!$C$22+K214*Config!$C$23,1))))</f>
        <v>4</v>
      </c>
      <c r="M214" s="38" t="n">
        <f aca="false">IF(OR(L214="",G214=""),"",G214*L214)</f>
        <v>12</v>
      </c>
      <c r="N214" s="31" t="n">
        <f aca="false">IF(M214="","",MATCH(M214,Config!$E$5:$E$9,1))</f>
        <v>3</v>
      </c>
      <c r="O214" s="7" t="str">
        <f aca="false">IF(F214="N/A","N/A",IF(N214="","Not assessed",INDEX(Config!$B$5:$B$9,N214)))</f>
        <v>Medium</v>
      </c>
      <c r="P214" s="32" t="n">
        <v>0</v>
      </c>
      <c r="Q214" s="8"/>
      <c r="R214" s="33"/>
      <c r="S214" s="34" t="n">
        <f aca="false">IF(N214="","",IF(AND(R214="Y",P214&lt;&gt;0),MAX(1,MIN(5,N214+MAX(-Config!$C$27,MIN(Config!$C$27,P214)))),N214))</f>
        <v>3</v>
      </c>
      <c r="T214" s="35" t="str">
        <f aca="false">IF(F214="N/A","N/A",IF(S214="","Not assessed",INDEX(Config!$B$5:$B$9,S214)))</f>
        <v>Medium</v>
      </c>
      <c r="U214" s="7" t="str">
        <f aca="false">IF(P214=0,"None",IF(R214="Y","Applied","Pending HO approval"))</f>
        <v>None</v>
      </c>
      <c r="V214" s="8"/>
    </row>
    <row r="215" customFormat="false" ht="15" hidden="false" customHeight="false" outlineLevel="0" collapsed="false">
      <c r="A215" s="26" t="str">
        <f aca="false">Entities!$A$21</f>
        <v>EG</v>
      </c>
      <c r="B215" s="12" t="str">
        <f aca="false">INDEX(Entities!$B$5:$B$34,MATCH(A215,Entities!$A$5:$A$34,0))</f>
        <v>Arab Bank – Egypt</v>
      </c>
      <c r="C215" s="12" t="str">
        <f aca="false">INDEX(Entities!$D$5:$D$34,MATCH(A215,Entities!$A$5:$A$34,0))</f>
        <v>North Africa</v>
      </c>
      <c r="D215" s="12" t="s">
        <v>263</v>
      </c>
      <c r="E215" s="12" t="str">
        <f aca="false">INDEX('Risk Taxonomy'!$B$5:$B$24,MATCH(D215,'Risk Taxonomy'!$A$5:$A$24,0))</f>
        <v>Data protection and privacy</v>
      </c>
      <c r="F215" s="7" t="str">
        <f aca="false">IF(D215="RC-04",IF(INDEX(Entities!$G$5:$G$34,MATCH(A215,Entities!$A$5:$A$34,0))="Y","Yes","N/A"),"Yes")</f>
        <v>Yes</v>
      </c>
      <c r="G215" s="24" t="n">
        <v>3</v>
      </c>
      <c r="H215" s="24" t="n">
        <v>2</v>
      </c>
      <c r="I215" s="24" t="n">
        <v>2</v>
      </c>
      <c r="J215" s="24" t="n">
        <v>3</v>
      </c>
      <c r="K215" s="24" t="n">
        <v>3</v>
      </c>
      <c r="L215" s="37" t="n">
        <f aca="false">IF(F215="N/A","",IF(COUNT(H215:K215)=0,"",IF(Config!$C$19="Highest dimension",MAX(H215:K215),ROUND(H215*Config!$C$20+I215*Config!$C$21+J215*Config!$C$22+K215*Config!$C$23,1))))</f>
        <v>3</v>
      </c>
      <c r="M215" s="38" t="n">
        <f aca="false">IF(OR(L215="",G215=""),"",G215*L215)</f>
        <v>9</v>
      </c>
      <c r="N215" s="31" t="n">
        <f aca="false">IF(M215="","",MATCH(M215,Config!$E$5:$E$9,1))</f>
        <v>3</v>
      </c>
      <c r="O215" s="7" t="str">
        <f aca="false">IF(F215="N/A","N/A",IF(N215="","Not assessed",INDEX(Config!$B$5:$B$9,N215)))</f>
        <v>Medium</v>
      </c>
      <c r="P215" s="32" t="n">
        <v>0</v>
      </c>
      <c r="Q215" s="8"/>
      <c r="R215" s="33"/>
      <c r="S215" s="34" t="n">
        <f aca="false">IF(N215="","",IF(AND(R215="Y",P215&lt;&gt;0),MAX(1,MIN(5,N215+MAX(-Config!$C$27,MIN(Config!$C$27,P215)))),N215))</f>
        <v>3</v>
      </c>
      <c r="T215" s="35" t="str">
        <f aca="false">IF(F215="N/A","N/A",IF(S215="","Not assessed",INDEX(Config!$B$5:$B$9,S215)))</f>
        <v>Medium</v>
      </c>
      <c r="U215" s="7" t="str">
        <f aca="false">IF(P215=0,"None",IF(R215="Y","Applied","Pending HO approval"))</f>
        <v>None</v>
      </c>
      <c r="V215" s="8"/>
    </row>
    <row r="216" customFormat="false" ht="15" hidden="false" customHeight="false" outlineLevel="0" collapsed="false">
      <c r="A216" s="26" t="str">
        <f aca="false">Entities!$A$21</f>
        <v>EG</v>
      </c>
      <c r="B216" s="12" t="str">
        <f aca="false">INDEX(Entities!$B$5:$B$34,MATCH(A216,Entities!$A$5:$A$34,0))</f>
        <v>Arab Bank – Egypt</v>
      </c>
      <c r="C216" s="12" t="str">
        <f aca="false">INDEX(Entities!$D$5:$D$34,MATCH(A216,Entities!$A$5:$A$34,0))</f>
        <v>North Africa</v>
      </c>
      <c r="D216" s="12" t="s">
        <v>266</v>
      </c>
      <c r="E216" s="12" t="str">
        <f aca="false">INDEX('Risk Taxonomy'!$B$5:$B$24,MATCH(D216,'Risk Taxonomy'!$A$5:$A$24,0))</f>
        <v>Shariah non-compliance</v>
      </c>
      <c r="F216" s="7" t="str">
        <f aca="false">IF(D216="RC-04",IF(INDEX(Entities!$G$5:$G$34,MATCH(A216,Entities!$A$5:$A$34,0))="Y","Yes","N/A"),"Yes")</f>
        <v>N/A</v>
      </c>
      <c r="G216" s="24"/>
      <c r="H216" s="24"/>
      <c r="I216" s="24"/>
      <c r="J216" s="24"/>
      <c r="K216" s="24"/>
      <c r="L216" s="37" t="str">
        <f aca="false">IF(F216="N/A","",IF(COUNT(H216:K216)=0,"",IF(Config!$C$19="Highest dimension",MAX(H216:K216),ROUND(H216*Config!$C$20+I216*Config!$C$21+J216*Config!$C$22+K216*Config!$C$23,1))))</f>
        <v/>
      </c>
      <c r="M216" s="38" t="str">
        <f aca="false">IF(OR(L216="",G216=""),"",G216*L216)</f>
        <v/>
      </c>
      <c r="N216" s="31" t="str">
        <f aca="false">IF(M216="","",MATCH(M216,Config!$E$5:$E$9,1))</f>
        <v/>
      </c>
      <c r="O216" s="7" t="str">
        <f aca="false">IF(F216="N/A","N/A",IF(N216="","Not assessed",INDEX(Config!$B$5:$B$9,N216)))</f>
        <v>N/A</v>
      </c>
      <c r="P216" s="32" t="n">
        <v>0</v>
      </c>
      <c r="Q216" s="8"/>
      <c r="R216" s="33"/>
      <c r="S216" s="34" t="str">
        <f aca="false">IF(N216="","",IF(AND(R216="Y",P216&lt;&gt;0),MAX(1,MIN(5,N216+MAX(-Config!$C$27,MIN(Config!$C$27,P216)))),N216))</f>
        <v/>
      </c>
      <c r="T216" s="35" t="str">
        <f aca="false">IF(F216="N/A","N/A",IF(S216="","Not assessed",INDEX(Config!$B$5:$B$9,S216)))</f>
        <v>N/A</v>
      </c>
      <c r="U216" s="7" t="str">
        <f aca="false">IF(P216=0,"None",IF(R216="Y","Applied","Pending HO approval"))</f>
        <v>None</v>
      </c>
      <c r="V216" s="8"/>
    </row>
    <row r="217" customFormat="false" ht="15" hidden="false" customHeight="false" outlineLevel="0" collapsed="false">
      <c r="A217" s="26" t="str">
        <f aca="false">Entities!$A$21</f>
        <v>EG</v>
      </c>
      <c r="B217" s="12" t="str">
        <f aca="false">INDEX(Entities!$B$5:$B$34,MATCH(A217,Entities!$A$5:$A$34,0))</f>
        <v>Arab Bank – Egypt</v>
      </c>
      <c r="C217" s="12" t="str">
        <f aca="false">INDEX(Entities!$D$5:$D$34,MATCH(A217,Entities!$A$5:$A$34,0))</f>
        <v>North Africa</v>
      </c>
      <c r="D217" s="12" t="s">
        <v>270</v>
      </c>
      <c r="E217" s="12" t="str">
        <f aca="false">INDEX('Risk Taxonomy'!$B$5:$B$24,MATCH(D217,'Risk Taxonomy'!$A$5:$A$24,0))</f>
        <v>Credit risk</v>
      </c>
      <c r="F217" s="7" t="str">
        <f aca="false">IF(D217="RC-04",IF(INDEX(Entities!$G$5:$G$34,MATCH(A217,Entities!$A$5:$A$34,0))="Y","Yes","N/A"),"Yes")</f>
        <v>Yes</v>
      </c>
      <c r="G217" s="24" t="n">
        <v>3</v>
      </c>
      <c r="H217" s="24" t="n">
        <v>3</v>
      </c>
      <c r="I217" s="24" t="n">
        <v>3</v>
      </c>
      <c r="J217" s="24" t="n">
        <v>2</v>
      </c>
      <c r="K217" s="24" t="n">
        <v>4</v>
      </c>
      <c r="L217" s="37" t="n">
        <f aca="false">IF(F217="N/A","",IF(COUNT(H217:K217)=0,"",IF(Config!$C$19="Highest dimension",MAX(H217:K217),ROUND(H217*Config!$C$20+I217*Config!$C$21+J217*Config!$C$22+K217*Config!$C$23,1))))</f>
        <v>4</v>
      </c>
      <c r="M217" s="38" t="n">
        <f aca="false">IF(OR(L217="",G217=""),"",G217*L217)</f>
        <v>12</v>
      </c>
      <c r="N217" s="31" t="n">
        <f aca="false">IF(M217="","",MATCH(M217,Config!$E$5:$E$9,1))</f>
        <v>3</v>
      </c>
      <c r="O217" s="7" t="str">
        <f aca="false">IF(F217="N/A","N/A",IF(N217="","Not assessed",INDEX(Config!$B$5:$B$9,N217)))</f>
        <v>Medium</v>
      </c>
      <c r="P217" s="32" t="n">
        <v>0</v>
      </c>
      <c r="Q217" s="8"/>
      <c r="R217" s="33"/>
      <c r="S217" s="34" t="n">
        <f aca="false">IF(N217="","",IF(AND(R217="Y",P217&lt;&gt;0),MAX(1,MIN(5,N217+MAX(-Config!$C$27,MIN(Config!$C$27,P217)))),N217))</f>
        <v>3</v>
      </c>
      <c r="T217" s="35" t="str">
        <f aca="false">IF(F217="N/A","N/A",IF(S217="","Not assessed",INDEX(Config!$B$5:$B$9,S217)))</f>
        <v>Medium</v>
      </c>
      <c r="U217" s="7" t="str">
        <f aca="false">IF(P217=0,"None",IF(R217="Y","Applied","Pending HO approval"))</f>
        <v>None</v>
      </c>
      <c r="V217" s="8"/>
    </row>
    <row r="218" customFormat="false" ht="15" hidden="false" customHeight="false" outlineLevel="0" collapsed="false">
      <c r="A218" s="26" t="str">
        <f aca="false">Entities!$A$21</f>
        <v>EG</v>
      </c>
      <c r="B218" s="12" t="str">
        <f aca="false">INDEX(Entities!$B$5:$B$34,MATCH(A218,Entities!$A$5:$A$34,0))</f>
        <v>Arab Bank – Egypt</v>
      </c>
      <c r="C218" s="12" t="str">
        <f aca="false">INDEX(Entities!$D$5:$D$34,MATCH(A218,Entities!$A$5:$A$34,0))</f>
        <v>North Africa</v>
      </c>
      <c r="D218" s="12" t="s">
        <v>275</v>
      </c>
      <c r="E218" s="12" t="str">
        <f aca="false">INDEX('Risk Taxonomy'!$B$5:$B$24,MATCH(D218,'Risk Taxonomy'!$A$5:$A$24,0))</f>
        <v>Market risk</v>
      </c>
      <c r="F218" s="7" t="str">
        <f aca="false">IF(D218="RC-04",IF(INDEX(Entities!$G$5:$G$34,MATCH(A218,Entities!$A$5:$A$34,0))="Y","Yes","N/A"),"Yes")</f>
        <v>Yes</v>
      </c>
      <c r="G218" s="24" t="n">
        <v>3</v>
      </c>
      <c r="H218" s="24" t="n">
        <v>3</v>
      </c>
      <c r="I218" s="24" t="n">
        <v>2</v>
      </c>
      <c r="J218" s="24" t="n">
        <v>3</v>
      </c>
      <c r="K218" s="24" t="n">
        <v>3</v>
      </c>
      <c r="L218" s="37" t="n">
        <f aca="false">IF(F218="N/A","",IF(COUNT(H218:K218)=0,"",IF(Config!$C$19="Highest dimension",MAX(H218:K218),ROUND(H218*Config!$C$20+I218*Config!$C$21+J218*Config!$C$22+K218*Config!$C$23,1))))</f>
        <v>3</v>
      </c>
      <c r="M218" s="38" t="n">
        <f aca="false">IF(OR(L218="",G218=""),"",G218*L218)</f>
        <v>9</v>
      </c>
      <c r="N218" s="31" t="n">
        <f aca="false">IF(M218="","",MATCH(M218,Config!$E$5:$E$9,1))</f>
        <v>3</v>
      </c>
      <c r="O218" s="7" t="str">
        <f aca="false">IF(F218="N/A","N/A",IF(N218="","Not assessed",INDEX(Config!$B$5:$B$9,N218)))</f>
        <v>Medium</v>
      </c>
      <c r="P218" s="32" t="n">
        <v>0</v>
      </c>
      <c r="Q218" s="8"/>
      <c r="R218" s="33"/>
      <c r="S218" s="34" t="n">
        <f aca="false">IF(N218="","",IF(AND(R218="Y",P218&lt;&gt;0),MAX(1,MIN(5,N218+MAX(-Config!$C$27,MIN(Config!$C$27,P218)))),N218))</f>
        <v>3</v>
      </c>
      <c r="T218" s="35" t="str">
        <f aca="false">IF(F218="N/A","N/A",IF(S218="","Not assessed",INDEX(Config!$B$5:$B$9,S218)))</f>
        <v>Medium</v>
      </c>
      <c r="U218" s="7" t="str">
        <f aca="false">IF(P218=0,"None",IF(R218="Y","Applied","Pending HO approval"))</f>
        <v>None</v>
      </c>
      <c r="V218" s="8"/>
    </row>
    <row r="219" customFormat="false" ht="15" hidden="false" customHeight="false" outlineLevel="0" collapsed="false">
      <c r="A219" s="26" t="str">
        <f aca="false">Entities!$A$21</f>
        <v>EG</v>
      </c>
      <c r="B219" s="12" t="str">
        <f aca="false">INDEX(Entities!$B$5:$B$34,MATCH(A219,Entities!$A$5:$A$34,0))</f>
        <v>Arab Bank – Egypt</v>
      </c>
      <c r="C219" s="12" t="str">
        <f aca="false">INDEX(Entities!$D$5:$D$34,MATCH(A219,Entities!$A$5:$A$34,0))</f>
        <v>North Africa</v>
      </c>
      <c r="D219" s="12" t="s">
        <v>277</v>
      </c>
      <c r="E219" s="12" t="str">
        <f aca="false">INDEX('Risk Taxonomy'!$B$5:$B$24,MATCH(D219,'Risk Taxonomy'!$A$5:$A$24,0))</f>
        <v>Liquidity and funding risk</v>
      </c>
      <c r="F219" s="7" t="str">
        <f aca="false">IF(D219="RC-04",IF(INDEX(Entities!$G$5:$G$34,MATCH(A219,Entities!$A$5:$A$34,0))="Y","Yes","N/A"),"Yes")</f>
        <v>Yes</v>
      </c>
      <c r="G219" s="24" t="n">
        <v>2</v>
      </c>
      <c r="H219" s="24" t="n">
        <v>2</v>
      </c>
      <c r="I219" s="24" t="n">
        <v>3</v>
      </c>
      <c r="J219" s="24" t="n">
        <v>3</v>
      </c>
      <c r="K219" s="24" t="n">
        <v>3</v>
      </c>
      <c r="L219" s="37" t="n">
        <f aca="false">IF(F219="N/A","",IF(COUNT(H219:K219)=0,"",IF(Config!$C$19="Highest dimension",MAX(H219:K219),ROUND(H219*Config!$C$20+I219*Config!$C$21+J219*Config!$C$22+K219*Config!$C$23,1))))</f>
        <v>3</v>
      </c>
      <c r="M219" s="38" t="n">
        <f aca="false">IF(OR(L219="",G219=""),"",G219*L219)</f>
        <v>6</v>
      </c>
      <c r="N219" s="31" t="n">
        <f aca="false">IF(M219="","",MATCH(M219,Config!$E$5:$E$9,1))</f>
        <v>2</v>
      </c>
      <c r="O219" s="7" t="str">
        <f aca="false">IF(F219="N/A","N/A",IF(N219="","Not assessed",INDEX(Config!$B$5:$B$9,N219)))</f>
        <v>Medium-Low</v>
      </c>
      <c r="P219" s="32" t="n">
        <v>0</v>
      </c>
      <c r="Q219" s="8"/>
      <c r="R219" s="33"/>
      <c r="S219" s="34" t="n">
        <f aca="false">IF(N219="","",IF(AND(R219="Y",P219&lt;&gt;0),MAX(1,MIN(5,N219+MAX(-Config!$C$27,MIN(Config!$C$27,P219)))),N219))</f>
        <v>2</v>
      </c>
      <c r="T219" s="35" t="str">
        <f aca="false">IF(F219="N/A","N/A",IF(S219="","Not assessed",INDEX(Config!$B$5:$B$9,S219)))</f>
        <v>Medium-Low</v>
      </c>
      <c r="U219" s="7" t="str">
        <f aca="false">IF(P219=0,"None",IF(R219="Y","Applied","Pending HO approval"))</f>
        <v>None</v>
      </c>
      <c r="V219" s="8"/>
    </row>
    <row r="220" customFormat="false" ht="15" hidden="false" customHeight="false" outlineLevel="0" collapsed="false">
      <c r="A220" s="26" t="str">
        <f aca="false">Entities!$A$21</f>
        <v>EG</v>
      </c>
      <c r="B220" s="12" t="str">
        <f aca="false">INDEX(Entities!$B$5:$B$34,MATCH(A220,Entities!$A$5:$A$34,0))</f>
        <v>Arab Bank – Egypt</v>
      </c>
      <c r="C220" s="12" t="str">
        <f aca="false">INDEX(Entities!$D$5:$D$34,MATCH(A220,Entities!$A$5:$A$34,0))</f>
        <v>North Africa</v>
      </c>
      <c r="D220" s="12" t="s">
        <v>280</v>
      </c>
      <c r="E220" s="12" t="str">
        <f aca="false">INDEX('Risk Taxonomy'!$B$5:$B$24,MATCH(D220,'Risk Taxonomy'!$A$5:$A$24,0))</f>
        <v>Operational risk</v>
      </c>
      <c r="F220" s="7" t="str">
        <f aca="false">IF(D220="RC-04",IF(INDEX(Entities!$G$5:$G$34,MATCH(A220,Entities!$A$5:$A$34,0))="Y","Yes","N/A"),"Yes")</f>
        <v>Yes</v>
      </c>
      <c r="G220" s="24" t="n">
        <v>3</v>
      </c>
      <c r="H220" s="24" t="n">
        <v>3</v>
      </c>
      <c r="I220" s="24" t="n">
        <v>3</v>
      </c>
      <c r="J220" s="24" t="n">
        <v>3</v>
      </c>
      <c r="K220" s="24" t="n">
        <v>2</v>
      </c>
      <c r="L220" s="37" t="n">
        <f aca="false">IF(F220="N/A","",IF(COUNT(H220:K220)=0,"",IF(Config!$C$19="Highest dimension",MAX(H220:K220),ROUND(H220*Config!$C$20+I220*Config!$C$21+J220*Config!$C$22+K220*Config!$C$23,1))))</f>
        <v>3</v>
      </c>
      <c r="M220" s="38" t="n">
        <f aca="false">IF(OR(L220="",G220=""),"",G220*L220)</f>
        <v>9</v>
      </c>
      <c r="N220" s="31" t="n">
        <f aca="false">IF(M220="","",MATCH(M220,Config!$E$5:$E$9,1))</f>
        <v>3</v>
      </c>
      <c r="O220" s="7" t="str">
        <f aca="false">IF(F220="N/A","N/A",IF(N220="","Not assessed",INDEX(Config!$B$5:$B$9,N220)))</f>
        <v>Medium</v>
      </c>
      <c r="P220" s="32" t="n">
        <v>0</v>
      </c>
      <c r="Q220" s="8"/>
      <c r="R220" s="33"/>
      <c r="S220" s="34" t="n">
        <f aca="false">IF(N220="","",IF(AND(R220="Y",P220&lt;&gt;0),MAX(1,MIN(5,N220+MAX(-Config!$C$27,MIN(Config!$C$27,P220)))),N220))</f>
        <v>3</v>
      </c>
      <c r="T220" s="35" t="str">
        <f aca="false">IF(F220="N/A","N/A",IF(S220="","Not assessed",INDEX(Config!$B$5:$B$9,S220)))</f>
        <v>Medium</v>
      </c>
      <c r="U220" s="7" t="str">
        <f aca="false">IF(P220=0,"None",IF(R220="Y","Applied","Pending HO approval"))</f>
        <v>None</v>
      </c>
      <c r="V220" s="8"/>
    </row>
    <row r="221" customFormat="false" ht="15" hidden="false" customHeight="false" outlineLevel="0" collapsed="false">
      <c r="A221" s="26" t="str">
        <f aca="false">Entities!$A$21</f>
        <v>EG</v>
      </c>
      <c r="B221" s="12" t="str">
        <f aca="false">INDEX(Entities!$B$5:$B$34,MATCH(A221,Entities!$A$5:$A$34,0))</f>
        <v>Arab Bank – Egypt</v>
      </c>
      <c r="C221" s="12" t="str">
        <f aca="false">INDEX(Entities!$D$5:$D$34,MATCH(A221,Entities!$A$5:$A$34,0))</f>
        <v>North Africa</v>
      </c>
      <c r="D221" s="12" t="s">
        <v>283</v>
      </c>
      <c r="E221" s="12" t="str">
        <f aca="false">INDEX('Risk Taxonomy'!$B$5:$B$24,MATCH(D221,'Risk Taxonomy'!$A$5:$A$24,0))</f>
        <v>Cyber, information security and technology</v>
      </c>
      <c r="F221" s="7" t="str">
        <f aca="false">IF(D221="RC-04",IF(INDEX(Entities!$G$5:$G$34,MATCH(A221,Entities!$A$5:$A$34,0))="Y","Yes","N/A"),"Yes")</f>
        <v>Yes</v>
      </c>
      <c r="G221" s="24" t="n">
        <v>3</v>
      </c>
      <c r="H221" s="24" t="n">
        <v>4</v>
      </c>
      <c r="I221" s="24" t="n">
        <v>3</v>
      </c>
      <c r="J221" s="24" t="n">
        <v>3</v>
      </c>
      <c r="K221" s="24" t="n">
        <v>4</v>
      </c>
      <c r="L221" s="37" t="n">
        <f aca="false">IF(F221="N/A","",IF(COUNT(H221:K221)=0,"",IF(Config!$C$19="Highest dimension",MAX(H221:K221),ROUND(H221*Config!$C$20+I221*Config!$C$21+J221*Config!$C$22+K221*Config!$C$23,1))))</f>
        <v>4</v>
      </c>
      <c r="M221" s="38" t="n">
        <f aca="false">IF(OR(L221="",G221=""),"",G221*L221)</f>
        <v>12</v>
      </c>
      <c r="N221" s="31" t="n">
        <f aca="false">IF(M221="","",MATCH(M221,Config!$E$5:$E$9,1))</f>
        <v>3</v>
      </c>
      <c r="O221" s="7" t="str">
        <f aca="false">IF(F221="N/A","N/A",IF(N221="","Not assessed",INDEX(Config!$B$5:$B$9,N221)))</f>
        <v>Medium</v>
      </c>
      <c r="P221" s="32" t="n">
        <v>0</v>
      </c>
      <c r="Q221" s="8"/>
      <c r="R221" s="33"/>
      <c r="S221" s="34" t="n">
        <f aca="false">IF(N221="","",IF(AND(R221="Y",P221&lt;&gt;0),MAX(1,MIN(5,N221+MAX(-Config!$C$27,MIN(Config!$C$27,P221)))),N221))</f>
        <v>3</v>
      </c>
      <c r="T221" s="35" t="str">
        <f aca="false">IF(F221="N/A","N/A",IF(S221="","Not assessed",INDEX(Config!$B$5:$B$9,S221)))</f>
        <v>Medium</v>
      </c>
      <c r="U221" s="7" t="str">
        <f aca="false">IF(P221=0,"None",IF(R221="Y","Applied","Pending HO approval"))</f>
        <v>None</v>
      </c>
      <c r="V221" s="8"/>
    </row>
    <row r="222" customFormat="false" ht="15" hidden="false" customHeight="false" outlineLevel="0" collapsed="false">
      <c r="A222" s="26" t="str">
        <f aca="false">Entities!$A$21</f>
        <v>EG</v>
      </c>
      <c r="B222" s="12" t="str">
        <f aca="false">INDEX(Entities!$B$5:$B$34,MATCH(A222,Entities!$A$5:$A$34,0))</f>
        <v>Arab Bank – Egypt</v>
      </c>
      <c r="C222" s="12" t="str">
        <f aca="false">INDEX(Entities!$D$5:$D$34,MATCH(A222,Entities!$A$5:$A$34,0))</f>
        <v>North Africa</v>
      </c>
      <c r="D222" s="12" t="s">
        <v>286</v>
      </c>
      <c r="E222" s="12" t="str">
        <f aca="false">INDEX('Risk Taxonomy'!$B$5:$B$24,MATCH(D222,'Risk Taxonomy'!$A$5:$A$24,0))</f>
        <v>Third-party and outsourcing</v>
      </c>
      <c r="F222" s="7" t="str">
        <f aca="false">IF(D222="RC-04",IF(INDEX(Entities!$G$5:$G$34,MATCH(A222,Entities!$A$5:$A$34,0))="Y","Yes","N/A"),"Yes")</f>
        <v>Yes</v>
      </c>
      <c r="G222" s="24" t="n">
        <v>2</v>
      </c>
      <c r="H222" s="24" t="n">
        <v>3</v>
      </c>
      <c r="I222" s="24" t="n">
        <v>2</v>
      </c>
      <c r="J222" s="24" t="n">
        <v>3</v>
      </c>
      <c r="K222" s="24" t="n">
        <v>2</v>
      </c>
      <c r="L222" s="37" t="n">
        <f aca="false">IF(F222="N/A","",IF(COUNT(H222:K222)=0,"",IF(Config!$C$19="Highest dimension",MAX(H222:K222),ROUND(H222*Config!$C$20+I222*Config!$C$21+J222*Config!$C$22+K222*Config!$C$23,1))))</f>
        <v>3</v>
      </c>
      <c r="M222" s="38" t="n">
        <f aca="false">IF(OR(L222="",G222=""),"",G222*L222)</f>
        <v>6</v>
      </c>
      <c r="N222" s="31" t="n">
        <f aca="false">IF(M222="","",MATCH(M222,Config!$E$5:$E$9,1))</f>
        <v>2</v>
      </c>
      <c r="O222" s="7" t="str">
        <f aca="false">IF(F222="N/A","N/A",IF(N222="","Not assessed",INDEX(Config!$B$5:$B$9,N222)))</f>
        <v>Medium-Low</v>
      </c>
      <c r="P222" s="32" t="n">
        <v>0</v>
      </c>
      <c r="Q222" s="8"/>
      <c r="R222" s="33"/>
      <c r="S222" s="34" t="n">
        <f aca="false">IF(N222="","",IF(AND(R222="Y",P222&lt;&gt;0),MAX(1,MIN(5,N222+MAX(-Config!$C$27,MIN(Config!$C$27,P222)))),N222))</f>
        <v>2</v>
      </c>
      <c r="T222" s="35" t="str">
        <f aca="false">IF(F222="N/A","N/A",IF(S222="","Not assessed",INDEX(Config!$B$5:$B$9,S222)))</f>
        <v>Medium-Low</v>
      </c>
      <c r="U222" s="7" t="str">
        <f aca="false">IF(P222=0,"None",IF(R222="Y","Applied","Pending HO approval"))</f>
        <v>None</v>
      </c>
      <c r="V222" s="8"/>
    </row>
    <row r="223" customFormat="false" ht="15" hidden="false" customHeight="false" outlineLevel="0" collapsed="false">
      <c r="A223" s="26" t="str">
        <f aca="false">Entities!$A$21</f>
        <v>EG</v>
      </c>
      <c r="B223" s="12" t="str">
        <f aca="false">INDEX(Entities!$B$5:$B$34,MATCH(A223,Entities!$A$5:$A$34,0))</f>
        <v>Arab Bank – Egypt</v>
      </c>
      <c r="C223" s="12" t="str">
        <f aca="false">INDEX(Entities!$D$5:$D$34,MATCH(A223,Entities!$A$5:$A$34,0))</f>
        <v>North Africa</v>
      </c>
      <c r="D223" s="12" t="s">
        <v>289</v>
      </c>
      <c r="E223" s="12" t="str">
        <f aca="false">INDEX('Risk Taxonomy'!$B$5:$B$24,MATCH(D223,'Risk Taxonomy'!$A$5:$A$24,0))</f>
        <v>Legal and litigation</v>
      </c>
      <c r="F223" s="7" t="str">
        <f aca="false">IF(D223="RC-04",IF(INDEX(Entities!$G$5:$G$34,MATCH(A223,Entities!$A$5:$A$34,0))="Y","Yes","N/A"),"Yes")</f>
        <v>Yes</v>
      </c>
      <c r="G223" s="24" t="n">
        <v>2</v>
      </c>
      <c r="H223" s="24" t="n">
        <v>3</v>
      </c>
      <c r="I223" s="24" t="n">
        <v>3</v>
      </c>
      <c r="J223" s="24" t="n">
        <v>2</v>
      </c>
      <c r="K223" s="24" t="n">
        <v>3</v>
      </c>
      <c r="L223" s="37" t="n">
        <f aca="false">IF(F223="N/A","",IF(COUNT(H223:K223)=0,"",IF(Config!$C$19="Highest dimension",MAX(H223:K223),ROUND(H223*Config!$C$20+I223*Config!$C$21+J223*Config!$C$22+K223*Config!$C$23,1))))</f>
        <v>3</v>
      </c>
      <c r="M223" s="38" t="n">
        <f aca="false">IF(OR(L223="",G223=""),"",G223*L223)</f>
        <v>6</v>
      </c>
      <c r="N223" s="31" t="n">
        <f aca="false">IF(M223="","",MATCH(M223,Config!$E$5:$E$9,1))</f>
        <v>2</v>
      </c>
      <c r="O223" s="7" t="str">
        <f aca="false">IF(F223="N/A","N/A",IF(N223="","Not assessed",INDEX(Config!$B$5:$B$9,N223)))</f>
        <v>Medium-Low</v>
      </c>
      <c r="P223" s="32" t="n">
        <v>0</v>
      </c>
      <c r="Q223" s="8"/>
      <c r="R223" s="33"/>
      <c r="S223" s="34" t="n">
        <f aca="false">IF(N223="","",IF(AND(R223="Y",P223&lt;&gt;0),MAX(1,MIN(5,N223+MAX(-Config!$C$27,MIN(Config!$C$27,P223)))),N223))</f>
        <v>2</v>
      </c>
      <c r="T223" s="35" t="str">
        <f aca="false">IF(F223="N/A","N/A",IF(S223="","Not assessed",INDEX(Config!$B$5:$B$9,S223)))</f>
        <v>Medium-Low</v>
      </c>
      <c r="U223" s="7" t="str">
        <f aca="false">IF(P223=0,"None",IF(R223="Y","Applied","Pending HO approval"))</f>
        <v>None</v>
      </c>
      <c r="V223" s="8"/>
    </row>
    <row r="224" customFormat="false" ht="15" hidden="false" customHeight="false" outlineLevel="0" collapsed="false">
      <c r="A224" s="26" t="str">
        <f aca="false">Entities!$A$21</f>
        <v>EG</v>
      </c>
      <c r="B224" s="12" t="str">
        <f aca="false">INDEX(Entities!$B$5:$B$34,MATCH(A224,Entities!$A$5:$A$34,0))</f>
        <v>Arab Bank – Egypt</v>
      </c>
      <c r="C224" s="12" t="str">
        <f aca="false">INDEX(Entities!$D$5:$D$34,MATCH(A224,Entities!$A$5:$A$34,0))</f>
        <v>North Africa</v>
      </c>
      <c r="D224" s="12" t="s">
        <v>292</v>
      </c>
      <c r="E224" s="12" t="str">
        <f aca="false">INDEX('Risk Taxonomy'!$B$5:$B$24,MATCH(D224,'Risk Taxonomy'!$A$5:$A$24,0))</f>
        <v>Reputational</v>
      </c>
      <c r="F224" s="7" t="str">
        <f aca="false">IF(D224="RC-04",IF(INDEX(Entities!$G$5:$G$34,MATCH(A224,Entities!$A$5:$A$34,0))="Y","Yes","N/A"),"Yes")</f>
        <v>Yes</v>
      </c>
      <c r="G224" s="24" t="n">
        <v>3</v>
      </c>
      <c r="H224" s="24" t="n">
        <v>4</v>
      </c>
      <c r="I224" s="24" t="n">
        <v>3</v>
      </c>
      <c r="J224" s="24" t="n">
        <v>2</v>
      </c>
      <c r="K224" s="24" t="n">
        <v>3</v>
      </c>
      <c r="L224" s="37" t="n">
        <f aca="false">IF(F224="N/A","",IF(COUNT(H224:K224)=0,"",IF(Config!$C$19="Highest dimension",MAX(H224:K224),ROUND(H224*Config!$C$20+I224*Config!$C$21+J224*Config!$C$22+K224*Config!$C$23,1))))</f>
        <v>4</v>
      </c>
      <c r="M224" s="38" t="n">
        <f aca="false">IF(OR(L224="",G224=""),"",G224*L224)</f>
        <v>12</v>
      </c>
      <c r="N224" s="31" t="n">
        <f aca="false">IF(M224="","",MATCH(M224,Config!$E$5:$E$9,1))</f>
        <v>3</v>
      </c>
      <c r="O224" s="7" t="str">
        <f aca="false">IF(F224="N/A","N/A",IF(N224="","Not assessed",INDEX(Config!$B$5:$B$9,N224)))</f>
        <v>Medium</v>
      </c>
      <c r="P224" s="32" t="n">
        <v>0</v>
      </c>
      <c r="Q224" s="8"/>
      <c r="R224" s="33"/>
      <c r="S224" s="34" t="n">
        <f aca="false">IF(N224="","",IF(AND(R224="Y",P224&lt;&gt;0),MAX(1,MIN(5,N224+MAX(-Config!$C$27,MIN(Config!$C$27,P224)))),N224))</f>
        <v>3</v>
      </c>
      <c r="T224" s="35" t="str">
        <f aca="false">IF(F224="N/A","N/A",IF(S224="","Not assessed",INDEX(Config!$B$5:$B$9,S224)))</f>
        <v>Medium</v>
      </c>
      <c r="U224" s="7" t="str">
        <f aca="false">IF(P224=0,"None",IF(R224="Y","Applied","Pending HO approval"))</f>
        <v>None</v>
      </c>
      <c r="V224" s="8"/>
    </row>
    <row r="225" customFormat="false" ht="15" hidden="false" customHeight="false" outlineLevel="0" collapsed="false">
      <c r="A225" s="26" t="str">
        <f aca="false">Entities!$A$21</f>
        <v>EG</v>
      </c>
      <c r="B225" s="12" t="str">
        <f aca="false">INDEX(Entities!$B$5:$B$34,MATCH(A225,Entities!$A$5:$A$34,0))</f>
        <v>Arab Bank – Egypt</v>
      </c>
      <c r="C225" s="12" t="str">
        <f aca="false">INDEX(Entities!$D$5:$D$34,MATCH(A225,Entities!$A$5:$A$34,0))</f>
        <v>North Africa</v>
      </c>
      <c r="D225" s="12" t="s">
        <v>295</v>
      </c>
      <c r="E225" s="12" t="str">
        <f aca="false">INDEX('Risk Taxonomy'!$B$5:$B$24,MATCH(D225,'Risk Taxonomy'!$A$5:$A$24,0))</f>
        <v>Strategic, business model and ESG</v>
      </c>
      <c r="F225" s="7" t="str">
        <f aca="false">IF(D225="RC-04",IF(INDEX(Entities!$G$5:$G$34,MATCH(A225,Entities!$A$5:$A$34,0))="Y","Yes","N/A"),"Yes")</f>
        <v>Yes</v>
      </c>
      <c r="G225" s="24" t="n">
        <v>4</v>
      </c>
      <c r="H225" s="24" t="n">
        <v>3</v>
      </c>
      <c r="I225" s="24" t="n">
        <v>2</v>
      </c>
      <c r="J225" s="24" t="n">
        <v>3</v>
      </c>
      <c r="K225" s="24" t="n">
        <v>3</v>
      </c>
      <c r="L225" s="37" t="n">
        <f aca="false">IF(F225="N/A","",IF(COUNT(H225:K225)=0,"",IF(Config!$C$19="Highest dimension",MAX(H225:K225),ROUND(H225*Config!$C$20+I225*Config!$C$21+J225*Config!$C$22+K225*Config!$C$23,1))))</f>
        <v>3</v>
      </c>
      <c r="M225" s="38" t="n">
        <f aca="false">IF(OR(L225="",G225=""),"",G225*L225)</f>
        <v>12</v>
      </c>
      <c r="N225" s="31" t="n">
        <f aca="false">IF(M225="","",MATCH(M225,Config!$E$5:$E$9,1))</f>
        <v>3</v>
      </c>
      <c r="O225" s="7" t="str">
        <f aca="false">IF(F225="N/A","N/A",IF(N225="","Not assessed",INDEX(Config!$B$5:$B$9,N225)))</f>
        <v>Medium</v>
      </c>
      <c r="P225" s="32" t="n">
        <v>0</v>
      </c>
      <c r="Q225" s="8"/>
      <c r="R225" s="33"/>
      <c r="S225" s="34" t="n">
        <f aca="false">IF(N225="","",IF(AND(R225="Y",P225&lt;&gt;0),MAX(1,MIN(5,N225+MAX(-Config!$C$27,MIN(Config!$C$27,P225)))),N225))</f>
        <v>3</v>
      </c>
      <c r="T225" s="35" t="str">
        <f aca="false">IF(F225="N/A","N/A",IF(S225="","Not assessed",INDEX(Config!$B$5:$B$9,S225)))</f>
        <v>Medium</v>
      </c>
      <c r="U225" s="7" t="str">
        <f aca="false">IF(P225=0,"None",IF(R225="Y","Applied","Pending HO approval"))</f>
        <v>None</v>
      </c>
      <c r="V225" s="8"/>
    </row>
    <row r="226" customFormat="false" ht="15" hidden="false" customHeight="false" outlineLevel="0" collapsed="false">
      <c r="A226" s="26" t="str">
        <f aca="false">Entities!$A$22</f>
        <v>DZ</v>
      </c>
      <c r="B226" s="12" t="str">
        <f aca="false">INDEX(Entities!$B$5:$B$34,MATCH(A226,Entities!$A$5:$A$34,0))</f>
        <v>Arab Bank – Algeria</v>
      </c>
      <c r="C226" s="12" t="str">
        <f aca="false">INDEX(Entities!$D$5:$D$34,MATCH(A226,Entities!$A$5:$A$34,0))</f>
        <v>North Africa</v>
      </c>
      <c r="D226" s="12" t="s">
        <v>257</v>
      </c>
      <c r="E226" s="12" t="str">
        <f aca="false">INDEX('Risk Taxonomy'!$B$5:$B$24,MATCH(D226,'Risk Taxonomy'!$A$5:$A$24,0))</f>
        <v>Regulatory compliance</v>
      </c>
      <c r="F226" s="7" t="str">
        <f aca="false">IF(D226="RC-04",IF(INDEX(Entities!$G$5:$G$34,MATCH(A226,Entities!$A$5:$A$34,0))="Y","Yes","N/A"),"Yes")</f>
        <v>Yes</v>
      </c>
      <c r="G226" s="24" t="n">
        <v>3</v>
      </c>
      <c r="H226" s="24" t="n">
        <v>4</v>
      </c>
      <c r="I226" s="24" t="n">
        <v>3</v>
      </c>
      <c r="J226" s="24" t="n">
        <v>3</v>
      </c>
      <c r="K226" s="24" t="n">
        <v>4</v>
      </c>
      <c r="L226" s="37" t="n">
        <f aca="false">IF(F226="N/A","",IF(COUNT(H226:K226)=0,"",IF(Config!$C$19="Highest dimension",MAX(H226:K226),ROUND(H226*Config!$C$20+I226*Config!$C$21+J226*Config!$C$22+K226*Config!$C$23,1))))</f>
        <v>4</v>
      </c>
      <c r="M226" s="38" t="n">
        <f aca="false">IF(OR(L226="",G226=""),"",G226*L226)</f>
        <v>12</v>
      </c>
      <c r="N226" s="31" t="n">
        <f aca="false">IF(M226="","",MATCH(M226,Config!$E$5:$E$9,1))</f>
        <v>3</v>
      </c>
      <c r="O226" s="7" t="str">
        <f aca="false">IF(F226="N/A","N/A",IF(N226="","Not assessed",INDEX(Config!$B$5:$B$9,N226)))</f>
        <v>Medium</v>
      </c>
      <c r="P226" s="32" t="n">
        <v>0</v>
      </c>
      <c r="Q226" s="8"/>
      <c r="R226" s="33"/>
      <c r="S226" s="34" t="n">
        <f aca="false">IF(N226="","",IF(AND(R226="Y",P226&lt;&gt;0),MAX(1,MIN(5,N226+MAX(-Config!$C$27,MIN(Config!$C$27,P226)))),N226))</f>
        <v>3</v>
      </c>
      <c r="T226" s="35" t="str">
        <f aca="false">IF(F226="N/A","N/A",IF(S226="","Not assessed",INDEX(Config!$B$5:$B$9,S226)))</f>
        <v>Medium</v>
      </c>
      <c r="U226" s="7" t="str">
        <f aca="false">IF(P226=0,"None",IF(R226="Y","Applied","Pending HO approval"))</f>
        <v>None</v>
      </c>
      <c r="V226" s="8"/>
    </row>
    <row r="227" customFormat="false" ht="15" hidden="false" customHeight="false" outlineLevel="0" collapsed="false">
      <c r="A227" s="26" t="str">
        <f aca="false">Entities!$A$22</f>
        <v>DZ</v>
      </c>
      <c r="B227" s="12" t="str">
        <f aca="false">INDEX(Entities!$B$5:$B$34,MATCH(A227,Entities!$A$5:$A$34,0))</f>
        <v>Arab Bank – Algeria</v>
      </c>
      <c r="C227" s="12" t="str">
        <f aca="false">INDEX(Entities!$D$5:$D$34,MATCH(A227,Entities!$A$5:$A$34,0))</f>
        <v>North Africa</v>
      </c>
      <c r="D227" s="12" t="s">
        <v>261</v>
      </c>
      <c r="E227" s="12" t="str">
        <f aca="false">INDEX('Risk Taxonomy'!$B$5:$B$24,MATCH(D227,'Risk Taxonomy'!$A$5:$A$24,0))</f>
        <v>Conduct and consumer protection</v>
      </c>
      <c r="F227" s="7" t="str">
        <f aca="false">IF(D227="RC-04",IF(INDEX(Entities!$G$5:$G$34,MATCH(A227,Entities!$A$5:$A$34,0))="Y","Yes","N/A"),"Yes")</f>
        <v>Yes</v>
      </c>
      <c r="G227" s="24" t="n">
        <v>3</v>
      </c>
      <c r="H227" s="24" t="n">
        <v>4</v>
      </c>
      <c r="I227" s="24" t="n">
        <v>2</v>
      </c>
      <c r="J227" s="24" t="n">
        <v>3</v>
      </c>
      <c r="K227" s="24" t="n">
        <v>3</v>
      </c>
      <c r="L227" s="37" t="n">
        <f aca="false">IF(F227="N/A","",IF(COUNT(H227:K227)=0,"",IF(Config!$C$19="Highest dimension",MAX(H227:K227),ROUND(H227*Config!$C$20+I227*Config!$C$21+J227*Config!$C$22+K227*Config!$C$23,1))))</f>
        <v>4</v>
      </c>
      <c r="M227" s="38" t="n">
        <f aca="false">IF(OR(L227="",G227=""),"",G227*L227)</f>
        <v>12</v>
      </c>
      <c r="N227" s="31" t="n">
        <f aca="false">IF(M227="","",MATCH(M227,Config!$E$5:$E$9,1))</f>
        <v>3</v>
      </c>
      <c r="O227" s="7" t="str">
        <f aca="false">IF(F227="N/A","N/A",IF(N227="","Not assessed",INDEX(Config!$B$5:$B$9,N227)))</f>
        <v>Medium</v>
      </c>
      <c r="P227" s="32" t="n">
        <v>0</v>
      </c>
      <c r="Q227" s="8"/>
      <c r="R227" s="33"/>
      <c r="S227" s="34" t="n">
        <f aca="false">IF(N227="","",IF(AND(R227="Y",P227&lt;&gt;0),MAX(1,MIN(5,N227+MAX(-Config!$C$27,MIN(Config!$C$27,P227)))),N227))</f>
        <v>3</v>
      </c>
      <c r="T227" s="35" t="str">
        <f aca="false">IF(F227="N/A","N/A",IF(S227="","Not assessed",INDEX(Config!$B$5:$B$9,S227)))</f>
        <v>Medium</v>
      </c>
      <c r="U227" s="7" t="str">
        <f aca="false">IF(P227=0,"None",IF(R227="Y","Applied","Pending HO approval"))</f>
        <v>None</v>
      </c>
      <c r="V227" s="8"/>
    </row>
    <row r="228" customFormat="false" ht="15" hidden="false" customHeight="false" outlineLevel="0" collapsed="false">
      <c r="A228" s="26" t="str">
        <f aca="false">Entities!$A$22</f>
        <v>DZ</v>
      </c>
      <c r="B228" s="12" t="str">
        <f aca="false">INDEX(Entities!$B$5:$B$34,MATCH(A228,Entities!$A$5:$A$34,0))</f>
        <v>Arab Bank – Algeria</v>
      </c>
      <c r="C228" s="12" t="str">
        <f aca="false">INDEX(Entities!$D$5:$D$34,MATCH(A228,Entities!$A$5:$A$34,0))</f>
        <v>North Africa</v>
      </c>
      <c r="D228" s="12" t="s">
        <v>263</v>
      </c>
      <c r="E228" s="12" t="str">
        <f aca="false">INDEX('Risk Taxonomy'!$B$5:$B$24,MATCH(D228,'Risk Taxonomy'!$A$5:$A$24,0))</f>
        <v>Data protection and privacy</v>
      </c>
      <c r="F228" s="7" t="str">
        <f aca="false">IF(D228="RC-04",IF(INDEX(Entities!$G$5:$G$34,MATCH(A228,Entities!$A$5:$A$34,0))="Y","Yes","N/A"),"Yes")</f>
        <v>Yes</v>
      </c>
      <c r="G228" s="24" t="n">
        <v>3</v>
      </c>
      <c r="H228" s="24" t="n">
        <v>4</v>
      </c>
      <c r="I228" s="24" t="n">
        <v>4</v>
      </c>
      <c r="J228" s="24" t="n">
        <v>3</v>
      </c>
      <c r="K228" s="24" t="n">
        <v>2</v>
      </c>
      <c r="L228" s="37" t="n">
        <f aca="false">IF(F228="N/A","",IF(COUNT(H228:K228)=0,"",IF(Config!$C$19="Highest dimension",MAX(H228:K228),ROUND(H228*Config!$C$20+I228*Config!$C$21+J228*Config!$C$22+K228*Config!$C$23,1))))</f>
        <v>4</v>
      </c>
      <c r="M228" s="38" t="n">
        <f aca="false">IF(OR(L228="",G228=""),"",G228*L228)</f>
        <v>12</v>
      </c>
      <c r="N228" s="31" t="n">
        <f aca="false">IF(M228="","",MATCH(M228,Config!$E$5:$E$9,1))</f>
        <v>3</v>
      </c>
      <c r="O228" s="7" t="str">
        <f aca="false">IF(F228="N/A","N/A",IF(N228="","Not assessed",INDEX(Config!$B$5:$B$9,N228)))</f>
        <v>Medium</v>
      </c>
      <c r="P228" s="32" t="n">
        <v>0</v>
      </c>
      <c r="Q228" s="8"/>
      <c r="R228" s="33"/>
      <c r="S228" s="34" t="n">
        <f aca="false">IF(N228="","",IF(AND(R228="Y",P228&lt;&gt;0),MAX(1,MIN(5,N228+MAX(-Config!$C$27,MIN(Config!$C$27,P228)))),N228))</f>
        <v>3</v>
      </c>
      <c r="T228" s="35" t="str">
        <f aca="false">IF(F228="N/A","N/A",IF(S228="","Not assessed",INDEX(Config!$B$5:$B$9,S228)))</f>
        <v>Medium</v>
      </c>
      <c r="U228" s="7" t="str">
        <f aca="false">IF(P228=0,"None",IF(R228="Y","Applied","Pending HO approval"))</f>
        <v>None</v>
      </c>
      <c r="V228" s="8"/>
    </row>
    <row r="229" customFormat="false" ht="15" hidden="false" customHeight="false" outlineLevel="0" collapsed="false">
      <c r="A229" s="26" t="str">
        <f aca="false">Entities!$A$22</f>
        <v>DZ</v>
      </c>
      <c r="B229" s="12" t="str">
        <f aca="false">INDEX(Entities!$B$5:$B$34,MATCH(A229,Entities!$A$5:$A$34,0))</f>
        <v>Arab Bank – Algeria</v>
      </c>
      <c r="C229" s="12" t="str">
        <f aca="false">INDEX(Entities!$D$5:$D$34,MATCH(A229,Entities!$A$5:$A$34,0))</f>
        <v>North Africa</v>
      </c>
      <c r="D229" s="12" t="s">
        <v>266</v>
      </c>
      <c r="E229" s="12" t="str">
        <f aca="false">INDEX('Risk Taxonomy'!$B$5:$B$24,MATCH(D229,'Risk Taxonomy'!$A$5:$A$24,0))</f>
        <v>Shariah non-compliance</v>
      </c>
      <c r="F229" s="7" t="str">
        <f aca="false">IF(D229="RC-04",IF(INDEX(Entities!$G$5:$G$34,MATCH(A229,Entities!$A$5:$A$34,0))="Y","Yes","N/A"),"Yes")</f>
        <v>N/A</v>
      </c>
      <c r="G229" s="24"/>
      <c r="H229" s="24"/>
      <c r="I229" s="24"/>
      <c r="J229" s="24"/>
      <c r="K229" s="24"/>
      <c r="L229" s="37" t="str">
        <f aca="false">IF(F229="N/A","",IF(COUNT(H229:K229)=0,"",IF(Config!$C$19="Highest dimension",MAX(H229:K229),ROUND(H229*Config!$C$20+I229*Config!$C$21+J229*Config!$C$22+K229*Config!$C$23,1))))</f>
        <v/>
      </c>
      <c r="M229" s="38" t="str">
        <f aca="false">IF(OR(L229="",G229=""),"",G229*L229)</f>
        <v/>
      </c>
      <c r="N229" s="31" t="str">
        <f aca="false">IF(M229="","",MATCH(M229,Config!$E$5:$E$9,1))</f>
        <v/>
      </c>
      <c r="O229" s="7" t="str">
        <f aca="false">IF(F229="N/A","N/A",IF(N229="","Not assessed",INDEX(Config!$B$5:$B$9,N229)))</f>
        <v>N/A</v>
      </c>
      <c r="P229" s="32" t="n">
        <v>0</v>
      </c>
      <c r="Q229" s="8"/>
      <c r="R229" s="33"/>
      <c r="S229" s="34" t="str">
        <f aca="false">IF(N229="","",IF(AND(R229="Y",P229&lt;&gt;0),MAX(1,MIN(5,N229+MAX(-Config!$C$27,MIN(Config!$C$27,P229)))),N229))</f>
        <v/>
      </c>
      <c r="T229" s="35" t="str">
        <f aca="false">IF(F229="N/A","N/A",IF(S229="","Not assessed",INDEX(Config!$B$5:$B$9,S229)))</f>
        <v>N/A</v>
      </c>
      <c r="U229" s="7" t="str">
        <f aca="false">IF(P229=0,"None",IF(R229="Y","Applied","Pending HO approval"))</f>
        <v>None</v>
      </c>
      <c r="V229" s="8"/>
    </row>
    <row r="230" customFormat="false" ht="15" hidden="false" customHeight="false" outlineLevel="0" collapsed="false">
      <c r="A230" s="26" t="str">
        <f aca="false">Entities!$A$22</f>
        <v>DZ</v>
      </c>
      <c r="B230" s="12" t="str">
        <f aca="false">INDEX(Entities!$B$5:$B$34,MATCH(A230,Entities!$A$5:$A$34,0))</f>
        <v>Arab Bank – Algeria</v>
      </c>
      <c r="C230" s="12" t="str">
        <f aca="false">INDEX(Entities!$D$5:$D$34,MATCH(A230,Entities!$A$5:$A$34,0))</f>
        <v>North Africa</v>
      </c>
      <c r="D230" s="12" t="s">
        <v>270</v>
      </c>
      <c r="E230" s="12" t="str">
        <f aca="false">INDEX('Risk Taxonomy'!$B$5:$B$24,MATCH(D230,'Risk Taxonomy'!$A$5:$A$24,0))</f>
        <v>Credit risk</v>
      </c>
      <c r="F230" s="7" t="str">
        <f aca="false">IF(D230="RC-04",IF(INDEX(Entities!$G$5:$G$34,MATCH(A230,Entities!$A$5:$A$34,0))="Y","Yes","N/A"),"Yes")</f>
        <v>Yes</v>
      </c>
      <c r="G230" s="24" t="n">
        <v>3</v>
      </c>
      <c r="H230" s="24" t="n">
        <v>3</v>
      </c>
      <c r="I230" s="24" t="n">
        <v>3</v>
      </c>
      <c r="J230" s="24" t="n">
        <v>2</v>
      </c>
      <c r="K230" s="24" t="n">
        <v>3</v>
      </c>
      <c r="L230" s="37" t="n">
        <f aca="false">IF(F230="N/A","",IF(COUNT(H230:K230)=0,"",IF(Config!$C$19="Highest dimension",MAX(H230:K230),ROUND(H230*Config!$C$20+I230*Config!$C$21+J230*Config!$C$22+K230*Config!$C$23,1))))</f>
        <v>3</v>
      </c>
      <c r="M230" s="38" t="n">
        <f aca="false">IF(OR(L230="",G230=""),"",G230*L230)</f>
        <v>9</v>
      </c>
      <c r="N230" s="31" t="n">
        <f aca="false">IF(M230="","",MATCH(M230,Config!$E$5:$E$9,1))</f>
        <v>3</v>
      </c>
      <c r="O230" s="7" t="str">
        <f aca="false">IF(F230="N/A","N/A",IF(N230="","Not assessed",INDEX(Config!$B$5:$B$9,N230)))</f>
        <v>Medium</v>
      </c>
      <c r="P230" s="32" t="n">
        <v>0</v>
      </c>
      <c r="Q230" s="8"/>
      <c r="R230" s="33"/>
      <c r="S230" s="34" t="n">
        <f aca="false">IF(N230="","",IF(AND(R230="Y",P230&lt;&gt;0),MAX(1,MIN(5,N230+MAX(-Config!$C$27,MIN(Config!$C$27,P230)))),N230))</f>
        <v>3</v>
      </c>
      <c r="T230" s="35" t="str">
        <f aca="false">IF(F230="N/A","N/A",IF(S230="","Not assessed",INDEX(Config!$B$5:$B$9,S230)))</f>
        <v>Medium</v>
      </c>
      <c r="U230" s="7" t="str">
        <f aca="false">IF(P230=0,"None",IF(R230="Y","Applied","Pending HO approval"))</f>
        <v>None</v>
      </c>
      <c r="V230" s="8"/>
    </row>
    <row r="231" customFormat="false" ht="15" hidden="false" customHeight="false" outlineLevel="0" collapsed="false">
      <c r="A231" s="26" t="str">
        <f aca="false">Entities!$A$22</f>
        <v>DZ</v>
      </c>
      <c r="B231" s="12" t="str">
        <f aca="false">INDEX(Entities!$B$5:$B$34,MATCH(A231,Entities!$A$5:$A$34,0))</f>
        <v>Arab Bank – Algeria</v>
      </c>
      <c r="C231" s="12" t="str">
        <f aca="false">INDEX(Entities!$D$5:$D$34,MATCH(A231,Entities!$A$5:$A$34,0))</f>
        <v>North Africa</v>
      </c>
      <c r="D231" s="12" t="s">
        <v>275</v>
      </c>
      <c r="E231" s="12" t="str">
        <f aca="false">INDEX('Risk Taxonomy'!$B$5:$B$24,MATCH(D231,'Risk Taxonomy'!$A$5:$A$24,0))</f>
        <v>Market risk</v>
      </c>
      <c r="F231" s="7" t="str">
        <f aca="false">IF(D231="RC-04",IF(INDEX(Entities!$G$5:$G$34,MATCH(A231,Entities!$A$5:$A$34,0))="Y","Yes","N/A"),"Yes")</f>
        <v>Yes</v>
      </c>
      <c r="G231" s="24" t="n">
        <v>3</v>
      </c>
      <c r="H231" s="24" t="n">
        <v>4</v>
      </c>
      <c r="I231" s="24" t="n">
        <v>3</v>
      </c>
      <c r="J231" s="24" t="n">
        <v>5</v>
      </c>
      <c r="K231" s="24" t="n">
        <v>3</v>
      </c>
      <c r="L231" s="37" t="n">
        <f aca="false">IF(F231="N/A","",IF(COUNT(H231:K231)=0,"",IF(Config!$C$19="Highest dimension",MAX(H231:K231),ROUND(H231*Config!$C$20+I231*Config!$C$21+J231*Config!$C$22+K231*Config!$C$23,1))))</f>
        <v>5</v>
      </c>
      <c r="M231" s="38" t="n">
        <f aca="false">IF(OR(L231="",G231=""),"",G231*L231)</f>
        <v>15</v>
      </c>
      <c r="N231" s="31" t="n">
        <f aca="false">IF(M231="","",MATCH(M231,Config!$E$5:$E$9,1))</f>
        <v>4</v>
      </c>
      <c r="O231" s="7" t="str">
        <f aca="false">IF(F231="N/A","N/A",IF(N231="","Not assessed",INDEX(Config!$B$5:$B$9,N231)))</f>
        <v>Medium-High</v>
      </c>
      <c r="P231" s="32" t="n">
        <v>0</v>
      </c>
      <c r="Q231" s="8"/>
      <c r="R231" s="33"/>
      <c r="S231" s="34" t="n">
        <f aca="false">IF(N231="","",IF(AND(R231="Y",P231&lt;&gt;0),MAX(1,MIN(5,N231+MAX(-Config!$C$27,MIN(Config!$C$27,P231)))),N231))</f>
        <v>4</v>
      </c>
      <c r="T231" s="35" t="str">
        <f aca="false">IF(F231="N/A","N/A",IF(S231="","Not assessed",INDEX(Config!$B$5:$B$9,S231)))</f>
        <v>Medium-High</v>
      </c>
      <c r="U231" s="7" t="str">
        <f aca="false">IF(P231=0,"None",IF(R231="Y","Applied","Pending HO approval"))</f>
        <v>None</v>
      </c>
      <c r="V231" s="8"/>
    </row>
    <row r="232" customFormat="false" ht="15" hidden="false" customHeight="false" outlineLevel="0" collapsed="false">
      <c r="A232" s="26" t="str">
        <f aca="false">Entities!$A$22</f>
        <v>DZ</v>
      </c>
      <c r="B232" s="12" t="str">
        <f aca="false">INDEX(Entities!$B$5:$B$34,MATCH(A232,Entities!$A$5:$A$34,0))</f>
        <v>Arab Bank – Algeria</v>
      </c>
      <c r="C232" s="12" t="str">
        <f aca="false">INDEX(Entities!$D$5:$D$34,MATCH(A232,Entities!$A$5:$A$34,0))</f>
        <v>North Africa</v>
      </c>
      <c r="D232" s="12" t="s">
        <v>277</v>
      </c>
      <c r="E232" s="12" t="str">
        <f aca="false">INDEX('Risk Taxonomy'!$B$5:$B$24,MATCH(D232,'Risk Taxonomy'!$A$5:$A$24,0))</f>
        <v>Liquidity and funding risk</v>
      </c>
      <c r="F232" s="7" t="str">
        <f aca="false">IF(D232="RC-04",IF(INDEX(Entities!$G$5:$G$34,MATCH(A232,Entities!$A$5:$A$34,0))="Y","Yes","N/A"),"Yes")</f>
        <v>Yes</v>
      </c>
      <c r="G232" s="24" t="n">
        <v>4</v>
      </c>
      <c r="H232" s="24" t="n">
        <v>4</v>
      </c>
      <c r="I232" s="24" t="n">
        <v>1</v>
      </c>
      <c r="J232" s="24" t="n">
        <v>3</v>
      </c>
      <c r="K232" s="24" t="n">
        <v>3</v>
      </c>
      <c r="L232" s="37" t="n">
        <f aca="false">IF(F232="N/A","",IF(COUNT(H232:K232)=0,"",IF(Config!$C$19="Highest dimension",MAX(H232:K232),ROUND(H232*Config!$C$20+I232*Config!$C$21+J232*Config!$C$22+K232*Config!$C$23,1))))</f>
        <v>4</v>
      </c>
      <c r="M232" s="38" t="n">
        <f aca="false">IF(OR(L232="",G232=""),"",G232*L232)</f>
        <v>16</v>
      </c>
      <c r="N232" s="31" t="n">
        <f aca="false">IF(M232="","",MATCH(M232,Config!$E$5:$E$9,1))</f>
        <v>4</v>
      </c>
      <c r="O232" s="7" t="str">
        <f aca="false">IF(F232="N/A","N/A",IF(N232="","Not assessed",INDEX(Config!$B$5:$B$9,N232)))</f>
        <v>Medium-High</v>
      </c>
      <c r="P232" s="32" t="n">
        <v>0</v>
      </c>
      <c r="Q232" s="8"/>
      <c r="R232" s="33"/>
      <c r="S232" s="34" t="n">
        <f aca="false">IF(N232="","",IF(AND(R232="Y",P232&lt;&gt;0),MAX(1,MIN(5,N232+MAX(-Config!$C$27,MIN(Config!$C$27,P232)))),N232))</f>
        <v>4</v>
      </c>
      <c r="T232" s="35" t="str">
        <f aca="false">IF(F232="N/A","N/A",IF(S232="","Not assessed",INDEX(Config!$B$5:$B$9,S232)))</f>
        <v>Medium-High</v>
      </c>
      <c r="U232" s="7" t="str">
        <f aca="false">IF(P232=0,"None",IF(R232="Y","Applied","Pending HO approval"))</f>
        <v>None</v>
      </c>
      <c r="V232" s="8"/>
    </row>
    <row r="233" customFormat="false" ht="15" hidden="false" customHeight="false" outlineLevel="0" collapsed="false">
      <c r="A233" s="26" t="str">
        <f aca="false">Entities!$A$22</f>
        <v>DZ</v>
      </c>
      <c r="B233" s="12" t="str">
        <f aca="false">INDEX(Entities!$B$5:$B$34,MATCH(A233,Entities!$A$5:$A$34,0))</f>
        <v>Arab Bank – Algeria</v>
      </c>
      <c r="C233" s="12" t="str">
        <f aca="false">INDEX(Entities!$D$5:$D$34,MATCH(A233,Entities!$A$5:$A$34,0))</f>
        <v>North Africa</v>
      </c>
      <c r="D233" s="12" t="s">
        <v>280</v>
      </c>
      <c r="E233" s="12" t="str">
        <f aca="false">INDEX('Risk Taxonomy'!$B$5:$B$24,MATCH(D233,'Risk Taxonomy'!$A$5:$A$24,0))</f>
        <v>Operational risk</v>
      </c>
      <c r="F233" s="7" t="str">
        <f aca="false">IF(D233="RC-04",IF(INDEX(Entities!$G$5:$G$34,MATCH(A233,Entities!$A$5:$A$34,0))="Y","Yes","N/A"),"Yes")</f>
        <v>Yes</v>
      </c>
      <c r="G233" s="24" t="n">
        <v>3</v>
      </c>
      <c r="H233" s="24" t="n">
        <v>1</v>
      </c>
      <c r="I233" s="24" t="n">
        <v>3</v>
      </c>
      <c r="J233" s="24" t="n">
        <v>3</v>
      </c>
      <c r="K233" s="24" t="n">
        <v>3</v>
      </c>
      <c r="L233" s="37" t="n">
        <f aca="false">IF(F233="N/A","",IF(COUNT(H233:K233)=0,"",IF(Config!$C$19="Highest dimension",MAX(H233:K233),ROUND(H233*Config!$C$20+I233*Config!$C$21+J233*Config!$C$22+K233*Config!$C$23,1))))</f>
        <v>3</v>
      </c>
      <c r="M233" s="38" t="n">
        <f aca="false">IF(OR(L233="",G233=""),"",G233*L233)</f>
        <v>9</v>
      </c>
      <c r="N233" s="31" t="n">
        <f aca="false">IF(M233="","",MATCH(M233,Config!$E$5:$E$9,1))</f>
        <v>3</v>
      </c>
      <c r="O233" s="7" t="str">
        <f aca="false">IF(F233="N/A","N/A",IF(N233="","Not assessed",INDEX(Config!$B$5:$B$9,N233)))</f>
        <v>Medium</v>
      </c>
      <c r="P233" s="32" t="n">
        <v>0</v>
      </c>
      <c r="Q233" s="8"/>
      <c r="R233" s="33"/>
      <c r="S233" s="34" t="n">
        <f aca="false">IF(N233="","",IF(AND(R233="Y",P233&lt;&gt;0),MAX(1,MIN(5,N233+MAX(-Config!$C$27,MIN(Config!$C$27,P233)))),N233))</f>
        <v>3</v>
      </c>
      <c r="T233" s="35" t="str">
        <f aca="false">IF(F233="N/A","N/A",IF(S233="","Not assessed",INDEX(Config!$B$5:$B$9,S233)))</f>
        <v>Medium</v>
      </c>
      <c r="U233" s="7" t="str">
        <f aca="false">IF(P233=0,"None",IF(R233="Y","Applied","Pending HO approval"))</f>
        <v>None</v>
      </c>
      <c r="V233" s="8"/>
    </row>
    <row r="234" customFormat="false" ht="15" hidden="false" customHeight="false" outlineLevel="0" collapsed="false">
      <c r="A234" s="26" t="str">
        <f aca="false">Entities!$A$22</f>
        <v>DZ</v>
      </c>
      <c r="B234" s="12" t="str">
        <f aca="false">INDEX(Entities!$B$5:$B$34,MATCH(A234,Entities!$A$5:$A$34,0))</f>
        <v>Arab Bank – Algeria</v>
      </c>
      <c r="C234" s="12" t="str">
        <f aca="false">INDEX(Entities!$D$5:$D$34,MATCH(A234,Entities!$A$5:$A$34,0))</f>
        <v>North Africa</v>
      </c>
      <c r="D234" s="12" t="s">
        <v>283</v>
      </c>
      <c r="E234" s="12" t="str">
        <f aca="false">INDEX('Risk Taxonomy'!$B$5:$B$24,MATCH(D234,'Risk Taxonomy'!$A$5:$A$24,0))</f>
        <v>Cyber, information security and technology</v>
      </c>
      <c r="F234" s="7" t="str">
        <f aca="false">IF(D234="RC-04",IF(INDEX(Entities!$G$5:$G$34,MATCH(A234,Entities!$A$5:$A$34,0))="Y","Yes","N/A"),"Yes")</f>
        <v>Yes</v>
      </c>
      <c r="G234" s="24" t="n">
        <v>4</v>
      </c>
      <c r="H234" s="24" t="n">
        <v>4</v>
      </c>
      <c r="I234" s="24" t="n">
        <v>3</v>
      </c>
      <c r="J234" s="24" t="n">
        <v>1</v>
      </c>
      <c r="K234" s="24" t="n">
        <v>2</v>
      </c>
      <c r="L234" s="37" t="n">
        <f aca="false">IF(F234="N/A","",IF(COUNT(H234:K234)=0,"",IF(Config!$C$19="Highest dimension",MAX(H234:K234),ROUND(H234*Config!$C$20+I234*Config!$C$21+J234*Config!$C$22+K234*Config!$C$23,1))))</f>
        <v>4</v>
      </c>
      <c r="M234" s="38" t="n">
        <f aca="false">IF(OR(L234="",G234=""),"",G234*L234)</f>
        <v>16</v>
      </c>
      <c r="N234" s="31" t="n">
        <f aca="false">IF(M234="","",MATCH(M234,Config!$E$5:$E$9,1))</f>
        <v>4</v>
      </c>
      <c r="O234" s="7" t="str">
        <f aca="false">IF(F234="N/A","N/A",IF(N234="","Not assessed",INDEX(Config!$B$5:$B$9,N234)))</f>
        <v>Medium-High</v>
      </c>
      <c r="P234" s="32" t="n">
        <v>0</v>
      </c>
      <c r="Q234" s="8"/>
      <c r="R234" s="33"/>
      <c r="S234" s="34" t="n">
        <f aca="false">IF(N234="","",IF(AND(R234="Y",P234&lt;&gt;0),MAX(1,MIN(5,N234+MAX(-Config!$C$27,MIN(Config!$C$27,P234)))),N234))</f>
        <v>4</v>
      </c>
      <c r="T234" s="35" t="str">
        <f aca="false">IF(F234="N/A","N/A",IF(S234="","Not assessed",INDEX(Config!$B$5:$B$9,S234)))</f>
        <v>Medium-High</v>
      </c>
      <c r="U234" s="7" t="str">
        <f aca="false">IF(P234=0,"None",IF(R234="Y","Applied","Pending HO approval"))</f>
        <v>None</v>
      </c>
      <c r="V234" s="8"/>
    </row>
    <row r="235" customFormat="false" ht="15" hidden="false" customHeight="false" outlineLevel="0" collapsed="false">
      <c r="A235" s="26" t="str">
        <f aca="false">Entities!$A$22</f>
        <v>DZ</v>
      </c>
      <c r="B235" s="12" t="str">
        <f aca="false">INDEX(Entities!$B$5:$B$34,MATCH(A235,Entities!$A$5:$A$34,0))</f>
        <v>Arab Bank – Algeria</v>
      </c>
      <c r="C235" s="12" t="str">
        <f aca="false">INDEX(Entities!$D$5:$D$34,MATCH(A235,Entities!$A$5:$A$34,0))</f>
        <v>North Africa</v>
      </c>
      <c r="D235" s="12" t="s">
        <v>286</v>
      </c>
      <c r="E235" s="12" t="str">
        <f aca="false">INDEX('Risk Taxonomy'!$B$5:$B$24,MATCH(D235,'Risk Taxonomy'!$A$5:$A$24,0))</f>
        <v>Third-party and outsourcing</v>
      </c>
      <c r="F235" s="7" t="str">
        <f aca="false">IF(D235="RC-04",IF(INDEX(Entities!$G$5:$G$34,MATCH(A235,Entities!$A$5:$A$34,0))="Y","Yes","N/A"),"Yes")</f>
        <v>Yes</v>
      </c>
      <c r="G235" s="24" t="n">
        <v>4</v>
      </c>
      <c r="H235" s="24" t="n">
        <v>3</v>
      </c>
      <c r="I235" s="24" t="n">
        <v>3</v>
      </c>
      <c r="J235" s="24" t="n">
        <v>2</v>
      </c>
      <c r="K235" s="24" t="n">
        <v>3</v>
      </c>
      <c r="L235" s="37" t="n">
        <f aca="false">IF(F235="N/A","",IF(COUNT(H235:K235)=0,"",IF(Config!$C$19="Highest dimension",MAX(H235:K235),ROUND(H235*Config!$C$20+I235*Config!$C$21+J235*Config!$C$22+K235*Config!$C$23,1))))</f>
        <v>3</v>
      </c>
      <c r="M235" s="38" t="n">
        <f aca="false">IF(OR(L235="",G235=""),"",G235*L235)</f>
        <v>12</v>
      </c>
      <c r="N235" s="31" t="n">
        <f aca="false">IF(M235="","",MATCH(M235,Config!$E$5:$E$9,1))</f>
        <v>3</v>
      </c>
      <c r="O235" s="7" t="str">
        <f aca="false">IF(F235="N/A","N/A",IF(N235="","Not assessed",INDEX(Config!$B$5:$B$9,N235)))</f>
        <v>Medium</v>
      </c>
      <c r="P235" s="32" t="n">
        <v>0</v>
      </c>
      <c r="Q235" s="8"/>
      <c r="R235" s="33"/>
      <c r="S235" s="34" t="n">
        <f aca="false">IF(N235="","",IF(AND(R235="Y",P235&lt;&gt;0),MAX(1,MIN(5,N235+MAX(-Config!$C$27,MIN(Config!$C$27,P235)))),N235))</f>
        <v>3</v>
      </c>
      <c r="T235" s="35" t="str">
        <f aca="false">IF(F235="N/A","N/A",IF(S235="","Not assessed",INDEX(Config!$B$5:$B$9,S235)))</f>
        <v>Medium</v>
      </c>
      <c r="U235" s="7" t="str">
        <f aca="false">IF(P235=0,"None",IF(R235="Y","Applied","Pending HO approval"))</f>
        <v>None</v>
      </c>
      <c r="V235" s="8"/>
    </row>
    <row r="236" customFormat="false" ht="15" hidden="false" customHeight="false" outlineLevel="0" collapsed="false">
      <c r="A236" s="26" t="str">
        <f aca="false">Entities!$A$22</f>
        <v>DZ</v>
      </c>
      <c r="B236" s="12" t="str">
        <f aca="false">INDEX(Entities!$B$5:$B$34,MATCH(A236,Entities!$A$5:$A$34,0))</f>
        <v>Arab Bank – Algeria</v>
      </c>
      <c r="C236" s="12" t="str">
        <f aca="false">INDEX(Entities!$D$5:$D$34,MATCH(A236,Entities!$A$5:$A$34,0))</f>
        <v>North Africa</v>
      </c>
      <c r="D236" s="12" t="s">
        <v>289</v>
      </c>
      <c r="E236" s="12" t="str">
        <f aca="false">INDEX('Risk Taxonomy'!$B$5:$B$24,MATCH(D236,'Risk Taxonomy'!$A$5:$A$24,0))</f>
        <v>Legal and litigation</v>
      </c>
      <c r="F236" s="7" t="str">
        <f aca="false">IF(D236="RC-04",IF(INDEX(Entities!$G$5:$G$34,MATCH(A236,Entities!$A$5:$A$34,0))="Y","Yes","N/A"),"Yes")</f>
        <v>Yes</v>
      </c>
      <c r="G236" s="24" t="n">
        <v>3</v>
      </c>
      <c r="H236" s="24" t="n">
        <v>3</v>
      </c>
      <c r="I236" s="24" t="n">
        <v>3</v>
      </c>
      <c r="J236" s="24" t="n">
        <v>5</v>
      </c>
      <c r="K236" s="24" t="n">
        <v>4</v>
      </c>
      <c r="L236" s="37" t="n">
        <f aca="false">IF(F236="N/A","",IF(COUNT(H236:K236)=0,"",IF(Config!$C$19="Highest dimension",MAX(H236:K236),ROUND(H236*Config!$C$20+I236*Config!$C$21+J236*Config!$C$22+K236*Config!$C$23,1))))</f>
        <v>5</v>
      </c>
      <c r="M236" s="38" t="n">
        <f aca="false">IF(OR(L236="",G236=""),"",G236*L236)</f>
        <v>15</v>
      </c>
      <c r="N236" s="31" t="n">
        <f aca="false">IF(M236="","",MATCH(M236,Config!$E$5:$E$9,1))</f>
        <v>4</v>
      </c>
      <c r="O236" s="7" t="str">
        <f aca="false">IF(F236="N/A","N/A",IF(N236="","Not assessed",INDEX(Config!$B$5:$B$9,N236)))</f>
        <v>Medium-High</v>
      </c>
      <c r="P236" s="32" t="n">
        <v>0</v>
      </c>
      <c r="Q236" s="8"/>
      <c r="R236" s="33"/>
      <c r="S236" s="34" t="n">
        <f aca="false">IF(N236="","",IF(AND(R236="Y",P236&lt;&gt;0),MAX(1,MIN(5,N236+MAX(-Config!$C$27,MIN(Config!$C$27,P236)))),N236))</f>
        <v>4</v>
      </c>
      <c r="T236" s="35" t="str">
        <f aca="false">IF(F236="N/A","N/A",IF(S236="","Not assessed",INDEX(Config!$B$5:$B$9,S236)))</f>
        <v>Medium-High</v>
      </c>
      <c r="U236" s="7" t="str">
        <f aca="false">IF(P236=0,"None",IF(R236="Y","Applied","Pending HO approval"))</f>
        <v>None</v>
      </c>
      <c r="V236" s="8"/>
    </row>
    <row r="237" customFormat="false" ht="15" hidden="false" customHeight="false" outlineLevel="0" collapsed="false">
      <c r="A237" s="26" t="str">
        <f aca="false">Entities!$A$22</f>
        <v>DZ</v>
      </c>
      <c r="B237" s="12" t="str">
        <f aca="false">INDEX(Entities!$B$5:$B$34,MATCH(A237,Entities!$A$5:$A$34,0))</f>
        <v>Arab Bank – Algeria</v>
      </c>
      <c r="C237" s="12" t="str">
        <f aca="false">INDEX(Entities!$D$5:$D$34,MATCH(A237,Entities!$A$5:$A$34,0))</f>
        <v>North Africa</v>
      </c>
      <c r="D237" s="12" t="s">
        <v>292</v>
      </c>
      <c r="E237" s="12" t="str">
        <f aca="false">INDEX('Risk Taxonomy'!$B$5:$B$24,MATCH(D237,'Risk Taxonomy'!$A$5:$A$24,0))</f>
        <v>Reputational</v>
      </c>
      <c r="F237" s="7" t="str">
        <f aca="false">IF(D237="RC-04",IF(INDEX(Entities!$G$5:$G$34,MATCH(A237,Entities!$A$5:$A$34,0))="Y","Yes","N/A"),"Yes")</f>
        <v>Yes</v>
      </c>
      <c r="G237" s="24" t="n">
        <v>3</v>
      </c>
      <c r="H237" s="24" t="n">
        <v>3</v>
      </c>
      <c r="I237" s="24" t="n">
        <v>3</v>
      </c>
      <c r="J237" s="24" t="n">
        <v>3</v>
      </c>
      <c r="K237" s="24" t="n">
        <v>4</v>
      </c>
      <c r="L237" s="37" t="n">
        <f aca="false">IF(F237="N/A","",IF(COUNT(H237:K237)=0,"",IF(Config!$C$19="Highest dimension",MAX(H237:K237),ROUND(H237*Config!$C$20+I237*Config!$C$21+J237*Config!$C$22+K237*Config!$C$23,1))))</f>
        <v>4</v>
      </c>
      <c r="M237" s="38" t="n">
        <f aca="false">IF(OR(L237="",G237=""),"",G237*L237)</f>
        <v>12</v>
      </c>
      <c r="N237" s="31" t="n">
        <f aca="false">IF(M237="","",MATCH(M237,Config!$E$5:$E$9,1))</f>
        <v>3</v>
      </c>
      <c r="O237" s="7" t="str">
        <f aca="false">IF(F237="N/A","N/A",IF(N237="","Not assessed",INDEX(Config!$B$5:$B$9,N237)))</f>
        <v>Medium</v>
      </c>
      <c r="P237" s="32" t="n">
        <v>0</v>
      </c>
      <c r="Q237" s="8"/>
      <c r="R237" s="33"/>
      <c r="S237" s="34" t="n">
        <f aca="false">IF(N237="","",IF(AND(R237="Y",P237&lt;&gt;0),MAX(1,MIN(5,N237+MAX(-Config!$C$27,MIN(Config!$C$27,P237)))),N237))</f>
        <v>3</v>
      </c>
      <c r="T237" s="35" t="str">
        <f aca="false">IF(F237="N/A","N/A",IF(S237="","Not assessed",INDEX(Config!$B$5:$B$9,S237)))</f>
        <v>Medium</v>
      </c>
      <c r="U237" s="7" t="str">
        <f aca="false">IF(P237=0,"None",IF(R237="Y","Applied","Pending HO approval"))</f>
        <v>None</v>
      </c>
      <c r="V237" s="8"/>
    </row>
    <row r="238" customFormat="false" ht="15" hidden="false" customHeight="false" outlineLevel="0" collapsed="false">
      <c r="A238" s="26" t="str">
        <f aca="false">Entities!$A$22</f>
        <v>DZ</v>
      </c>
      <c r="B238" s="12" t="str">
        <f aca="false">INDEX(Entities!$B$5:$B$34,MATCH(A238,Entities!$A$5:$A$34,0))</f>
        <v>Arab Bank – Algeria</v>
      </c>
      <c r="C238" s="12" t="str">
        <f aca="false">INDEX(Entities!$D$5:$D$34,MATCH(A238,Entities!$A$5:$A$34,0))</f>
        <v>North Africa</v>
      </c>
      <c r="D238" s="12" t="s">
        <v>295</v>
      </c>
      <c r="E238" s="12" t="str">
        <f aca="false">INDEX('Risk Taxonomy'!$B$5:$B$24,MATCH(D238,'Risk Taxonomy'!$A$5:$A$24,0))</f>
        <v>Strategic, business model and ESG</v>
      </c>
      <c r="F238" s="7" t="str">
        <f aca="false">IF(D238="RC-04",IF(INDEX(Entities!$G$5:$G$34,MATCH(A238,Entities!$A$5:$A$34,0))="Y","Yes","N/A"),"Yes")</f>
        <v>Yes</v>
      </c>
      <c r="G238" s="24" t="n">
        <v>3</v>
      </c>
      <c r="H238" s="24" t="n">
        <v>3</v>
      </c>
      <c r="I238" s="24" t="n">
        <v>3</v>
      </c>
      <c r="J238" s="24" t="n">
        <v>3</v>
      </c>
      <c r="K238" s="24" t="n">
        <v>4</v>
      </c>
      <c r="L238" s="37" t="n">
        <f aca="false">IF(F238="N/A","",IF(COUNT(H238:K238)=0,"",IF(Config!$C$19="Highest dimension",MAX(H238:K238),ROUND(H238*Config!$C$20+I238*Config!$C$21+J238*Config!$C$22+K238*Config!$C$23,1))))</f>
        <v>4</v>
      </c>
      <c r="M238" s="38" t="n">
        <f aca="false">IF(OR(L238="",G238=""),"",G238*L238)</f>
        <v>12</v>
      </c>
      <c r="N238" s="31" t="n">
        <f aca="false">IF(M238="","",MATCH(M238,Config!$E$5:$E$9,1))</f>
        <v>3</v>
      </c>
      <c r="O238" s="7" t="str">
        <f aca="false">IF(F238="N/A","N/A",IF(N238="","Not assessed",INDEX(Config!$B$5:$B$9,N238)))</f>
        <v>Medium</v>
      </c>
      <c r="P238" s="32" t="n">
        <v>0</v>
      </c>
      <c r="Q238" s="8"/>
      <c r="R238" s="33"/>
      <c r="S238" s="34" t="n">
        <f aca="false">IF(N238="","",IF(AND(R238="Y",P238&lt;&gt;0),MAX(1,MIN(5,N238+MAX(-Config!$C$27,MIN(Config!$C$27,P238)))),N238))</f>
        <v>3</v>
      </c>
      <c r="T238" s="35" t="str">
        <f aca="false">IF(F238="N/A","N/A",IF(S238="","Not assessed",INDEX(Config!$B$5:$B$9,S238)))</f>
        <v>Medium</v>
      </c>
      <c r="U238" s="7" t="str">
        <f aca="false">IF(P238=0,"None",IF(R238="Y","Applied","Pending HO approval"))</f>
        <v>None</v>
      </c>
      <c r="V238" s="8"/>
    </row>
    <row r="239" customFormat="false" ht="15" hidden="false" customHeight="false" outlineLevel="0" collapsed="false">
      <c r="A239" s="26" t="str">
        <f aca="false">Entities!$A$23</f>
        <v>MA</v>
      </c>
      <c r="B239" s="12" t="str">
        <f aca="false">INDEX(Entities!$B$5:$B$34,MATCH(A239,Entities!$A$5:$A$34,0))</f>
        <v>Arab Bank – Morocco</v>
      </c>
      <c r="C239" s="12" t="str">
        <f aca="false">INDEX(Entities!$D$5:$D$34,MATCH(A239,Entities!$A$5:$A$34,0))</f>
        <v>North Africa</v>
      </c>
      <c r="D239" s="12" t="s">
        <v>257</v>
      </c>
      <c r="E239" s="12" t="str">
        <f aca="false">INDEX('Risk Taxonomy'!$B$5:$B$24,MATCH(D239,'Risk Taxonomy'!$A$5:$A$24,0))</f>
        <v>Regulatory compliance</v>
      </c>
      <c r="F239" s="7" t="str">
        <f aca="false">IF(D239="RC-04",IF(INDEX(Entities!$G$5:$G$34,MATCH(A239,Entities!$A$5:$A$34,0))="Y","Yes","N/A"),"Yes")</f>
        <v>Yes</v>
      </c>
      <c r="G239" s="24" t="n">
        <v>3</v>
      </c>
      <c r="H239" s="24" t="n">
        <v>1</v>
      </c>
      <c r="I239" s="24" t="n">
        <v>4</v>
      </c>
      <c r="J239" s="24" t="n">
        <v>3</v>
      </c>
      <c r="K239" s="24" t="n">
        <v>4</v>
      </c>
      <c r="L239" s="37" t="n">
        <f aca="false">IF(F239="N/A","",IF(COUNT(H239:K239)=0,"",IF(Config!$C$19="Highest dimension",MAX(H239:K239),ROUND(H239*Config!$C$20+I239*Config!$C$21+J239*Config!$C$22+K239*Config!$C$23,1))))</f>
        <v>4</v>
      </c>
      <c r="M239" s="38" t="n">
        <f aca="false">IF(OR(L239="",G239=""),"",G239*L239)</f>
        <v>12</v>
      </c>
      <c r="N239" s="31" t="n">
        <f aca="false">IF(M239="","",MATCH(M239,Config!$E$5:$E$9,1))</f>
        <v>3</v>
      </c>
      <c r="O239" s="7" t="str">
        <f aca="false">IF(F239="N/A","N/A",IF(N239="","Not assessed",INDEX(Config!$B$5:$B$9,N239)))</f>
        <v>Medium</v>
      </c>
      <c r="P239" s="32" t="n">
        <v>0</v>
      </c>
      <c r="Q239" s="8"/>
      <c r="R239" s="33"/>
      <c r="S239" s="34" t="n">
        <f aca="false">IF(N239="","",IF(AND(R239="Y",P239&lt;&gt;0),MAX(1,MIN(5,N239+MAX(-Config!$C$27,MIN(Config!$C$27,P239)))),N239))</f>
        <v>3</v>
      </c>
      <c r="T239" s="35" t="str">
        <f aca="false">IF(F239="N/A","N/A",IF(S239="","Not assessed",INDEX(Config!$B$5:$B$9,S239)))</f>
        <v>Medium</v>
      </c>
      <c r="U239" s="7" t="str">
        <f aca="false">IF(P239=0,"None",IF(R239="Y","Applied","Pending HO approval"))</f>
        <v>None</v>
      </c>
      <c r="V239" s="8"/>
    </row>
    <row r="240" customFormat="false" ht="15" hidden="false" customHeight="false" outlineLevel="0" collapsed="false">
      <c r="A240" s="26" t="str">
        <f aca="false">Entities!$A$23</f>
        <v>MA</v>
      </c>
      <c r="B240" s="12" t="str">
        <f aca="false">INDEX(Entities!$B$5:$B$34,MATCH(A240,Entities!$A$5:$A$34,0))</f>
        <v>Arab Bank – Morocco</v>
      </c>
      <c r="C240" s="12" t="str">
        <f aca="false">INDEX(Entities!$D$5:$D$34,MATCH(A240,Entities!$A$5:$A$34,0))</f>
        <v>North Africa</v>
      </c>
      <c r="D240" s="12" t="s">
        <v>261</v>
      </c>
      <c r="E240" s="12" t="str">
        <f aca="false">INDEX('Risk Taxonomy'!$B$5:$B$24,MATCH(D240,'Risk Taxonomy'!$A$5:$A$24,0))</f>
        <v>Conduct and consumer protection</v>
      </c>
      <c r="F240" s="7" t="str">
        <f aca="false">IF(D240="RC-04",IF(INDEX(Entities!$G$5:$G$34,MATCH(A240,Entities!$A$5:$A$34,0))="Y","Yes","N/A"),"Yes")</f>
        <v>Yes</v>
      </c>
      <c r="G240" s="24" t="n">
        <v>2</v>
      </c>
      <c r="H240" s="24" t="n">
        <v>2</v>
      </c>
      <c r="I240" s="24" t="n">
        <v>3</v>
      </c>
      <c r="J240" s="24" t="n">
        <v>3</v>
      </c>
      <c r="K240" s="24" t="n">
        <v>2</v>
      </c>
      <c r="L240" s="37" t="n">
        <f aca="false">IF(F240="N/A","",IF(COUNT(H240:K240)=0,"",IF(Config!$C$19="Highest dimension",MAX(H240:K240),ROUND(H240*Config!$C$20+I240*Config!$C$21+J240*Config!$C$22+K240*Config!$C$23,1))))</f>
        <v>3</v>
      </c>
      <c r="M240" s="38" t="n">
        <f aca="false">IF(OR(L240="",G240=""),"",G240*L240)</f>
        <v>6</v>
      </c>
      <c r="N240" s="31" t="n">
        <f aca="false">IF(M240="","",MATCH(M240,Config!$E$5:$E$9,1))</f>
        <v>2</v>
      </c>
      <c r="O240" s="7" t="str">
        <f aca="false">IF(F240="N/A","N/A",IF(N240="","Not assessed",INDEX(Config!$B$5:$B$9,N240)))</f>
        <v>Medium-Low</v>
      </c>
      <c r="P240" s="32" t="n">
        <v>0</v>
      </c>
      <c r="Q240" s="8"/>
      <c r="R240" s="33"/>
      <c r="S240" s="34" t="n">
        <f aca="false">IF(N240="","",IF(AND(R240="Y",P240&lt;&gt;0),MAX(1,MIN(5,N240+MAX(-Config!$C$27,MIN(Config!$C$27,P240)))),N240))</f>
        <v>2</v>
      </c>
      <c r="T240" s="35" t="str">
        <f aca="false">IF(F240="N/A","N/A",IF(S240="","Not assessed",INDEX(Config!$B$5:$B$9,S240)))</f>
        <v>Medium-Low</v>
      </c>
      <c r="U240" s="7" t="str">
        <f aca="false">IF(P240=0,"None",IF(R240="Y","Applied","Pending HO approval"))</f>
        <v>None</v>
      </c>
      <c r="V240" s="8"/>
    </row>
    <row r="241" customFormat="false" ht="15" hidden="false" customHeight="false" outlineLevel="0" collapsed="false">
      <c r="A241" s="26" t="str">
        <f aca="false">Entities!$A$23</f>
        <v>MA</v>
      </c>
      <c r="B241" s="12" t="str">
        <f aca="false">INDEX(Entities!$B$5:$B$34,MATCH(A241,Entities!$A$5:$A$34,0))</f>
        <v>Arab Bank – Morocco</v>
      </c>
      <c r="C241" s="12" t="str">
        <f aca="false">INDEX(Entities!$D$5:$D$34,MATCH(A241,Entities!$A$5:$A$34,0))</f>
        <v>North Africa</v>
      </c>
      <c r="D241" s="12" t="s">
        <v>263</v>
      </c>
      <c r="E241" s="12" t="str">
        <f aca="false">INDEX('Risk Taxonomy'!$B$5:$B$24,MATCH(D241,'Risk Taxonomy'!$A$5:$A$24,0))</f>
        <v>Data protection and privacy</v>
      </c>
      <c r="F241" s="7" t="str">
        <f aca="false">IF(D241="RC-04",IF(INDEX(Entities!$G$5:$G$34,MATCH(A241,Entities!$A$5:$A$34,0))="Y","Yes","N/A"),"Yes")</f>
        <v>Yes</v>
      </c>
      <c r="G241" s="24" t="n">
        <v>2</v>
      </c>
      <c r="H241" s="24" t="n">
        <v>2</v>
      </c>
      <c r="I241" s="24" t="n">
        <v>2</v>
      </c>
      <c r="J241" s="24" t="n">
        <v>2</v>
      </c>
      <c r="K241" s="24" t="n">
        <v>2</v>
      </c>
      <c r="L241" s="37" t="n">
        <f aca="false">IF(F241="N/A","",IF(COUNT(H241:K241)=0,"",IF(Config!$C$19="Highest dimension",MAX(H241:K241),ROUND(H241*Config!$C$20+I241*Config!$C$21+J241*Config!$C$22+K241*Config!$C$23,1))))</f>
        <v>2</v>
      </c>
      <c r="M241" s="38" t="n">
        <f aca="false">IF(OR(L241="",G241=""),"",G241*L241)</f>
        <v>4</v>
      </c>
      <c r="N241" s="31" t="n">
        <f aca="false">IF(M241="","",MATCH(M241,Config!$E$5:$E$9,1))</f>
        <v>1</v>
      </c>
      <c r="O241" s="7" t="str">
        <f aca="false">IF(F241="N/A","N/A",IF(N241="","Not assessed",INDEX(Config!$B$5:$B$9,N241)))</f>
        <v>Low</v>
      </c>
      <c r="P241" s="32" t="n">
        <v>0</v>
      </c>
      <c r="Q241" s="8"/>
      <c r="R241" s="33"/>
      <c r="S241" s="34" t="n">
        <f aca="false">IF(N241="","",IF(AND(R241="Y",P241&lt;&gt;0),MAX(1,MIN(5,N241+MAX(-Config!$C$27,MIN(Config!$C$27,P241)))),N241))</f>
        <v>1</v>
      </c>
      <c r="T241" s="35" t="str">
        <f aca="false">IF(F241="N/A","N/A",IF(S241="","Not assessed",INDEX(Config!$B$5:$B$9,S241)))</f>
        <v>Low</v>
      </c>
      <c r="U241" s="7" t="str">
        <f aca="false">IF(P241=0,"None",IF(R241="Y","Applied","Pending HO approval"))</f>
        <v>None</v>
      </c>
      <c r="V241" s="8"/>
    </row>
    <row r="242" customFormat="false" ht="15" hidden="false" customHeight="false" outlineLevel="0" collapsed="false">
      <c r="A242" s="26" t="str">
        <f aca="false">Entities!$A$23</f>
        <v>MA</v>
      </c>
      <c r="B242" s="12" t="str">
        <f aca="false">INDEX(Entities!$B$5:$B$34,MATCH(A242,Entities!$A$5:$A$34,0))</f>
        <v>Arab Bank – Morocco</v>
      </c>
      <c r="C242" s="12" t="str">
        <f aca="false">INDEX(Entities!$D$5:$D$34,MATCH(A242,Entities!$A$5:$A$34,0))</f>
        <v>North Africa</v>
      </c>
      <c r="D242" s="12" t="s">
        <v>266</v>
      </c>
      <c r="E242" s="12" t="str">
        <f aca="false">INDEX('Risk Taxonomy'!$B$5:$B$24,MATCH(D242,'Risk Taxonomy'!$A$5:$A$24,0))</f>
        <v>Shariah non-compliance</v>
      </c>
      <c r="F242" s="7" t="str">
        <f aca="false">IF(D242="RC-04",IF(INDEX(Entities!$G$5:$G$34,MATCH(A242,Entities!$A$5:$A$34,0))="Y","Yes","N/A"),"Yes")</f>
        <v>N/A</v>
      </c>
      <c r="G242" s="24"/>
      <c r="H242" s="24"/>
      <c r="I242" s="24"/>
      <c r="J242" s="24"/>
      <c r="K242" s="24"/>
      <c r="L242" s="37" t="str">
        <f aca="false">IF(F242="N/A","",IF(COUNT(H242:K242)=0,"",IF(Config!$C$19="Highest dimension",MAX(H242:K242),ROUND(H242*Config!$C$20+I242*Config!$C$21+J242*Config!$C$22+K242*Config!$C$23,1))))</f>
        <v/>
      </c>
      <c r="M242" s="38" t="str">
        <f aca="false">IF(OR(L242="",G242=""),"",G242*L242)</f>
        <v/>
      </c>
      <c r="N242" s="31" t="str">
        <f aca="false">IF(M242="","",MATCH(M242,Config!$E$5:$E$9,1))</f>
        <v/>
      </c>
      <c r="O242" s="7" t="str">
        <f aca="false">IF(F242="N/A","N/A",IF(N242="","Not assessed",INDEX(Config!$B$5:$B$9,N242)))</f>
        <v>N/A</v>
      </c>
      <c r="P242" s="32" t="n">
        <v>0</v>
      </c>
      <c r="Q242" s="8"/>
      <c r="R242" s="33"/>
      <c r="S242" s="34" t="str">
        <f aca="false">IF(N242="","",IF(AND(R242="Y",P242&lt;&gt;0),MAX(1,MIN(5,N242+MAX(-Config!$C$27,MIN(Config!$C$27,P242)))),N242))</f>
        <v/>
      </c>
      <c r="T242" s="35" t="str">
        <f aca="false">IF(F242="N/A","N/A",IF(S242="","Not assessed",INDEX(Config!$B$5:$B$9,S242)))</f>
        <v>N/A</v>
      </c>
      <c r="U242" s="7" t="str">
        <f aca="false">IF(P242=0,"None",IF(R242="Y","Applied","Pending HO approval"))</f>
        <v>None</v>
      </c>
      <c r="V242" s="8"/>
    </row>
    <row r="243" customFormat="false" ht="15" hidden="false" customHeight="false" outlineLevel="0" collapsed="false">
      <c r="A243" s="26" t="str">
        <f aca="false">Entities!$A$23</f>
        <v>MA</v>
      </c>
      <c r="B243" s="12" t="str">
        <f aca="false">INDEX(Entities!$B$5:$B$34,MATCH(A243,Entities!$A$5:$A$34,0))</f>
        <v>Arab Bank – Morocco</v>
      </c>
      <c r="C243" s="12" t="str">
        <f aca="false">INDEX(Entities!$D$5:$D$34,MATCH(A243,Entities!$A$5:$A$34,0))</f>
        <v>North Africa</v>
      </c>
      <c r="D243" s="12" t="s">
        <v>270</v>
      </c>
      <c r="E243" s="12" t="str">
        <f aca="false">INDEX('Risk Taxonomy'!$B$5:$B$24,MATCH(D243,'Risk Taxonomy'!$A$5:$A$24,0))</f>
        <v>Credit risk</v>
      </c>
      <c r="F243" s="7" t="str">
        <f aca="false">IF(D243="RC-04",IF(INDEX(Entities!$G$5:$G$34,MATCH(A243,Entities!$A$5:$A$34,0))="Y","Yes","N/A"),"Yes")</f>
        <v>Yes</v>
      </c>
      <c r="G243" s="24" t="n">
        <v>3</v>
      </c>
      <c r="H243" s="24" t="n">
        <v>3</v>
      </c>
      <c r="I243" s="24" t="n">
        <v>2</v>
      </c>
      <c r="J243" s="24" t="n">
        <v>5</v>
      </c>
      <c r="K243" s="24" t="n">
        <v>3</v>
      </c>
      <c r="L243" s="37" t="n">
        <f aca="false">IF(F243="N/A","",IF(COUNT(H243:K243)=0,"",IF(Config!$C$19="Highest dimension",MAX(H243:K243),ROUND(H243*Config!$C$20+I243*Config!$C$21+J243*Config!$C$22+K243*Config!$C$23,1))))</f>
        <v>5</v>
      </c>
      <c r="M243" s="38" t="n">
        <f aca="false">IF(OR(L243="",G243=""),"",G243*L243)</f>
        <v>15</v>
      </c>
      <c r="N243" s="31" t="n">
        <f aca="false">IF(M243="","",MATCH(M243,Config!$E$5:$E$9,1))</f>
        <v>4</v>
      </c>
      <c r="O243" s="7" t="str">
        <f aca="false">IF(F243="N/A","N/A",IF(N243="","Not assessed",INDEX(Config!$B$5:$B$9,N243)))</f>
        <v>Medium-High</v>
      </c>
      <c r="P243" s="32" t="n">
        <v>0</v>
      </c>
      <c r="Q243" s="8"/>
      <c r="R243" s="33"/>
      <c r="S243" s="34" t="n">
        <f aca="false">IF(N243="","",IF(AND(R243="Y",P243&lt;&gt;0),MAX(1,MIN(5,N243+MAX(-Config!$C$27,MIN(Config!$C$27,P243)))),N243))</f>
        <v>4</v>
      </c>
      <c r="T243" s="35" t="str">
        <f aca="false">IF(F243="N/A","N/A",IF(S243="","Not assessed",INDEX(Config!$B$5:$B$9,S243)))</f>
        <v>Medium-High</v>
      </c>
      <c r="U243" s="7" t="str">
        <f aca="false">IF(P243=0,"None",IF(R243="Y","Applied","Pending HO approval"))</f>
        <v>None</v>
      </c>
      <c r="V243" s="8"/>
    </row>
    <row r="244" customFormat="false" ht="15" hidden="false" customHeight="false" outlineLevel="0" collapsed="false">
      <c r="A244" s="26" t="str">
        <f aca="false">Entities!$A$23</f>
        <v>MA</v>
      </c>
      <c r="B244" s="12" t="str">
        <f aca="false">INDEX(Entities!$B$5:$B$34,MATCH(A244,Entities!$A$5:$A$34,0))</f>
        <v>Arab Bank – Morocco</v>
      </c>
      <c r="C244" s="12" t="str">
        <f aca="false">INDEX(Entities!$D$5:$D$34,MATCH(A244,Entities!$A$5:$A$34,0))</f>
        <v>North Africa</v>
      </c>
      <c r="D244" s="12" t="s">
        <v>275</v>
      </c>
      <c r="E244" s="12" t="str">
        <f aca="false">INDEX('Risk Taxonomy'!$B$5:$B$24,MATCH(D244,'Risk Taxonomy'!$A$5:$A$24,0))</f>
        <v>Market risk</v>
      </c>
      <c r="F244" s="7" t="str">
        <f aca="false">IF(D244="RC-04",IF(INDEX(Entities!$G$5:$G$34,MATCH(A244,Entities!$A$5:$A$34,0))="Y","Yes","N/A"),"Yes")</f>
        <v>Yes</v>
      </c>
      <c r="G244" s="24" t="n">
        <v>3</v>
      </c>
      <c r="H244" s="24" t="n">
        <v>4</v>
      </c>
      <c r="I244" s="24" t="n">
        <v>1</v>
      </c>
      <c r="J244" s="24" t="n">
        <v>4</v>
      </c>
      <c r="K244" s="24" t="n">
        <v>4</v>
      </c>
      <c r="L244" s="37" t="n">
        <f aca="false">IF(F244="N/A","",IF(COUNT(H244:K244)=0,"",IF(Config!$C$19="Highest dimension",MAX(H244:K244),ROUND(H244*Config!$C$20+I244*Config!$C$21+J244*Config!$C$22+K244*Config!$C$23,1))))</f>
        <v>4</v>
      </c>
      <c r="M244" s="38" t="n">
        <f aca="false">IF(OR(L244="",G244=""),"",G244*L244)</f>
        <v>12</v>
      </c>
      <c r="N244" s="31" t="n">
        <f aca="false">IF(M244="","",MATCH(M244,Config!$E$5:$E$9,1))</f>
        <v>3</v>
      </c>
      <c r="O244" s="7" t="str">
        <f aca="false">IF(F244="N/A","N/A",IF(N244="","Not assessed",INDEX(Config!$B$5:$B$9,N244)))</f>
        <v>Medium</v>
      </c>
      <c r="P244" s="32" t="n">
        <v>0</v>
      </c>
      <c r="Q244" s="8"/>
      <c r="R244" s="33"/>
      <c r="S244" s="34" t="n">
        <f aca="false">IF(N244="","",IF(AND(R244="Y",P244&lt;&gt;0),MAX(1,MIN(5,N244+MAX(-Config!$C$27,MIN(Config!$C$27,P244)))),N244))</f>
        <v>3</v>
      </c>
      <c r="T244" s="35" t="str">
        <f aca="false">IF(F244="N/A","N/A",IF(S244="","Not assessed",INDEX(Config!$B$5:$B$9,S244)))</f>
        <v>Medium</v>
      </c>
      <c r="U244" s="7" t="str">
        <f aca="false">IF(P244=0,"None",IF(R244="Y","Applied","Pending HO approval"))</f>
        <v>None</v>
      </c>
      <c r="V244" s="8"/>
    </row>
    <row r="245" customFormat="false" ht="15" hidden="false" customHeight="false" outlineLevel="0" collapsed="false">
      <c r="A245" s="26" t="str">
        <f aca="false">Entities!$A$23</f>
        <v>MA</v>
      </c>
      <c r="B245" s="12" t="str">
        <f aca="false">INDEX(Entities!$B$5:$B$34,MATCH(A245,Entities!$A$5:$A$34,0))</f>
        <v>Arab Bank – Morocco</v>
      </c>
      <c r="C245" s="12" t="str">
        <f aca="false">INDEX(Entities!$D$5:$D$34,MATCH(A245,Entities!$A$5:$A$34,0))</f>
        <v>North Africa</v>
      </c>
      <c r="D245" s="12" t="s">
        <v>277</v>
      </c>
      <c r="E245" s="12" t="str">
        <f aca="false">INDEX('Risk Taxonomy'!$B$5:$B$24,MATCH(D245,'Risk Taxonomy'!$A$5:$A$24,0))</f>
        <v>Liquidity and funding risk</v>
      </c>
      <c r="F245" s="7" t="str">
        <f aca="false">IF(D245="RC-04",IF(INDEX(Entities!$G$5:$G$34,MATCH(A245,Entities!$A$5:$A$34,0))="Y","Yes","N/A"),"Yes")</f>
        <v>Yes</v>
      </c>
      <c r="G245" s="24" t="n">
        <v>3</v>
      </c>
      <c r="H245" s="24" t="n">
        <v>2</v>
      </c>
      <c r="I245" s="24" t="n">
        <v>2</v>
      </c>
      <c r="J245" s="24" t="n">
        <v>4</v>
      </c>
      <c r="K245" s="24" t="n">
        <v>3</v>
      </c>
      <c r="L245" s="37" t="n">
        <f aca="false">IF(F245="N/A","",IF(COUNT(H245:K245)=0,"",IF(Config!$C$19="Highest dimension",MAX(H245:K245),ROUND(H245*Config!$C$20+I245*Config!$C$21+J245*Config!$C$22+K245*Config!$C$23,1))))</f>
        <v>4</v>
      </c>
      <c r="M245" s="38" t="n">
        <f aca="false">IF(OR(L245="",G245=""),"",G245*L245)</f>
        <v>12</v>
      </c>
      <c r="N245" s="31" t="n">
        <f aca="false">IF(M245="","",MATCH(M245,Config!$E$5:$E$9,1))</f>
        <v>3</v>
      </c>
      <c r="O245" s="7" t="str">
        <f aca="false">IF(F245="N/A","N/A",IF(N245="","Not assessed",INDEX(Config!$B$5:$B$9,N245)))</f>
        <v>Medium</v>
      </c>
      <c r="P245" s="32" t="n">
        <v>0</v>
      </c>
      <c r="Q245" s="8"/>
      <c r="R245" s="33"/>
      <c r="S245" s="34" t="n">
        <f aca="false">IF(N245="","",IF(AND(R245="Y",P245&lt;&gt;0),MAX(1,MIN(5,N245+MAX(-Config!$C$27,MIN(Config!$C$27,P245)))),N245))</f>
        <v>3</v>
      </c>
      <c r="T245" s="35" t="str">
        <f aca="false">IF(F245="N/A","N/A",IF(S245="","Not assessed",INDEX(Config!$B$5:$B$9,S245)))</f>
        <v>Medium</v>
      </c>
      <c r="U245" s="7" t="str">
        <f aca="false">IF(P245=0,"None",IF(R245="Y","Applied","Pending HO approval"))</f>
        <v>None</v>
      </c>
      <c r="V245" s="8"/>
    </row>
    <row r="246" customFormat="false" ht="15" hidden="false" customHeight="false" outlineLevel="0" collapsed="false">
      <c r="A246" s="26" t="str">
        <f aca="false">Entities!$A$23</f>
        <v>MA</v>
      </c>
      <c r="B246" s="12" t="str">
        <f aca="false">INDEX(Entities!$B$5:$B$34,MATCH(A246,Entities!$A$5:$A$34,0))</f>
        <v>Arab Bank – Morocco</v>
      </c>
      <c r="C246" s="12" t="str">
        <f aca="false">INDEX(Entities!$D$5:$D$34,MATCH(A246,Entities!$A$5:$A$34,0))</f>
        <v>North Africa</v>
      </c>
      <c r="D246" s="12" t="s">
        <v>280</v>
      </c>
      <c r="E246" s="12" t="str">
        <f aca="false">INDEX('Risk Taxonomy'!$B$5:$B$24,MATCH(D246,'Risk Taxonomy'!$A$5:$A$24,0))</f>
        <v>Operational risk</v>
      </c>
      <c r="F246" s="7" t="str">
        <f aca="false">IF(D246="RC-04",IF(INDEX(Entities!$G$5:$G$34,MATCH(A246,Entities!$A$5:$A$34,0))="Y","Yes","N/A"),"Yes")</f>
        <v>Yes</v>
      </c>
      <c r="G246" s="24" t="n">
        <v>3</v>
      </c>
      <c r="H246" s="24" t="n">
        <v>3</v>
      </c>
      <c r="I246" s="24" t="n">
        <v>2</v>
      </c>
      <c r="J246" s="24" t="n">
        <v>3</v>
      </c>
      <c r="K246" s="24" t="n">
        <v>2</v>
      </c>
      <c r="L246" s="37" t="n">
        <f aca="false">IF(F246="N/A","",IF(COUNT(H246:K246)=0,"",IF(Config!$C$19="Highest dimension",MAX(H246:K246),ROUND(H246*Config!$C$20+I246*Config!$C$21+J246*Config!$C$22+K246*Config!$C$23,1))))</f>
        <v>3</v>
      </c>
      <c r="M246" s="38" t="n">
        <f aca="false">IF(OR(L246="",G246=""),"",G246*L246)</f>
        <v>9</v>
      </c>
      <c r="N246" s="31" t="n">
        <f aca="false">IF(M246="","",MATCH(M246,Config!$E$5:$E$9,1))</f>
        <v>3</v>
      </c>
      <c r="O246" s="7" t="str">
        <f aca="false">IF(F246="N/A","N/A",IF(N246="","Not assessed",INDEX(Config!$B$5:$B$9,N246)))</f>
        <v>Medium</v>
      </c>
      <c r="P246" s="32" t="n">
        <v>0</v>
      </c>
      <c r="Q246" s="8"/>
      <c r="R246" s="33"/>
      <c r="S246" s="34" t="n">
        <f aca="false">IF(N246="","",IF(AND(R246="Y",P246&lt;&gt;0),MAX(1,MIN(5,N246+MAX(-Config!$C$27,MIN(Config!$C$27,P246)))),N246))</f>
        <v>3</v>
      </c>
      <c r="T246" s="35" t="str">
        <f aca="false">IF(F246="N/A","N/A",IF(S246="","Not assessed",INDEX(Config!$B$5:$B$9,S246)))</f>
        <v>Medium</v>
      </c>
      <c r="U246" s="7" t="str">
        <f aca="false">IF(P246=0,"None",IF(R246="Y","Applied","Pending HO approval"))</f>
        <v>None</v>
      </c>
      <c r="V246" s="8"/>
    </row>
    <row r="247" customFormat="false" ht="15" hidden="false" customHeight="false" outlineLevel="0" collapsed="false">
      <c r="A247" s="26" t="str">
        <f aca="false">Entities!$A$23</f>
        <v>MA</v>
      </c>
      <c r="B247" s="12" t="str">
        <f aca="false">INDEX(Entities!$B$5:$B$34,MATCH(A247,Entities!$A$5:$A$34,0))</f>
        <v>Arab Bank – Morocco</v>
      </c>
      <c r="C247" s="12" t="str">
        <f aca="false">INDEX(Entities!$D$5:$D$34,MATCH(A247,Entities!$A$5:$A$34,0))</f>
        <v>North Africa</v>
      </c>
      <c r="D247" s="12" t="s">
        <v>283</v>
      </c>
      <c r="E247" s="12" t="str">
        <f aca="false">INDEX('Risk Taxonomy'!$B$5:$B$24,MATCH(D247,'Risk Taxonomy'!$A$5:$A$24,0))</f>
        <v>Cyber, information security and technology</v>
      </c>
      <c r="F247" s="7" t="str">
        <f aca="false">IF(D247="RC-04",IF(INDEX(Entities!$G$5:$G$34,MATCH(A247,Entities!$A$5:$A$34,0))="Y","Yes","N/A"),"Yes")</f>
        <v>Yes</v>
      </c>
      <c r="G247" s="24" t="n">
        <v>3</v>
      </c>
      <c r="H247" s="24" t="n">
        <v>3</v>
      </c>
      <c r="I247" s="24" t="n">
        <v>4</v>
      </c>
      <c r="J247" s="24" t="n">
        <v>4</v>
      </c>
      <c r="K247" s="24" t="n">
        <v>2</v>
      </c>
      <c r="L247" s="37" t="n">
        <f aca="false">IF(F247="N/A","",IF(COUNT(H247:K247)=0,"",IF(Config!$C$19="Highest dimension",MAX(H247:K247),ROUND(H247*Config!$C$20+I247*Config!$C$21+J247*Config!$C$22+K247*Config!$C$23,1))))</f>
        <v>4</v>
      </c>
      <c r="M247" s="38" t="n">
        <f aca="false">IF(OR(L247="",G247=""),"",G247*L247)</f>
        <v>12</v>
      </c>
      <c r="N247" s="31" t="n">
        <f aca="false">IF(M247="","",MATCH(M247,Config!$E$5:$E$9,1))</f>
        <v>3</v>
      </c>
      <c r="O247" s="7" t="str">
        <f aca="false">IF(F247="N/A","N/A",IF(N247="","Not assessed",INDEX(Config!$B$5:$B$9,N247)))</f>
        <v>Medium</v>
      </c>
      <c r="P247" s="32" t="n">
        <v>0</v>
      </c>
      <c r="Q247" s="8"/>
      <c r="R247" s="33"/>
      <c r="S247" s="34" t="n">
        <f aca="false">IF(N247="","",IF(AND(R247="Y",P247&lt;&gt;0),MAX(1,MIN(5,N247+MAX(-Config!$C$27,MIN(Config!$C$27,P247)))),N247))</f>
        <v>3</v>
      </c>
      <c r="T247" s="35" t="str">
        <f aca="false">IF(F247="N/A","N/A",IF(S247="","Not assessed",INDEX(Config!$B$5:$B$9,S247)))</f>
        <v>Medium</v>
      </c>
      <c r="U247" s="7" t="str">
        <f aca="false">IF(P247=0,"None",IF(R247="Y","Applied","Pending HO approval"))</f>
        <v>None</v>
      </c>
      <c r="V247" s="8"/>
    </row>
    <row r="248" customFormat="false" ht="15" hidden="false" customHeight="false" outlineLevel="0" collapsed="false">
      <c r="A248" s="26" t="str">
        <f aca="false">Entities!$A$23</f>
        <v>MA</v>
      </c>
      <c r="B248" s="12" t="str">
        <f aca="false">INDEX(Entities!$B$5:$B$34,MATCH(A248,Entities!$A$5:$A$34,0))</f>
        <v>Arab Bank – Morocco</v>
      </c>
      <c r="C248" s="12" t="str">
        <f aca="false">INDEX(Entities!$D$5:$D$34,MATCH(A248,Entities!$A$5:$A$34,0))</f>
        <v>North Africa</v>
      </c>
      <c r="D248" s="12" t="s">
        <v>286</v>
      </c>
      <c r="E248" s="12" t="str">
        <f aca="false">INDEX('Risk Taxonomy'!$B$5:$B$24,MATCH(D248,'Risk Taxonomy'!$A$5:$A$24,0))</f>
        <v>Third-party and outsourcing</v>
      </c>
      <c r="F248" s="7" t="str">
        <f aca="false">IF(D248="RC-04",IF(INDEX(Entities!$G$5:$G$34,MATCH(A248,Entities!$A$5:$A$34,0))="Y","Yes","N/A"),"Yes")</f>
        <v>Yes</v>
      </c>
      <c r="G248" s="24" t="n">
        <v>3</v>
      </c>
      <c r="H248" s="24" t="n">
        <v>2</v>
      </c>
      <c r="I248" s="24" t="n">
        <v>3</v>
      </c>
      <c r="J248" s="24" t="n">
        <v>3</v>
      </c>
      <c r="K248" s="24" t="n">
        <v>3</v>
      </c>
      <c r="L248" s="37" t="n">
        <f aca="false">IF(F248="N/A","",IF(COUNT(H248:K248)=0,"",IF(Config!$C$19="Highest dimension",MAX(H248:K248),ROUND(H248*Config!$C$20+I248*Config!$C$21+J248*Config!$C$22+K248*Config!$C$23,1))))</f>
        <v>3</v>
      </c>
      <c r="M248" s="38" t="n">
        <f aca="false">IF(OR(L248="",G248=""),"",G248*L248)</f>
        <v>9</v>
      </c>
      <c r="N248" s="31" t="n">
        <f aca="false">IF(M248="","",MATCH(M248,Config!$E$5:$E$9,1))</f>
        <v>3</v>
      </c>
      <c r="O248" s="7" t="str">
        <f aca="false">IF(F248="N/A","N/A",IF(N248="","Not assessed",INDEX(Config!$B$5:$B$9,N248)))</f>
        <v>Medium</v>
      </c>
      <c r="P248" s="32" t="n">
        <v>0</v>
      </c>
      <c r="Q248" s="8"/>
      <c r="R248" s="33"/>
      <c r="S248" s="34" t="n">
        <f aca="false">IF(N248="","",IF(AND(R248="Y",P248&lt;&gt;0),MAX(1,MIN(5,N248+MAX(-Config!$C$27,MIN(Config!$C$27,P248)))),N248))</f>
        <v>3</v>
      </c>
      <c r="T248" s="35" t="str">
        <f aca="false">IF(F248="N/A","N/A",IF(S248="","Not assessed",INDEX(Config!$B$5:$B$9,S248)))</f>
        <v>Medium</v>
      </c>
      <c r="U248" s="7" t="str">
        <f aca="false">IF(P248=0,"None",IF(R248="Y","Applied","Pending HO approval"))</f>
        <v>None</v>
      </c>
      <c r="V248" s="8"/>
    </row>
    <row r="249" customFormat="false" ht="15" hidden="false" customHeight="false" outlineLevel="0" collapsed="false">
      <c r="A249" s="26" t="str">
        <f aca="false">Entities!$A$23</f>
        <v>MA</v>
      </c>
      <c r="B249" s="12" t="str">
        <f aca="false">INDEX(Entities!$B$5:$B$34,MATCH(A249,Entities!$A$5:$A$34,0))</f>
        <v>Arab Bank – Morocco</v>
      </c>
      <c r="C249" s="12" t="str">
        <f aca="false">INDEX(Entities!$D$5:$D$34,MATCH(A249,Entities!$A$5:$A$34,0))</f>
        <v>North Africa</v>
      </c>
      <c r="D249" s="12" t="s">
        <v>289</v>
      </c>
      <c r="E249" s="12" t="str">
        <f aca="false">INDEX('Risk Taxonomy'!$B$5:$B$24,MATCH(D249,'Risk Taxonomy'!$A$5:$A$24,0))</f>
        <v>Legal and litigation</v>
      </c>
      <c r="F249" s="7" t="str">
        <f aca="false">IF(D249="RC-04",IF(INDEX(Entities!$G$5:$G$34,MATCH(A249,Entities!$A$5:$A$34,0))="Y","Yes","N/A"),"Yes")</f>
        <v>Yes</v>
      </c>
      <c r="G249" s="24" t="n">
        <v>3</v>
      </c>
      <c r="H249" s="24" t="n">
        <v>2</v>
      </c>
      <c r="I249" s="24" t="n">
        <v>3</v>
      </c>
      <c r="J249" s="24" t="n">
        <v>3</v>
      </c>
      <c r="K249" s="24" t="n">
        <v>4</v>
      </c>
      <c r="L249" s="37" t="n">
        <f aca="false">IF(F249="N/A","",IF(COUNT(H249:K249)=0,"",IF(Config!$C$19="Highest dimension",MAX(H249:K249),ROUND(H249*Config!$C$20+I249*Config!$C$21+J249*Config!$C$22+K249*Config!$C$23,1))))</f>
        <v>4</v>
      </c>
      <c r="M249" s="38" t="n">
        <f aca="false">IF(OR(L249="",G249=""),"",G249*L249)</f>
        <v>12</v>
      </c>
      <c r="N249" s="31" t="n">
        <f aca="false">IF(M249="","",MATCH(M249,Config!$E$5:$E$9,1))</f>
        <v>3</v>
      </c>
      <c r="O249" s="7" t="str">
        <f aca="false">IF(F249="N/A","N/A",IF(N249="","Not assessed",INDEX(Config!$B$5:$B$9,N249)))</f>
        <v>Medium</v>
      </c>
      <c r="P249" s="32" t="n">
        <v>0</v>
      </c>
      <c r="Q249" s="8"/>
      <c r="R249" s="33"/>
      <c r="S249" s="34" t="n">
        <f aca="false">IF(N249="","",IF(AND(R249="Y",P249&lt;&gt;0),MAX(1,MIN(5,N249+MAX(-Config!$C$27,MIN(Config!$C$27,P249)))),N249))</f>
        <v>3</v>
      </c>
      <c r="T249" s="35" t="str">
        <f aca="false">IF(F249="N/A","N/A",IF(S249="","Not assessed",INDEX(Config!$B$5:$B$9,S249)))</f>
        <v>Medium</v>
      </c>
      <c r="U249" s="7" t="str">
        <f aca="false">IF(P249=0,"None",IF(R249="Y","Applied","Pending HO approval"))</f>
        <v>None</v>
      </c>
      <c r="V249" s="8"/>
    </row>
    <row r="250" customFormat="false" ht="15" hidden="false" customHeight="false" outlineLevel="0" collapsed="false">
      <c r="A250" s="26" t="str">
        <f aca="false">Entities!$A$23</f>
        <v>MA</v>
      </c>
      <c r="B250" s="12" t="str">
        <f aca="false">INDEX(Entities!$B$5:$B$34,MATCH(A250,Entities!$A$5:$A$34,0))</f>
        <v>Arab Bank – Morocco</v>
      </c>
      <c r="C250" s="12" t="str">
        <f aca="false">INDEX(Entities!$D$5:$D$34,MATCH(A250,Entities!$A$5:$A$34,0))</f>
        <v>North Africa</v>
      </c>
      <c r="D250" s="12" t="s">
        <v>292</v>
      </c>
      <c r="E250" s="12" t="str">
        <f aca="false">INDEX('Risk Taxonomy'!$B$5:$B$24,MATCH(D250,'Risk Taxonomy'!$A$5:$A$24,0))</f>
        <v>Reputational</v>
      </c>
      <c r="F250" s="7" t="str">
        <f aca="false">IF(D250="RC-04",IF(INDEX(Entities!$G$5:$G$34,MATCH(A250,Entities!$A$5:$A$34,0))="Y","Yes","N/A"),"Yes")</f>
        <v>Yes</v>
      </c>
      <c r="G250" s="24" t="n">
        <v>4</v>
      </c>
      <c r="H250" s="24" t="n">
        <v>3</v>
      </c>
      <c r="I250" s="24" t="n">
        <v>4</v>
      </c>
      <c r="J250" s="24" t="n">
        <v>3</v>
      </c>
      <c r="K250" s="24" t="n">
        <v>3</v>
      </c>
      <c r="L250" s="37" t="n">
        <f aca="false">IF(F250="N/A","",IF(COUNT(H250:K250)=0,"",IF(Config!$C$19="Highest dimension",MAX(H250:K250),ROUND(H250*Config!$C$20+I250*Config!$C$21+J250*Config!$C$22+K250*Config!$C$23,1))))</f>
        <v>4</v>
      </c>
      <c r="M250" s="38" t="n">
        <f aca="false">IF(OR(L250="",G250=""),"",G250*L250)</f>
        <v>16</v>
      </c>
      <c r="N250" s="31" t="n">
        <f aca="false">IF(M250="","",MATCH(M250,Config!$E$5:$E$9,1))</f>
        <v>4</v>
      </c>
      <c r="O250" s="7" t="str">
        <f aca="false">IF(F250="N/A","N/A",IF(N250="","Not assessed",INDEX(Config!$B$5:$B$9,N250)))</f>
        <v>Medium-High</v>
      </c>
      <c r="P250" s="32" t="n">
        <v>0</v>
      </c>
      <c r="Q250" s="8"/>
      <c r="R250" s="33"/>
      <c r="S250" s="34" t="n">
        <f aca="false">IF(N250="","",IF(AND(R250="Y",P250&lt;&gt;0),MAX(1,MIN(5,N250+MAX(-Config!$C$27,MIN(Config!$C$27,P250)))),N250))</f>
        <v>4</v>
      </c>
      <c r="T250" s="35" t="str">
        <f aca="false">IF(F250="N/A","N/A",IF(S250="","Not assessed",INDEX(Config!$B$5:$B$9,S250)))</f>
        <v>Medium-High</v>
      </c>
      <c r="U250" s="7" t="str">
        <f aca="false">IF(P250=0,"None",IF(R250="Y","Applied","Pending HO approval"))</f>
        <v>None</v>
      </c>
      <c r="V250" s="8"/>
    </row>
    <row r="251" customFormat="false" ht="15" hidden="false" customHeight="false" outlineLevel="0" collapsed="false">
      <c r="A251" s="26" t="str">
        <f aca="false">Entities!$A$23</f>
        <v>MA</v>
      </c>
      <c r="B251" s="12" t="str">
        <f aca="false">INDEX(Entities!$B$5:$B$34,MATCH(A251,Entities!$A$5:$A$34,0))</f>
        <v>Arab Bank – Morocco</v>
      </c>
      <c r="C251" s="12" t="str">
        <f aca="false">INDEX(Entities!$D$5:$D$34,MATCH(A251,Entities!$A$5:$A$34,0))</f>
        <v>North Africa</v>
      </c>
      <c r="D251" s="12" t="s">
        <v>295</v>
      </c>
      <c r="E251" s="12" t="str">
        <f aca="false">INDEX('Risk Taxonomy'!$B$5:$B$24,MATCH(D251,'Risk Taxonomy'!$A$5:$A$24,0))</f>
        <v>Strategic, business model and ESG</v>
      </c>
      <c r="F251" s="7" t="str">
        <f aca="false">IF(D251="RC-04",IF(INDEX(Entities!$G$5:$G$34,MATCH(A251,Entities!$A$5:$A$34,0))="Y","Yes","N/A"),"Yes")</f>
        <v>Yes</v>
      </c>
      <c r="G251" s="24" t="n">
        <v>3</v>
      </c>
      <c r="H251" s="24" t="n">
        <v>4</v>
      </c>
      <c r="I251" s="24" t="n">
        <v>2</v>
      </c>
      <c r="J251" s="24" t="n">
        <v>3</v>
      </c>
      <c r="K251" s="24" t="n">
        <v>4</v>
      </c>
      <c r="L251" s="37" t="n">
        <f aca="false">IF(F251="N/A","",IF(COUNT(H251:K251)=0,"",IF(Config!$C$19="Highest dimension",MAX(H251:K251),ROUND(H251*Config!$C$20+I251*Config!$C$21+J251*Config!$C$22+K251*Config!$C$23,1))))</f>
        <v>4</v>
      </c>
      <c r="M251" s="38" t="n">
        <f aca="false">IF(OR(L251="",G251=""),"",G251*L251)</f>
        <v>12</v>
      </c>
      <c r="N251" s="31" t="n">
        <f aca="false">IF(M251="","",MATCH(M251,Config!$E$5:$E$9,1))</f>
        <v>3</v>
      </c>
      <c r="O251" s="7" t="str">
        <f aca="false">IF(F251="N/A","N/A",IF(N251="","Not assessed",INDEX(Config!$B$5:$B$9,N251)))</f>
        <v>Medium</v>
      </c>
      <c r="P251" s="32" t="n">
        <v>0</v>
      </c>
      <c r="Q251" s="8"/>
      <c r="R251" s="33"/>
      <c r="S251" s="34" t="n">
        <f aca="false">IF(N251="","",IF(AND(R251="Y",P251&lt;&gt;0),MAX(1,MIN(5,N251+MAX(-Config!$C$27,MIN(Config!$C$27,P251)))),N251))</f>
        <v>3</v>
      </c>
      <c r="T251" s="35" t="str">
        <f aca="false">IF(F251="N/A","N/A",IF(S251="","Not assessed",INDEX(Config!$B$5:$B$9,S251)))</f>
        <v>Medium</v>
      </c>
      <c r="U251" s="7" t="str">
        <f aca="false">IF(P251=0,"None",IF(R251="Y","Applied","Pending HO approval"))</f>
        <v>None</v>
      </c>
      <c r="V251" s="8"/>
    </row>
    <row r="252" customFormat="false" ht="15" hidden="false" customHeight="false" outlineLevel="0" collapsed="false">
      <c r="A252" s="26" t="str">
        <f aca="false">Entities!$A$24</f>
        <v>TN</v>
      </c>
      <c r="B252" s="12" t="str">
        <f aca="false">INDEX(Entities!$B$5:$B$34,MATCH(A252,Entities!$A$5:$A$34,0))</f>
        <v>Arab Tunisian Bank</v>
      </c>
      <c r="C252" s="12" t="str">
        <f aca="false">INDEX(Entities!$D$5:$D$34,MATCH(A252,Entities!$A$5:$A$34,0))</f>
        <v>North Africa</v>
      </c>
      <c r="D252" s="12" t="s">
        <v>257</v>
      </c>
      <c r="E252" s="12" t="str">
        <f aca="false">INDEX('Risk Taxonomy'!$B$5:$B$24,MATCH(D252,'Risk Taxonomy'!$A$5:$A$24,0))</f>
        <v>Regulatory compliance</v>
      </c>
      <c r="F252" s="7" t="str">
        <f aca="false">IF(D252="RC-04",IF(INDEX(Entities!$G$5:$G$34,MATCH(A252,Entities!$A$5:$A$34,0))="Y","Yes","N/A"),"Yes")</f>
        <v>Yes</v>
      </c>
      <c r="G252" s="24" t="n">
        <v>4</v>
      </c>
      <c r="H252" s="24" t="n">
        <v>2</v>
      </c>
      <c r="I252" s="24" t="n">
        <v>2</v>
      </c>
      <c r="J252" s="24" t="n">
        <v>2</v>
      </c>
      <c r="K252" s="24" t="n">
        <v>4</v>
      </c>
      <c r="L252" s="37" t="n">
        <f aca="false">IF(F252="N/A","",IF(COUNT(H252:K252)=0,"",IF(Config!$C$19="Highest dimension",MAX(H252:K252),ROUND(H252*Config!$C$20+I252*Config!$C$21+J252*Config!$C$22+K252*Config!$C$23,1))))</f>
        <v>4</v>
      </c>
      <c r="M252" s="38" t="n">
        <f aca="false">IF(OR(L252="",G252=""),"",G252*L252)</f>
        <v>16</v>
      </c>
      <c r="N252" s="31" t="n">
        <f aca="false">IF(M252="","",MATCH(M252,Config!$E$5:$E$9,1))</f>
        <v>4</v>
      </c>
      <c r="O252" s="7" t="str">
        <f aca="false">IF(F252="N/A","N/A",IF(N252="","Not assessed",INDEX(Config!$B$5:$B$9,N252)))</f>
        <v>Medium-High</v>
      </c>
      <c r="P252" s="32" t="n">
        <v>0</v>
      </c>
      <c r="Q252" s="8"/>
      <c r="R252" s="33"/>
      <c r="S252" s="34" t="n">
        <f aca="false">IF(N252="","",IF(AND(R252="Y",P252&lt;&gt;0),MAX(1,MIN(5,N252+MAX(-Config!$C$27,MIN(Config!$C$27,P252)))),N252))</f>
        <v>4</v>
      </c>
      <c r="T252" s="35" t="str">
        <f aca="false">IF(F252="N/A","N/A",IF(S252="","Not assessed",INDEX(Config!$B$5:$B$9,S252)))</f>
        <v>Medium-High</v>
      </c>
      <c r="U252" s="7" t="str">
        <f aca="false">IF(P252=0,"None",IF(R252="Y","Applied","Pending HO approval"))</f>
        <v>None</v>
      </c>
      <c r="V252" s="8"/>
    </row>
    <row r="253" customFormat="false" ht="15" hidden="false" customHeight="false" outlineLevel="0" collapsed="false">
      <c r="A253" s="26" t="str">
        <f aca="false">Entities!$A$24</f>
        <v>TN</v>
      </c>
      <c r="B253" s="12" t="str">
        <f aca="false">INDEX(Entities!$B$5:$B$34,MATCH(A253,Entities!$A$5:$A$34,0))</f>
        <v>Arab Tunisian Bank</v>
      </c>
      <c r="C253" s="12" t="str">
        <f aca="false">INDEX(Entities!$D$5:$D$34,MATCH(A253,Entities!$A$5:$A$34,0))</f>
        <v>North Africa</v>
      </c>
      <c r="D253" s="12" t="s">
        <v>261</v>
      </c>
      <c r="E253" s="12" t="str">
        <f aca="false">INDEX('Risk Taxonomy'!$B$5:$B$24,MATCH(D253,'Risk Taxonomy'!$A$5:$A$24,0))</f>
        <v>Conduct and consumer protection</v>
      </c>
      <c r="F253" s="7" t="str">
        <f aca="false">IF(D253="RC-04",IF(INDEX(Entities!$G$5:$G$34,MATCH(A253,Entities!$A$5:$A$34,0))="Y","Yes","N/A"),"Yes")</f>
        <v>Yes</v>
      </c>
      <c r="G253" s="24" t="n">
        <v>2</v>
      </c>
      <c r="H253" s="24" t="n">
        <v>2</v>
      </c>
      <c r="I253" s="24" t="n">
        <v>5</v>
      </c>
      <c r="J253" s="24" t="n">
        <v>3</v>
      </c>
      <c r="K253" s="24" t="n">
        <v>3</v>
      </c>
      <c r="L253" s="37" t="n">
        <f aca="false">IF(F253="N/A","",IF(COUNT(H253:K253)=0,"",IF(Config!$C$19="Highest dimension",MAX(H253:K253),ROUND(H253*Config!$C$20+I253*Config!$C$21+J253*Config!$C$22+K253*Config!$C$23,1))))</f>
        <v>5</v>
      </c>
      <c r="M253" s="38" t="n">
        <f aca="false">IF(OR(L253="",G253=""),"",G253*L253)</f>
        <v>10</v>
      </c>
      <c r="N253" s="31" t="n">
        <f aca="false">IF(M253="","",MATCH(M253,Config!$E$5:$E$9,1))</f>
        <v>3</v>
      </c>
      <c r="O253" s="7" t="str">
        <f aca="false">IF(F253="N/A","N/A",IF(N253="","Not assessed",INDEX(Config!$B$5:$B$9,N253)))</f>
        <v>Medium</v>
      </c>
      <c r="P253" s="32" t="n">
        <v>0</v>
      </c>
      <c r="Q253" s="8"/>
      <c r="R253" s="33"/>
      <c r="S253" s="34" t="n">
        <f aca="false">IF(N253="","",IF(AND(R253="Y",P253&lt;&gt;0),MAX(1,MIN(5,N253+MAX(-Config!$C$27,MIN(Config!$C$27,P253)))),N253))</f>
        <v>3</v>
      </c>
      <c r="T253" s="35" t="str">
        <f aca="false">IF(F253="N/A","N/A",IF(S253="","Not assessed",INDEX(Config!$B$5:$B$9,S253)))</f>
        <v>Medium</v>
      </c>
      <c r="U253" s="7" t="str">
        <f aca="false">IF(P253=0,"None",IF(R253="Y","Applied","Pending HO approval"))</f>
        <v>None</v>
      </c>
      <c r="V253" s="8"/>
    </row>
    <row r="254" customFormat="false" ht="15" hidden="false" customHeight="false" outlineLevel="0" collapsed="false">
      <c r="A254" s="26" t="str">
        <f aca="false">Entities!$A$24</f>
        <v>TN</v>
      </c>
      <c r="B254" s="12" t="str">
        <f aca="false">INDEX(Entities!$B$5:$B$34,MATCH(A254,Entities!$A$5:$A$34,0))</f>
        <v>Arab Tunisian Bank</v>
      </c>
      <c r="C254" s="12" t="str">
        <f aca="false">INDEX(Entities!$D$5:$D$34,MATCH(A254,Entities!$A$5:$A$34,0))</f>
        <v>North Africa</v>
      </c>
      <c r="D254" s="12" t="s">
        <v>263</v>
      </c>
      <c r="E254" s="12" t="str">
        <f aca="false">INDEX('Risk Taxonomy'!$B$5:$B$24,MATCH(D254,'Risk Taxonomy'!$A$5:$A$24,0))</f>
        <v>Data protection and privacy</v>
      </c>
      <c r="F254" s="7" t="str">
        <f aca="false">IF(D254="RC-04",IF(INDEX(Entities!$G$5:$G$34,MATCH(A254,Entities!$A$5:$A$34,0))="Y","Yes","N/A"),"Yes")</f>
        <v>Yes</v>
      </c>
      <c r="G254" s="24" t="n">
        <v>2</v>
      </c>
      <c r="H254" s="24" t="n">
        <v>2</v>
      </c>
      <c r="I254" s="24" t="n">
        <v>4</v>
      </c>
      <c r="J254" s="24" t="n">
        <v>3</v>
      </c>
      <c r="K254" s="24" t="n">
        <v>3</v>
      </c>
      <c r="L254" s="37" t="n">
        <f aca="false">IF(F254="N/A","",IF(COUNT(H254:K254)=0,"",IF(Config!$C$19="Highest dimension",MAX(H254:K254),ROUND(H254*Config!$C$20+I254*Config!$C$21+J254*Config!$C$22+K254*Config!$C$23,1))))</f>
        <v>4</v>
      </c>
      <c r="M254" s="38" t="n">
        <f aca="false">IF(OR(L254="",G254=""),"",G254*L254)</f>
        <v>8</v>
      </c>
      <c r="N254" s="31" t="n">
        <f aca="false">IF(M254="","",MATCH(M254,Config!$E$5:$E$9,1))</f>
        <v>2</v>
      </c>
      <c r="O254" s="7" t="str">
        <f aca="false">IF(F254="N/A","N/A",IF(N254="","Not assessed",INDEX(Config!$B$5:$B$9,N254)))</f>
        <v>Medium-Low</v>
      </c>
      <c r="P254" s="32" t="n">
        <v>0</v>
      </c>
      <c r="Q254" s="8"/>
      <c r="R254" s="33"/>
      <c r="S254" s="34" t="n">
        <f aca="false">IF(N254="","",IF(AND(R254="Y",P254&lt;&gt;0),MAX(1,MIN(5,N254+MAX(-Config!$C$27,MIN(Config!$C$27,P254)))),N254))</f>
        <v>2</v>
      </c>
      <c r="T254" s="35" t="str">
        <f aca="false">IF(F254="N/A","N/A",IF(S254="","Not assessed",INDEX(Config!$B$5:$B$9,S254)))</f>
        <v>Medium-Low</v>
      </c>
      <c r="U254" s="7" t="str">
        <f aca="false">IF(P254=0,"None",IF(R254="Y","Applied","Pending HO approval"))</f>
        <v>None</v>
      </c>
      <c r="V254" s="8"/>
    </row>
    <row r="255" customFormat="false" ht="15" hidden="false" customHeight="false" outlineLevel="0" collapsed="false">
      <c r="A255" s="26" t="str">
        <f aca="false">Entities!$A$24</f>
        <v>TN</v>
      </c>
      <c r="B255" s="12" t="str">
        <f aca="false">INDEX(Entities!$B$5:$B$34,MATCH(A255,Entities!$A$5:$A$34,0))</f>
        <v>Arab Tunisian Bank</v>
      </c>
      <c r="C255" s="12" t="str">
        <f aca="false">INDEX(Entities!$D$5:$D$34,MATCH(A255,Entities!$A$5:$A$34,0))</f>
        <v>North Africa</v>
      </c>
      <c r="D255" s="12" t="s">
        <v>266</v>
      </c>
      <c r="E255" s="12" t="str">
        <f aca="false">INDEX('Risk Taxonomy'!$B$5:$B$24,MATCH(D255,'Risk Taxonomy'!$A$5:$A$24,0))</f>
        <v>Shariah non-compliance</v>
      </c>
      <c r="F255" s="7" t="str">
        <f aca="false">IF(D255="RC-04",IF(INDEX(Entities!$G$5:$G$34,MATCH(A255,Entities!$A$5:$A$34,0))="Y","Yes","N/A"),"Yes")</f>
        <v>N/A</v>
      </c>
      <c r="G255" s="24"/>
      <c r="H255" s="24"/>
      <c r="I255" s="24"/>
      <c r="J255" s="24"/>
      <c r="K255" s="24"/>
      <c r="L255" s="37" t="str">
        <f aca="false">IF(F255="N/A","",IF(COUNT(H255:K255)=0,"",IF(Config!$C$19="Highest dimension",MAX(H255:K255),ROUND(H255*Config!$C$20+I255*Config!$C$21+J255*Config!$C$22+K255*Config!$C$23,1))))</f>
        <v/>
      </c>
      <c r="M255" s="38" t="str">
        <f aca="false">IF(OR(L255="",G255=""),"",G255*L255)</f>
        <v/>
      </c>
      <c r="N255" s="31" t="str">
        <f aca="false">IF(M255="","",MATCH(M255,Config!$E$5:$E$9,1))</f>
        <v/>
      </c>
      <c r="O255" s="7" t="str">
        <f aca="false">IF(F255="N/A","N/A",IF(N255="","Not assessed",INDEX(Config!$B$5:$B$9,N255)))</f>
        <v>N/A</v>
      </c>
      <c r="P255" s="32" t="n">
        <v>0</v>
      </c>
      <c r="Q255" s="8"/>
      <c r="R255" s="33"/>
      <c r="S255" s="34" t="str">
        <f aca="false">IF(N255="","",IF(AND(R255="Y",P255&lt;&gt;0),MAX(1,MIN(5,N255+MAX(-Config!$C$27,MIN(Config!$C$27,P255)))),N255))</f>
        <v/>
      </c>
      <c r="T255" s="35" t="str">
        <f aca="false">IF(F255="N/A","N/A",IF(S255="","Not assessed",INDEX(Config!$B$5:$B$9,S255)))</f>
        <v>N/A</v>
      </c>
      <c r="U255" s="7" t="str">
        <f aca="false">IF(P255=0,"None",IF(R255="Y","Applied","Pending HO approval"))</f>
        <v>None</v>
      </c>
      <c r="V255" s="8"/>
    </row>
    <row r="256" customFormat="false" ht="15" hidden="false" customHeight="false" outlineLevel="0" collapsed="false">
      <c r="A256" s="26" t="str">
        <f aca="false">Entities!$A$24</f>
        <v>TN</v>
      </c>
      <c r="B256" s="12" t="str">
        <f aca="false">INDEX(Entities!$B$5:$B$34,MATCH(A256,Entities!$A$5:$A$34,0))</f>
        <v>Arab Tunisian Bank</v>
      </c>
      <c r="C256" s="12" t="str">
        <f aca="false">INDEX(Entities!$D$5:$D$34,MATCH(A256,Entities!$A$5:$A$34,0))</f>
        <v>North Africa</v>
      </c>
      <c r="D256" s="12" t="s">
        <v>270</v>
      </c>
      <c r="E256" s="12" t="str">
        <f aca="false">INDEX('Risk Taxonomy'!$B$5:$B$24,MATCH(D256,'Risk Taxonomy'!$A$5:$A$24,0))</f>
        <v>Credit risk</v>
      </c>
      <c r="F256" s="7" t="str">
        <f aca="false">IF(D256="RC-04",IF(INDEX(Entities!$G$5:$G$34,MATCH(A256,Entities!$A$5:$A$34,0))="Y","Yes","N/A"),"Yes")</f>
        <v>Yes</v>
      </c>
      <c r="G256" s="24" t="n">
        <v>4</v>
      </c>
      <c r="H256" s="24" t="n">
        <v>3</v>
      </c>
      <c r="I256" s="24" t="n">
        <v>4</v>
      </c>
      <c r="J256" s="24" t="n">
        <v>2</v>
      </c>
      <c r="K256" s="24" t="n">
        <v>3</v>
      </c>
      <c r="L256" s="37" t="n">
        <f aca="false">IF(F256="N/A","",IF(COUNT(H256:K256)=0,"",IF(Config!$C$19="Highest dimension",MAX(H256:K256),ROUND(H256*Config!$C$20+I256*Config!$C$21+J256*Config!$C$22+K256*Config!$C$23,1))))</f>
        <v>4</v>
      </c>
      <c r="M256" s="38" t="n">
        <f aca="false">IF(OR(L256="",G256=""),"",G256*L256)</f>
        <v>16</v>
      </c>
      <c r="N256" s="31" t="n">
        <f aca="false">IF(M256="","",MATCH(M256,Config!$E$5:$E$9,1))</f>
        <v>4</v>
      </c>
      <c r="O256" s="7" t="str">
        <f aca="false">IF(F256="N/A","N/A",IF(N256="","Not assessed",INDEX(Config!$B$5:$B$9,N256)))</f>
        <v>Medium-High</v>
      </c>
      <c r="P256" s="32" t="n">
        <v>0</v>
      </c>
      <c r="Q256" s="8"/>
      <c r="R256" s="33"/>
      <c r="S256" s="34" t="n">
        <f aca="false">IF(N256="","",IF(AND(R256="Y",P256&lt;&gt;0),MAX(1,MIN(5,N256+MAX(-Config!$C$27,MIN(Config!$C$27,P256)))),N256))</f>
        <v>4</v>
      </c>
      <c r="T256" s="35" t="str">
        <f aca="false">IF(F256="N/A","N/A",IF(S256="","Not assessed",INDEX(Config!$B$5:$B$9,S256)))</f>
        <v>Medium-High</v>
      </c>
      <c r="U256" s="7" t="str">
        <f aca="false">IF(P256=0,"None",IF(R256="Y","Applied","Pending HO approval"))</f>
        <v>None</v>
      </c>
      <c r="V256" s="8"/>
    </row>
    <row r="257" customFormat="false" ht="15" hidden="false" customHeight="false" outlineLevel="0" collapsed="false">
      <c r="A257" s="26" t="str">
        <f aca="false">Entities!$A$24</f>
        <v>TN</v>
      </c>
      <c r="B257" s="12" t="str">
        <f aca="false">INDEX(Entities!$B$5:$B$34,MATCH(A257,Entities!$A$5:$A$34,0))</f>
        <v>Arab Tunisian Bank</v>
      </c>
      <c r="C257" s="12" t="str">
        <f aca="false">INDEX(Entities!$D$5:$D$34,MATCH(A257,Entities!$A$5:$A$34,0))</f>
        <v>North Africa</v>
      </c>
      <c r="D257" s="12" t="s">
        <v>275</v>
      </c>
      <c r="E257" s="12" t="str">
        <f aca="false">INDEX('Risk Taxonomy'!$B$5:$B$24,MATCH(D257,'Risk Taxonomy'!$A$5:$A$24,0))</f>
        <v>Market risk</v>
      </c>
      <c r="F257" s="7" t="str">
        <f aca="false">IF(D257="RC-04",IF(INDEX(Entities!$G$5:$G$34,MATCH(A257,Entities!$A$5:$A$34,0))="Y","Yes","N/A"),"Yes")</f>
        <v>Yes</v>
      </c>
      <c r="G257" s="24" t="n">
        <v>3</v>
      </c>
      <c r="H257" s="24" t="n">
        <v>2</v>
      </c>
      <c r="I257" s="24" t="n">
        <v>3</v>
      </c>
      <c r="J257" s="24" t="n">
        <v>4</v>
      </c>
      <c r="K257" s="24" t="n">
        <v>2</v>
      </c>
      <c r="L257" s="37" t="n">
        <f aca="false">IF(F257="N/A","",IF(COUNT(H257:K257)=0,"",IF(Config!$C$19="Highest dimension",MAX(H257:K257),ROUND(H257*Config!$C$20+I257*Config!$C$21+J257*Config!$C$22+K257*Config!$C$23,1))))</f>
        <v>4</v>
      </c>
      <c r="M257" s="38" t="n">
        <f aca="false">IF(OR(L257="",G257=""),"",G257*L257)</f>
        <v>12</v>
      </c>
      <c r="N257" s="31" t="n">
        <f aca="false">IF(M257="","",MATCH(M257,Config!$E$5:$E$9,1))</f>
        <v>3</v>
      </c>
      <c r="O257" s="7" t="str">
        <f aca="false">IF(F257="N/A","N/A",IF(N257="","Not assessed",INDEX(Config!$B$5:$B$9,N257)))</f>
        <v>Medium</v>
      </c>
      <c r="P257" s="32" t="n">
        <v>0</v>
      </c>
      <c r="Q257" s="8"/>
      <c r="R257" s="33"/>
      <c r="S257" s="34" t="n">
        <f aca="false">IF(N257="","",IF(AND(R257="Y",P257&lt;&gt;0),MAX(1,MIN(5,N257+MAX(-Config!$C$27,MIN(Config!$C$27,P257)))),N257))</f>
        <v>3</v>
      </c>
      <c r="T257" s="35" t="str">
        <f aca="false">IF(F257="N/A","N/A",IF(S257="","Not assessed",INDEX(Config!$B$5:$B$9,S257)))</f>
        <v>Medium</v>
      </c>
      <c r="U257" s="7" t="str">
        <f aca="false">IF(P257=0,"None",IF(R257="Y","Applied","Pending HO approval"))</f>
        <v>None</v>
      </c>
      <c r="V257" s="8"/>
    </row>
    <row r="258" customFormat="false" ht="15" hidden="false" customHeight="false" outlineLevel="0" collapsed="false">
      <c r="A258" s="26" t="str">
        <f aca="false">Entities!$A$24</f>
        <v>TN</v>
      </c>
      <c r="B258" s="12" t="str">
        <f aca="false">INDEX(Entities!$B$5:$B$34,MATCH(A258,Entities!$A$5:$A$34,0))</f>
        <v>Arab Tunisian Bank</v>
      </c>
      <c r="C258" s="12" t="str">
        <f aca="false">INDEX(Entities!$D$5:$D$34,MATCH(A258,Entities!$A$5:$A$34,0))</f>
        <v>North Africa</v>
      </c>
      <c r="D258" s="12" t="s">
        <v>277</v>
      </c>
      <c r="E258" s="12" t="str">
        <f aca="false">INDEX('Risk Taxonomy'!$B$5:$B$24,MATCH(D258,'Risk Taxonomy'!$A$5:$A$24,0))</f>
        <v>Liquidity and funding risk</v>
      </c>
      <c r="F258" s="7" t="str">
        <f aca="false">IF(D258="RC-04",IF(INDEX(Entities!$G$5:$G$34,MATCH(A258,Entities!$A$5:$A$34,0))="Y","Yes","N/A"),"Yes")</f>
        <v>Yes</v>
      </c>
      <c r="G258" s="24" t="n">
        <v>2</v>
      </c>
      <c r="H258" s="24" t="n">
        <v>3</v>
      </c>
      <c r="I258" s="24" t="n">
        <v>2</v>
      </c>
      <c r="J258" s="24" t="n">
        <v>3</v>
      </c>
      <c r="K258" s="24" t="n">
        <v>3</v>
      </c>
      <c r="L258" s="37" t="n">
        <f aca="false">IF(F258="N/A","",IF(COUNT(H258:K258)=0,"",IF(Config!$C$19="Highest dimension",MAX(H258:K258),ROUND(H258*Config!$C$20+I258*Config!$C$21+J258*Config!$C$22+K258*Config!$C$23,1))))</f>
        <v>3</v>
      </c>
      <c r="M258" s="38" t="n">
        <f aca="false">IF(OR(L258="",G258=""),"",G258*L258)</f>
        <v>6</v>
      </c>
      <c r="N258" s="31" t="n">
        <f aca="false">IF(M258="","",MATCH(M258,Config!$E$5:$E$9,1))</f>
        <v>2</v>
      </c>
      <c r="O258" s="7" t="str">
        <f aca="false">IF(F258="N/A","N/A",IF(N258="","Not assessed",INDEX(Config!$B$5:$B$9,N258)))</f>
        <v>Medium-Low</v>
      </c>
      <c r="P258" s="32" t="n">
        <v>0</v>
      </c>
      <c r="Q258" s="8"/>
      <c r="R258" s="33"/>
      <c r="S258" s="34" t="n">
        <f aca="false">IF(N258="","",IF(AND(R258="Y",P258&lt;&gt;0),MAX(1,MIN(5,N258+MAX(-Config!$C$27,MIN(Config!$C$27,P258)))),N258))</f>
        <v>2</v>
      </c>
      <c r="T258" s="35" t="str">
        <f aca="false">IF(F258="N/A","N/A",IF(S258="","Not assessed",INDEX(Config!$B$5:$B$9,S258)))</f>
        <v>Medium-Low</v>
      </c>
      <c r="U258" s="7" t="str">
        <f aca="false">IF(P258=0,"None",IF(R258="Y","Applied","Pending HO approval"))</f>
        <v>None</v>
      </c>
      <c r="V258" s="8"/>
    </row>
    <row r="259" customFormat="false" ht="15" hidden="false" customHeight="false" outlineLevel="0" collapsed="false">
      <c r="A259" s="26" t="str">
        <f aca="false">Entities!$A$24</f>
        <v>TN</v>
      </c>
      <c r="B259" s="12" t="str">
        <f aca="false">INDEX(Entities!$B$5:$B$34,MATCH(A259,Entities!$A$5:$A$34,0))</f>
        <v>Arab Tunisian Bank</v>
      </c>
      <c r="C259" s="12" t="str">
        <f aca="false">INDEX(Entities!$D$5:$D$34,MATCH(A259,Entities!$A$5:$A$34,0))</f>
        <v>North Africa</v>
      </c>
      <c r="D259" s="12" t="s">
        <v>280</v>
      </c>
      <c r="E259" s="12" t="str">
        <f aca="false">INDEX('Risk Taxonomy'!$B$5:$B$24,MATCH(D259,'Risk Taxonomy'!$A$5:$A$24,0))</f>
        <v>Operational risk</v>
      </c>
      <c r="F259" s="7" t="str">
        <f aca="false">IF(D259="RC-04",IF(INDEX(Entities!$G$5:$G$34,MATCH(A259,Entities!$A$5:$A$34,0))="Y","Yes","N/A"),"Yes")</f>
        <v>Yes</v>
      </c>
      <c r="G259" s="24" t="n">
        <v>4</v>
      </c>
      <c r="H259" s="24" t="n">
        <v>3</v>
      </c>
      <c r="I259" s="24" t="n">
        <v>3</v>
      </c>
      <c r="J259" s="24" t="n">
        <v>3</v>
      </c>
      <c r="K259" s="24" t="n">
        <v>4</v>
      </c>
      <c r="L259" s="37" t="n">
        <f aca="false">IF(F259="N/A","",IF(COUNT(H259:K259)=0,"",IF(Config!$C$19="Highest dimension",MAX(H259:K259),ROUND(H259*Config!$C$20+I259*Config!$C$21+J259*Config!$C$22+K259*Config!$C$23,1))))</f>
        <v>4</v>
      </c>
      <c r="M259" s="38" t="n">
        <f aca="false">IF(OR(L259="",G259=""),"",G259*L259)</f>
        <v>16</v>
      </c>
      <c r="N259" s="31" t="n">
        <f aca="false">IF(M259="","",MATCH(M259,Config!$E$5:$E$9,1))</f>
        <v>4</v>
      </c>
      <c r="O259" s="7" t="str">
        <f aca="false">IF(F259="N/A","N/A",IF(N259="","Not assessed",INDEX(Config!$B$5:$B$9,N259)))</f>
        <v>Medium-High</v>
      </c>
      <c r="P259" s="32" t="n">
        <v>0</v>
      </c>
      <c r="Q259" s="8"/>
      <c r="R259" s="33"/>
      <c r="S259" s="34" t="n">
        <f aca="false">IF(N259="","",IF(AND(R259="Y",P259&lt;&gt;0),MAX(1,MIN(5,N259+MAX(-Config!$C$27,MIN(Config!$C$27,P259)))),N259))</f>
        <v>4</v>
      </c>
      <c r="T259" s="35" t="str">
        <f aca="false">IF(F259="N/A","N/A",IF(S259="","Not assessed",INDEX(Config!$B$5:$B$9,S259)))</f>
        <v>Medium-High</v>
      </c>
      <c r="U259" s="7" t="str">
        <f aca="false">IF(P259=0,"None",IF(R259="Y","Applied","Pending HO approval"))</f>
        <v>None</v>
      </c>
      <c r="V259" s="8"/>
    </row>
    <row r="260" customFormat="false" ht="15" hidden="false" customHeight="false" outlineLevel="0" collapsed="false">
      <c r="A260" s="26" t="str">
        <f aca="false">Entities!$A$24</f>
        <v>TN</v>
      </c>
      <c r="B260" s="12" t="str">
        <f aca="false">INDEX(Entities!$B$5:$B$34,MATCH(A260,Entities!$A$5:$A$34,0))</f>
        <v>Arab Tunisian Bank</v>
      </c>
      <c r="C260" s="12" t="str">
        <f aca="false">INDEX(Entities!$D$5:$D$34,MATCH(A260,Entities!$A$5:$A$34,0))</f>
        <v>North Africa</v>
      </c>
      <c r="D260" s="12" t="s">
        <v>283</v>
      </c>
      <c r="E260" s="12" t="str">
        <f aca="false">INDEX('Risk Taxonomy'!$B$5:$B$24,MATCH(D260,'Risk Taxonomy'!$A$5:$A$24,0))</f>
        <v>Cyber, information security and technology</v>
      </c>
      <c r="F260" s="7" t="str">
        <f aca="false">IF(D260="RC-04",IF(INDEX(Entities!$G$5:$G$34,MATCH(A260,Entities!$A$5:$A$34,0))="Y","Yes","N/A"),"Yes")</f>
        <v>Yes</v>
      </c>
      <c r="G260" s="24" t="n">
        <v>3</v>
      </c>
      <c r="H260" s="24" t="n">
        <v>3</v>
      </c>
      <c r="I260" s="24" t="n">
        <v>2</v>
      </c>
      <c r="J260" s="24" t="n">
        <v>2</v>
      </c>
      <c r="K260" s="24" t="n">
        <v>2</v>
      </c>
      <c r="L260" s="37" t="n">
        <f aca="false">IF(F260="N/A","",IF(COUNT(H260:K260)=0,"",IF(Config!$C$19="Highest dimension",MAX(H260:K260),ROUND(H260*Config!$C$20+I260*Config!$C$21+J260*Config!$C$22+K260*Config!$C$23,1))))</f>
        <v>3</v>
      </c>
      <c r="M260" s="38" t="n">
        <f aca="false">IF(OR(L260="",G260=""),"",G260*L260)</f>
        <v>9</v>
      </c>
      <c r="N260" s="31" t="n">
        <f aca="false">IF(M260="","",MATCH(M260,Config!$E$5:$E$9,1))</f>
        <v>3</v>
      </c>
      <c r="O260" s="7" t="str">
        <f aca="false">IF(F260="N/A","N/A",IF(N260="","Not assessed",INDEX(Config!$B$5:$B$9,N260)))</f>
        <v>Medium</v>
      </c>
      <c r="P260" s="32" t="n">
        <v>0</v>
      </c>
      <c r="Q260" s="8"/>
      <c r="R260" s="33"/>
      <c r="S260" s="34" t="n">
        <f aca="false">IF(N260="","",IF(AND(R260="Y",P260&lt;&gt;0),MAX(1,MIN(5,N260+MAX(-Config!$C$27,MIN(Config!$C$27,P260)))),N260))</f>
        <v>3</v>
      </c>
      <c r="T260" s="35" t="str">
        <f aca="false">IF(F260="N/A","N/A",IF(S260="","Not assessed",INDEX(Config!$B$5:$B$9,S260)))</f>
        <v>Medium</v>
      </c>
      <c r="U260" s="7" t="str">
        <f aca="false">IF(P260=0,"None",IF(R260="Y","Applied","Pending HO approval"))</f>
        <v>None</v>
      </c>
      <c r="V260" s="8"/>
    </row>
    <row r="261" customFormat="false" ht="15" hidden="false" customHeight="false" outlineLevel="0" collapsed="false">
      <c r="A261" s="26" t="str">
        <f aca="false">Entities!$A$24</f>
        <v>TN</v>
      </c>
      <c r="B261" s="12" t="str">
        <f aca="false">INDEX(Entities!$B$5:$B$34,MATCH(A261,Entities!$A$5:$A$34,0))</f>
        <v>Arab Tunisian Bank</v>
      </c>
      <c r="C261" s="12" t="str">
        <f aca="false">INDEX(Entities!$D$5:$D$34,MATCH(A261,Entities!$A$5:$A$34,0))</f>
        <v>North Africa</v>
      </c>
      <c r="D261" s="12" t="s">
        <v>286</v>
      </c>
      <c r="E261" s="12" t="str">
        <f aca="false">INDEX('Risk Taxonomy'!$B$5:$B$24,MATCH(D261,'Risk Taxonomy'!$A$5:$A$24,0))</f>
        <v>Third-party and outsourcing</v>
      </c>
      <c r="F261" s="7" t="str">
        <f aca="false">IF(D261="RC-04",IF(INDEX(Entities!$G$5:$G$34,MATCH(A261,Entities!$A$5:$A$34,0))="Y","Yes","N/A"),"Yes")</f>
        <v>Yes</v>
      </c>
      <c r="G261" s="24" t="n">
        <v>3</v>
      </c>
      <c r="H261" s="24" t="n">
        <v>3</v>
      </c>
      <c r="I261" s="24" t="n">
        <v>3</v>
      </c>
      <c r="J261" s="24" t="n">
        <v>2</v>
      </c>
      <c r="K261" s="24" t="n">
        <v>3</v>
      </c>
      <c r="L261" s="37" t="n">
        <f aca="false">IF(F261="N/A","",IF(COUNT(H261:K261)=0,"",IF(Config!$C$19="Highest dimension",MAX(H261:K261),ROUND(H261*Config!$C$20+I261*Config!$C$21+J261*Config!$C$22+K261*Config!$C$23,1))))</f>
        <v>3</v>
      </c>
      <c r="M261" s="38" t="n">
        <f aca="false">IF(OR(L261="",G261=""),"",G261*L261)</f>
        <v>9</v>
      </c>
      <c r="N261" s="31" t="n">
        <f aca="false">IF(M261="","",MATCH(M261,Config!$E$5:$E$9,1))</f>
        <v>3</v>
      </c>
      <c r="O261" s="7" t="str">
        <f aca="false">IF(F261="N/A","N/A",IF(N261="","Not assessed",INDEX(Config!$B$5:$B$9,N261)))</f>
        <v>Medium</v>
      </c>
      <c r="P261" s="32" t="n">
        <v>0</v>
      </c>
      <c r="Q261" s="8"/>
      <c r="R261" s="33"/>
      <c r="S261" s="34" t="n">
        <f aca="false">IF(N261="","",IF(AND(R261="Y",P261&lt;&gt;0),MAX(1,MIN(5,N261+MAX(-Config!$C$27,MIN(Config!$C$27,P261)))),N261))</f>
        <v>3</v>
      </c>
      <c r="T261" s="35" t="str">
        <f aca="false">IF(F261="N/A","N/A",IF(S261="","Not assessed",INDEX(Config!$B$5:$B$9,S261)))</f>
        <v>Medium</v>
      </c>
      <c r="U261" s="7" t="str">
        <f aca="false">IF(P261=0,"None",IF(R261="Y","Applied","Pending HO approval"))</f>
        <v>None</v>
      </c>
      <c r="V261" s="8"/>
    </row>
    <row r="262" customFormat="false" ht="15" hidden="false" customHeight="false" outlineLevel="0" collapsed="false">
      <c r="A262" s="26" t="str">
        <f aca="false">Entities!$A$24</f>
        <v>TN</v>
      </c>
      <c r="B262" s="12" t="str">
        <f aca="false">INDEX(Entities!$B$5:$B$34,MATCH(A262,Entities!$A$5:$A$34,0))</f>
        <v>Arab Tunisian Bank</v>
      </c>
      <c r="C262" s="12" t="str">
        <f aca="false">INDEX(Entities!$D$5:$D$34,MATCH(A262,Entities!$A$5:$A$34,0))</f>
        <v>North Africa</v>
      </c>
      <c r="D262" s="12" t="s">
        <v>289</v>
      </c>
      <c r="E262" s="12" t="str">
        <f aca="false">INDEX('Risk Taxonomy'!$B$5:$B$24,MATCH(D262,'Risk Taxonomy'!$A$5:$A$24,0))</f>
        <v>Legal and litigation</v>
      </c>
      <c r="F262" s="7" t="str">
        <f aca="false">IF(D262="RC-04",IF(INDEX(Entities!$G$5:$G$34,MATCH(A262,Entities!$A$5:$A$34,0))="Y","Yes","N/A"),"Yes")</f>
        <v>Yes</v>
      </c>
      <c r="G262" s="24" t="n">
        <v>1</v>
      </c>
      <c r="H262" s="24" t="n">
        <v>2</v>
      </c>
      <c r="I262" s="24" t="n">
        <v>3</v>
      </c>
      <c r="J262" s="24" t="n">
        <v>3</v>
      </c>
      <c r="K262" s="24" t="n">
        <v>1</v>
      </c>
      <c r="L262" s="37" t="n">
        <f aca="false">IF(F262="N/A","",IF(COUNT(H262:K262)=0,"",IF(Config!$C$19="Highest dimension",MAX(H262:K262),ROUND(H262*Config!$C$20+I262*Config!$C$21+J262*Config!$C$22+K262*Config!$C$23,1))))</f>
        <v>3</v>
      </c>
      <c r="M262" s="38" t="n">
        <f aca="false">IF(OR(L262="",G262=""),"",G262*L262)</f>
        <v>3</v>
      </c>
      <c r="N262" s="31" t="n">
        <f aca="false">IF(M262="","",MATCH(M262,Config!$E$5:$E$9,1))</f>
        <v>1</v>
      </c>
      <c r="O262" s="7" t="str">
        <f aca="false">IF(F262="N/A","N/A",IF(N262="","Not assessed",INDEX(Config!$B$5:$B$9,N262)))</f>
        <v>Low</v>
      </c>
      <c r="P262" s="32" t="n">
        <v>0</v>
      </c>
      <c r="Q262" s="8"/>
      <c r="R262" s="33"/>
      <c r="S262" s="34" t="n">
        <f aca="false">IF(N262="","",IF(AND(R262="Y",P262&lt;&gt;0),MAX(1,MIN(5,N262+MAX(-Config!$C$27,MIN(Config!$C$27,P262)))),N262))</f>
        <v>1</v>
      </c>
      <c r="T262" s="35" t="str">
        <f aca="false">IF(F262="N/A","N/A",IF(S262="","Not assessed",INDEX(Config!$B$5:$B$9,S262)))</f>
        <v>Low</v>
      </c>
      <c r="U262" s="7" t="str">
        <f aca="false">IF(P262=0,"None",IF(R262="Y","Applied","Pending HO approval"))</f>
        <v>None</v>
      </c>
      <c r="V262" s="8"/>
    </row>
    <row r="263" customFormat="false" ht="15" hidden="false" customHeight="false" outlineLevel="0" collapsed="false">
      <c r="A263" s="26" t="str">
        <f aca="false">Entities!$A$24</f>
        <v>TN</v>
      </c>
      <c r="B263" s="12" t="str">
        <f aca="false">INDEX(Entities!$B$5:$B$34,MATCH(A263,Entities!$A$5:$A$34,0))</f>
        <v>Arab Tunisian Bank</v>
      </c>
      <c r="C263" s="12" t="str">
        <f aca="false">INDEX(Entities!$D$5:$D$34,MATCH(A263,Entities!$A$5:$A$34,0))</f>
        <v>North Africa</v>
      </c>
      <c r="D263" s="12" t="s">
        <v>292</v>
      </c>
      <c r="E263" s="12" t="str">
        <f aca="false">INDEX('Risk Taxonomy'!$B$5:$B$24,MATCH(D263,'Risk Taxonomy'!$A$5:$A$24,0))</f>
        <v>Reputational</v>
      </c>
      <c r="F263" s="7" t="str">
        <f aca="false">IF(D263="RC-04",IF(INDEX(Entities!$G$5:$G$34,MATCH(A263,Entities!$A$5:$A$34,0))="Y","Yes","N/A"),"Yes")</f>
        <v>Yes</v>
      </c>
      <c r="G263" s="24" t="n">
        <v>3</v>
      </c>
      <c r="H263" s="24" t="n">
        <v>3</v>
      </c>
      <c r="I263" s="24" t="n">
        <v>3</v>
      </c>
      <c r="J263" s="24" t="n">
        <v>2</v>
      </c>
      <c r="K263" s="24" t="n">
        <v>2</v>
      </c>
      <c r="L263" s="37" t="n">
        <f aca="false">IF(F263="N/A","",IF(COUNT(H263:K263)=0,"",IF(Config!$C$19="Highest dimension",MAX(H263:K263),ROUND(H263*Config!$C$20+I263*Config!$C$21+J263*Config!$C$22+K263*Config!$C$23,1))))</f>
        <v>3</v>
      </c>
      <c r="M263" s="38" t="n">
        <f aca="false">IF(OR(L263="",G263=""),"",G263*L263)</f>
        <v>9</v>
      </c>
      <c r="N263" s="31" t="n">
        <f aca="false">IF(M263="","",MATCH(M263,Config!$E$5:$E$9,1))</f>
        <v>3</v>
      </c>
      <c r="O263" s="7" t="str">
        <f aca="false">IF(F263="N/A","N/A",IF(N263="","Not assessed",INDEX(Config!$B$5:$B$9,N263)))</f>
        <v>Medium</v>
      </c>
      <c r="P263" s="32" t="n">
        <v>0</v>
      </c>
      <c r="Q263" s="8"/>
      <c r="R263" s="33"/>
      <c r="S263" s="34" t="n">
        <f aca="false">IF(N263="","",IF(AND(R263="Y",P263&lt;&gt;0),MAX(1,MIN(5,N263+MAX(-Config!$C$27,MIN(Config!$C$27,P263)))),N263))</f>
        <v>3</v>
      </c>
      <c r="T263" s="35" t="str">
        <f aca="false">IF(F263="N/A","N/A",IF(S263="","Not assessed",INDEX(Config!$B$5:$B$9,S263)))</f>
        <v>Medium</v>
      </c>
      <c r="U263" s="7" t="str">
        <f aca="false">IF(P263=0,"None",IF(R263="Y","Applied","Pending HO approval"))</f>
        <v>None</v>
      </c>
      <c r="V263" s="8"/>
    </row>
    <row r="264" customFormat="false" ht="15" hidden="false" customHeight="false" outlineLevel="0" collapsed="false">
      <c r="A264" s="26" t="str">
        <f aca="false">Entities!$A$24</f>
        <v>TN</v>
      </c>
      <c r="B264" s="12" t="str">
        <f aca="false">INDEX(Entities!$B$5:$B$34,MATCH(A264,Entities!$A$5:$A$34,0))</f>
        <v>Arab Tunisian Bank</v>
      </c>
      <c r="C264" s="12" t="str">
        <f aca="false">INDEX(Entities!$D$5:$D$34,MATCH(A264,Entities!$A$5:$A$34,0))</f>
        <v>North Africa</v>
      </c>
      <c r="D264" s="12" t="s">
        <v>295</v>
      </c>
      <c r="E264" s="12" t="str">
        <f aca="false">INDEX('Risk Taxonomy'!$B$5:$B$24,MATCH(D264,'Risk Taxonomy'!$A$5:$A$24,0))</f>
        <v>Strategic, business model and ESG</v>
      </c>
      <c r="F264" s="7" t="str">
        <f aca="false">IF(D264="RC-04",IF(INDEX(Entities!$G$5:$G$34,MATCH(A264,Entities!$A$5:$A$34,0))="Y","Yes","N/A"),"Yes")</f>
        <v>Yes</v>
      </c>
      <c r="G264" s="24" t="n">
        <v>3</v>
      </c>
      <c r="H264" s="24" t="n">
        <v>4</v>
      </c>
      <c r="I264" s="24" t="n">
        <v>3</v>
      </c>
      <c r="J264" s="24" t="n">
        <v>3</v>
      </c>
      <c r="K264" s="24" t="n">
        <v>3</v>
      </c>
      <c r="L264" s="37" t="n">
        <f aca="false">IF(F264="N/A","",IF(COUNT(H264:K264)=0,"",IF(Config!$C$19="Highest dimension",MAX(H264:K264),ROUND(H264*Config!$C$20+I264*Config!$C$21+J264*Config!$C$22+K264*Config!$C$23,1))))</f>
        <v>4</v>
      </c>
      <c r="M264" s="38" t="n">
        <f aca="false">IF(OR(L264="",G264=""),"",G264*L264)</f>
        <v>12</v>
      </c>
      <c r="N264" s="31" t="n">
        <f aca="false">IF(M264="","",MATCH(M264,Config!$E$5:$E$9,1))</f>
        <v>3</v>
      </c>
      <c r="O264" s="7" t="str">
        <f aca="false">IF(F264="N/A","N/A",IF(N264="","Not assessed",INDEX(Config!$B$5:$B$9,N264)))</f>
        <v>Medium</v>
      </c>
      <c r="P264" s="32" t="n">
        <v>0</v>
      </c>
      <c r="Q264" s="8"/>
      <c r="R264" s="33"/>
      <c r="S264" s="34" t="n">
        <f aca="false">IF(N264="","",IF(AND(R264="Y",P264&lt;&gt;0),MAX(1,MIN(5,N264+MAX(-Config!$C$27,MIN(Config!$C$27,P264)))),N264))</f>
        <v>3</v>
      </c>
      <c r="T264" s="35" t="str">
        <f aca="false">IF(F264="N/A","N/A",IF(S264="","Not assessed",INDEX(Config!$B$5:$B$9,S264)))</f>
        <v>Medium</v>
      </c>
      <c r="U264" s="7" t="str">
        <f aca="false">IF(P264=0,"None",IF(R264="Y","Applied","Pending HO approval"))</f>
        <v>None</v>
      </c>
      <c r="V264" s="8"/>
    </row>
    <row r="265" customFormat="false" ht="15" hidden="false" customHeight="false" outlineLevel="0" collapsed="false">
      <c r="A265" s="26" t="str">
        <f aca="false">Entities!$A$25</f>
        <v>SD</v>
      </c>
      <c r="B265" s="12" t="str">
        <f aca="false">INDEX(Entities!$B$5:$B$34,MATCH(A265,Entities!$A$5:$A$34,0))</f>
        <v>Arab Sudanese Bank</v>
      </c>
      <c r="C265" s="12" t="str">
        <f aca="false">INDEX(Entities!$D$5:$D$34,MATCH(A265,Entities!$A$5:$A$34,0))</f>
        <v>North Africa</v>
      </c>
      <c r="D265" s="12" t="s">
        <v>257</v>
      </c>
      <c r="E265" s="12" t="str">
        <f aca="false">INDEX('Risk Taxonomy'!$B$5:$B$24,MATCH(D265,'Risk Taxonomy'!$A$5:$A$24,0))</f>
        <v>Regulatory compliance</v>
      </c>
      <c r="F265" s="7" t="str">
        <f aca="false">IF(D265="RC-04",IF(INDEX(Entities!$G$5:$G$34,MATCH(A265,Entities!$A$5:$A$34,0))="Y","Yes","N/A"),"Yes")</f>
        <v>Yes</v>
      </c>
      <c r="G265" s="24" t="n">
        <v>4</v>
      </c>
      <c r="H265" s="24" t="n">
        <v>5</v>
      </c>
      <c r="I265" s="24" t="n">
        <v>3</v>
      </c>
      <c r="J265" s="24" t="n">
        <v>3</v>
      </c>
      <c r="K265" s="24" t="n">
        <v>3</v>
      </c>
      <c r="L265" s="37" t="n">
        <f aca="false">IF(F265="N/A","",IF(COUNT(H265:K265)=0,"",IF(Config!$C$19="Highest dimension",MAX(H265:K265),ROUND(H265*Config!$C$20+I265*Config!$C$21+J265*Config!$C$22+K265*Config!$C$23,1))))</f>
        <v>5</v>
      </c>
      <c r="M265" s="38" t="n">
        <f aca="false">IF(OR(L265="",G265=""),"",G265*L265)</f>
        <v>20</v>
      </c>
      <c r="N265" s="31" t="n">
        <f aca="false">IF(M265="","",MATCH(M265,Config!$E$5:$E$9,1))</f>
        <v>5</v>
      </c>
      <c r="O265" s="7" t="str">
        <f aca="false">IF(F265="N/A","N/A",IF(N265="","Not assessed",INDEX(Config!$B$5:$B$9,N265)))</f>
        <v>High</v>
      </c>
      <c r="P265" s="32" t="n">
        <v>0</v>
      </c>
      <c r="Q265" s="8"/>
      <c r="R265" s="33"/>
      <c r="S265" s="34" t="n">
        <f aca="false">IF(N265="","",IF(AND(R265="Y",P265&lt;&gt;0),MAX(1,MIN(5,N265+MAX(-Config!$C$27,MIN(Config!$C$27,P265)))),N265))</f>
        <v>5</v>
      </c>
      <c r="T265" s="35" t="str">
        <f aca="false">IF(F265="N/A","N/A",IF(S265="","Not assessed",INDEX(Config!$B$5:$B$9,S265)))</f>
        <v>High</v>
      </c>
      <c r="U265" s="7" t="str">
        <f aca="false">IF(P265=0,"None",IF(R265="Y","Applied","Pending HO approval"))</f>
        <v>None</v>
      </c>
      <c r="V265" s="8"/>
    </row>
    <row r="266" customFormat="false" ht="15" hidden="false" customHeight="false" outlineLevel="0" collapsed="false">
      <c r="A266" s="26" t="str">
        <f aca="false">Entities!$A$25</f>
        <v>SD</v>
      </c>
      <c r="B266" s="12" t="str">
        <f aca="false">INDEX(Entities!$B$5:$B$34,MATCH(A266,Entities!$A$5:$A$34,0))</f>
        <v>Arab Sudanese Bank</v>
      </c>
      <c r="C266" s="12" t="str">
        <f aca="false">INDEX(Entities!$D$5:$D$34,MATCH(A266,Entities!$A$5:$A$34,0))</f>
        <v>North Africa</v>
      </c>
      <c r="D266" s="12" t="s">
        <v>261</v>
      </c>
      <c r="E266" s="12" t="str">
        <f aca="false">INDEX('Risk Taxonomy'!$B$5:$B$24,MATCH(D266,'Risk Taxonomy'!$A$5:$A$24,0))</f>
        <v>Conduct and consumer protection</v>
      </c>
      <c r="F266" s="7" t="str">
        <f aca="false">IF(D266="RC-04",IF(INDEX(Entities!$G$5:$G$34,MATCH(A266,Entities!$A$5:$A$34,0))="Y","Yes","N/A"),"Yes")</f>
        <v>Yes</v>
      </c>
      <c r="G266" s="24" t="n">
        <v>4</v>
      </c>
      <c r="H266" s="24" t="n">
        <v>3</v>
      </c>
      <c r="I266" s="24" t="n">
        <v>3</v>
      </c>
      <c r="J266" s="24" t="n">
        <v>4</v>
      </c>
      <c r="K266" s="24" t="n">
        <v>2</v>
      </c>
      <c r="L266" s="37" t="n">
        <f aca="false">IF(F266="N/A","",IF(COUNT(H266:K266)=0,"",IF(Config!$C$19="Highest dimension",MAX(H266:K266),ROUND(H266*Config!$C$20+I266*Config!$C$21+J266*Config!$C$22+K266*Config!$C$23,1))))</f>
        <v>4</v>
      </c>
      <c r="M266" s="38" t="n">
        <f aca="false">IF(OR(L266="",G266=""),"",G266*L266)</f>
        <v>16</v>
      </c>
      <c r="N266" s="31" t="n">
        <f aca="false">IF(M266="","",MATCH(M266,Config!$E$5:$E$9,1))</f>
        <v>4</v>
      </c>
      <c r="O266" s="7" t="str">
        <f aca="false">IF(F266="N/A","N/A",IF(N266="","Not assessed",INDEX(Config!$B$5:$B$9,N266)))</f>
        <v>Medium-High</v>
      </c>
      <c r="P266" s="32" t="n">
        <v>0</v>
      </c>
      <c r="Q266" s="8"/>
      <c r="R266" s="33"/>
      <c r="S266" s="34" t="n">
        <f aca="false">IF(N266="","",IF(AND(R266="Y",P266&lt;&gt;0),MAX(1,MIN(5,N266+MAX(-Config!$C$27,MIN(Config!$C$27,P266)))),N266))</f>
        <v>4</v>
      </c>
      <c r="T266" s="35" t="str">
        <f aca="false">IF(F266="N/A","N/A",IF(S266="","Not assessed",INDEX(Config!$B$5:$B$9,S266)))</f>
        <v>Medium-High</v>
      </c>
      <c r="U266" s="7" t="str">
        <f aca="false">IF(P266=0,"None",IF(R266="Y","Applied","Pending HO approval"))</f>
        <v>None</v>
      </c>
      <c r="V266" s="8"/>
    </row>
    <row r="267" customFormat="false" ht="15" hidden="false" customHeight="false" outlineLevel="0" collapsed="false">
      <c r="A267" s="26" t="str">
        <f aca="false">Entities!$A$25</f>
        <v>SD</v>
      </c>
      <c r="B267" s="12" t="str">
        <f aca="false">INDEX(Entities!$B$5:$B$34,MATCH(A267,Entities!$A$5:$A$34,0))</f>
        <v>Arab Sudanese Bank</v>
      </c>
      <c r="C267" s="12" t="str">
        <f aca="false">INDEX(Entities!$D$5:$D$34,MATCH(A267,Entities!$A$5:$A$34,0))</f>
        <v>North Africa</v>
      </c>
      <c r="D267" s="12" t="s">
        <v>263</v>
      </c>
      <c r="E267" s="12" t="str">
        <f aca="false">INDEX('Risk Taxonomy'!$B$5:$B$24,MATCH(D267,'Risk Taxonomy'!$A$5:$A$24,0))</f>
        <v>Data protection and privacy</v>
      </c>
      <c r="F267" s="7" t="str">
        <f aca="false">IF(D267="RC-04",IF(INDEX(Entities!$G$5:$G$34,MATCH(A267,Entities!$A$5:$A$34,0))="Y","Yes","N/A"),"Yes")</f>
        <v>Yes</v>
      </c>
      <c r="G267" s="24" t="n">
        <v>4</v>
      </c>
      <c r="H267" s="24" t="n">
        <v>4</v>
      </c>
      <c r="I267" s="24" t="n">
        <v>4</v>
      </c>
      <c r="J267" s="24" t="n">
        <v>3</v>
      </c>
      <c r="K267" s="24" t="n">
        <v>3</v>
      </c>
      <c r="L267" s="37" t="n">
        <f aca="false">IF(F267="N/A","",IF(COUNT(H267:K267)=0,"",IF(Config!$C$19="Highest dimension",MAX(H267:K267),ROUND(H267*Config!$C$20+I267*Config!$C$21+J267*Config!$C$22+K267*Config!$C$23,1))))</f>
        <v>4</v>
      </c>
      <c r="M267" s="38" t="n">
        <f aca="false">IF(OR(L267="",G267=""),"",G267*L267)</f>
        <v>16</v>
      </c>
      <c r="N267" s="31" t="n">
        <f aca="false">IF(M267="","",MATCH(M267,Config!$E$5:$E$9,1))</f>
        <v>4</v>
      </c>
      <c r="O267" s="7" t="str">
        <f aca="false">IF(F267="N/A","N/A",IF(N267="","Not assessed",INDEX(Config!$B$5:$B$9,N267)))</f>
        <v>Medium-High</v>
      </c>
      <c r="P267" s="32" t="n">
        <v>0</v>
      </c>
      <c r="Q267" s="8"/>
      <c r="R267" s="33"/>
      <c r="S267" s="34" t="n">
        <f aca="false">IF(N267="","",IF(AND(R267="Y",P267&lt;&gt;0),MAX(1,MIN(5,N267+MAX(-Config!$C$27,MIN(Config!$C$27,P267)))),N267))</f>
        <v>4</v>
      </c>
      <c r="T267" s="35" t="str">
        <f aca="false">IF(F267="N/A","N/A",IF(S267="","Not assessed",INDEX(Config!$B$5:$B$9,S267)))</f>
        <v>Medium-High</v>
      </c>
      <c r="U267" s="7" t="str">
        <f aca="false">IF(P267=0,"None",IF(R267="Y","Applied","Pending HO approval"))</f>
        <v>None</v>
      </c>
      <c r="V267" s="8"/>
    </row>
    <row r="268" customFormat="false" ht="15" hidden="false" customHeight="false" outlineLevel="0" collapsed="false">
      <c r="A268" s="26" t="str">
        <f aca="false">Entities!$A$25</f>
        <v>SD</v>
      </c>
      <c r="B268" s="12" t="str">
        <f aca="false">INDEX(Entities!$B$5:$B$34,MATCH(A268,Entities!$A$5:$A$34,0))</f>
        <v>Arab Sudanese Bank</v>
      </c>
      <c r="C268" s="12" t="str">
        <f aca="false">INDEX(Entities!$D$5:$D$34,MATCH(A268,Entities!$A$5:$A$34,0))</f>
        <v>North Africa</v>
      </c>
      <c r="D268" s="12" t="s">
        <v>266</v>
      </c>
      <c r="E268" s="12" t="str">
        <f aca="false">INDEX('Risk Taxonomy'!$B$5:$B$24,MATCH(D268,'Risk Taxonomy'!$A$5:$A$24,0))</f>
        <v>Shariah non-compliance</v>
      </c>
      <c r="F268" s="7" t="str">
        <f aca="false">IF(D268="RC-04",IF(INDEX(Entities!$G$5:$G$34,MATCH(A268,Entities!$A$5:$A$34,0))="Y","Yes","N/A"),"Yes")</f>
        <v>N/A</v>
      </c>
      <c r="G268" s="24"/>
      <c r="H268" s="24"/>
      <c r="I268" s="24"/>
      <c r="J268" s="24"/>
      <c r="K268" s="24"/>
      <c r="L268" s="37" t="str">
        <f aca="false">IF(F268="N/A","",IF(COUNT(H268:K268)=0,"",IF(Config!$C$19="Highest dimension",MAX(H268:K268),ROUND(H268*Config!$C$20+I268*Config!$C$21+J268*Config!$C$22+K268*Config!$C$23,1))))</f>
        <v/>
      </c>
      <c r="M268" s="38" t="str">
        <f aca="false">IF(OR(L268="",G268=""),"",G268*L268)</f>
        <v/>
      </c>
      <c r="N268" s="31" t="str">
        <f aca="false">IF(M268="","",MATCH(M268,Config!$E$5:$E$9,1))</f>
        <v/>
      </c>
      <c r="O268" s="7" t="str">
        <f aca="false">IF(F268="N/A","N/A",IF(N268="","Not assessed",INDEX(Config!$B$5:$B$9,N268)))</f>
        <v>N/A</v>
      </c>
      <c r="P268" s="32" t="n">
        <v>0</v>
      </c>
      <c r="Q268" s="8"/>
      <c r="R268" s="33"/>
      <c r="S268" s="34" t="str">
        <f aca="false">IF(N268="","",IF(AND(R268="Y",P268&lt;&gt;0),MAX(1,MIN(5,N268+MAX(-Config!$C$27,MIN(Config!$C$27,P268)))),N268))</f>
        <v/>
      </c>
      <c r="T268" s="35" t="str">
        <f aca="false">IF(F268="N/A","N/A",IF(S268="","Not assessed",INDEX(Config!$B$5:$B$9,S268)))</f>
        <v>N/A</v>
      </c>
      <c r="U268" s="7" t="str">
        <f aca="false">IF(P268=0,"None",IF(R268="Y","Applied","Pending HO approval"))</f>
        <v>None</v>
      </c>
      <c r="V268" s="8"/>
    </row>
    <row r="269" customFormat="false" ht="15" hidden="false" customHeight="false" outlineLevel="0" collapsed="false">
      <c r="A269" s="26" t="str">
        <f aca="false">Entities!$A$25</f>
        <v>SD</v>
      </c>
      <c r="B269" s="12" t="str">
        <f aca="false">INDEX(Entities!$B$5:$B$34,MATCH(A269,Entities!$A$5:$A$34,0))</f>
        <v>Arab Sudanese Bank</v>
      </c>
      <c r="C269" s="12" t="str">
        <f aca="false">INDEX(Entities!$D$5:$D$34,MATCH(A269,Entities!$A$5:$A$34,0))</f>
        <v>North Africa</v>
      </c>
      <c r="D269" s="12" t="s">
        <v>270</v>
      </c>
      <c r="E269" s="12" t="str">
        <f aca="false">INDEX('Risk Taxonomy'!$B$5:$B$24,MATCH(D269,'Risk Taxonomy'!$A$5:$A$24,0))</f>
        <v>Credit risk</v>
      </c>
      <c r="F269" s="7" t="str">
        <f aca="false">IF(D269="RC-04",IF(INDEX(Entities!$G$5:$G$34,MATCH(A269,Entities!$A$5:$A$34,0))="Y","Yes","N/A"),"Yes")</f>
        <v>Yes</v>
      </c>
      <c r="G269" s="24" t="n">
        <v>4</v>
      </c>
      <c r="H269" s="24" t="n">
        <v>5</v>
      </c>
      <c r="I269" s="24" t="n">
        <v>3</v>
      </c>
      <c r="J269" s="24" t="n">
        <v>4</v>
      </c>
      <c r="K269" s="24" t="n">
        <v>4</v>
      </c>
      <c r="L269" s="37" t="n">
        <f aca="false">IF(F269="N/A","",IF(COUNT(H269:K269)=0,"",IF(Config!$C$19="Highest dimension",MAX(H269:K269),ROUND(H269*Config!$C$20+I269*Config!$C$21+J269*Config!$C$22+K269*Config!$C$23,1))))</f>
        <v>5</v>
      </c>
      <c r="M269" s="38" t="n">
        <f aca="false">IF(OR(L269="",G269=""),"",G269*L269)</f>
        <v>20</v>
      </c>
      <c r="N269" s="31" t="n">
        <f aca="false">IF(M269="","",MATCH(M269,Config!$E$5:$E$9,1))</f>
        <v>5</v>
      </c>
      <c r="O269" s="7" t="str">
        <f aca="false">IF(F269="N/A","N/A",IF(N269="","Not assessed",INDEX(Config!$B$5:$B$9,N269)))</f>
        <v>High</v>
      </c>
      <c r="P269" s="32" t="n">
        <v>0</v>
      </c>
      <c r="Q269" s="8"/>
      <c r="R269" s="33"/>
      <c r="S269" s="34" t="n">
        <f aca="false">IF(N269="","",IF(AND(R269="Y",P269&lt;&gt;0),MAX(1,MIN(5,N269+MAX(-Config!$C$27,MIN(Config!$C$27,P269)))),N269))</f>
        <v>5</v>
      </c>
      <c r="T269" s="35" t="str">
        <f aca="false">IF(F269="N/A","N/A",IF(S269="","Not assessed",INDEX(Config!$B$5:$B$9,S269)))</f>
        <v>High</v>
      </c>
      <c r="U269" s="7" t="str">
        <f aca="false">IF(P269=0,"None",IF(R269="Y","Applied","Pending HO approval"))</f>
        <v>None</v>
      </c>
      <c r="V269" s="8"/>
    </row>
    <row r="270" customFormat="false" ht="15" hidden="false" customHeight="false" outlineLevel="0" collapsed="false">
      <c r="A270" s="26" t="str">
        <f aca="false">Entities!$A$25</f>
        <v>SD</v>
      </c>
      <c r="B270" s="12" t="str">
        <f aca="false">INDEX(Entities!$B$5:$B$34,MATCH(A270,Entities!$A$5:$A$34,0))</f>
        <v>Arab Sudanese Bank</v>
      </c>
      <c r="C270" s="12" t="str">
        <f aca="false">INDEX(Entities!$D$5:$D$34,MATCH(A270,Entities!$A$5:$A$34,0))</f>
        <v>North Africa</v>
      </c>
      <c r="D270" s="12" t="s">
        <v>275</v>
      </c>
      <c r="E270" s="12" t="str">
        <f aca="false">INDEX('Risk Taxonomy'!$B$5:$B$24,MATCH(D270,'Risk Taxonomy'!$A$5:$A$24,0))</f>
        <v>Market risk</v>
      </c>
      <c r="F270" s="7" t="str">
        <f aca="false">IF(D270="RC-04",IF(INDEX(Entities!$G$5:$G$34,MATCH(A270,Entities!$A$5:$A$34,0))="Y","Yes","N/A"),"Yes")</f>
        <v>Yes</v>
      </c>
      <c r="G270" s="24" t="n">
        <v>2</v>
      </c>
      <c r="H270" s="24" t="n">
        <v>3</v>
      </c>
      <c r="I270" s="24" t="n">
        <v>3</v>
      </c>
      <c r="J270" s="24" t="n">
        <v>2</v>
      </c>
      <c r="K270" s="24" t="n">
        <v>3</v>
      </c>
      <c r="L270" s="37" t="n">
        <f aca="false">IF(F270="N/A","",IF(COUNT(H270:K270)=0,"",IF(Config!$C$19="Highest dimension",MAX(H270:K270),ROUND(H270*Config!$C$20+I270*Config!$C$21+J270*Config!$C$22+K270*Config!$C$23,1))))</f>
        <v>3</v>
      </c>
      <c r="M270" s="38" t="n">
        <f aca="false">IF(OR(L270="",G270=""),"",G270*L270)</f>
        <v>6</v>
      </c>
      <c r="N270" s="31" t="n">
        <f aca="false">IF(M270="","",MATCH(M270,Config!$E$5:$E$9,1))</f>
        <v>2</v>
      </c>
      <c r="O270" s="7" t="str">
        <f aca="false">IF(F270="N/A","N/A",IF(N270="","Not assessed",INDEX(Config!$B$5:$B$9,N270)))</f>
        <v>Medium-Low</v>
      </c>
      <c r="P270" s="32" t="n">
        <v>0</v>
      </c>
      <c r="Q270" s="8"/>
      <c r="R270" s="33"/>
      <c r="S270" s="34" t="n">
        <f aca="false">IF(N270="","",IF(AND(R270="Y",P270&lt;&gt;0),MAX(1,MIN(5,N270+MAX(-Config!$C$27,MIN(Config!$C$27,P270)))),N270))</f>
        <v>2</v>
      </c>
      <c r="T270" s="35" t="str">
        <f aca="false">IF(F270="N/A","N/A",IF(S270="","Not assessed",INDEX(Config!$B$5:$B$9,S270)))</f>
        <v>Medium-Low</v>
      </c>
      <c r="U270" s="7" t="str">
        <f aca="false">IF(P270=0,"None",IF(R270="Y","Applied","Pending HO approval"))</f>
        <v>None</v>
      </c>
      <c r="V270" s="8"/>
    </row>
    <row r="271" customFormat="false" ht="15" hidden="false" customHeight="false" outlineLevel="0" collapsed="false">
      <c r="A271" s="26" t="str">
        <f aca="false">Entities!$A$25</f>
        <v>SD</v>
      </c>
      <c r="B271" s="12" t="str">
        <f aca="false">INDEX(Entities!$B$5:$B$34,MATCH(A271,Entities!$A$5:$A$34,0))</f>
        <v>Arab Sudanese Bank</v>
      </c>
      <c r="C271" s="12" t="str">
        <f aca="false">INDEX(Entities!$D$5:$D$34,MATCH(A271,Entities!$A$5:$A$34,0))</f>
        <v>North Africa</v>
      </c>
      <c r="D271" s="12" t="s">
        <v>277</v>
      </c>
      <c r="E271" s="12" t="str">
        <f aca="false">INDEX('Risk Taxonomy'!$B$5:$B$24,MATCH(D271,'Risk Taxonomy'!$A$5:$A$24,0))</f>
        <v>Liquidity and funding risk</v>
      </c>
      <c r="F271" s="7" t="str">
        <f aca="false">IF(D271="RC-04",IF(INDEX(Entities!$G$5:$G$34,MATCH(A271,Entities!$A$5:$A$34,0))="Y","Yes","N/A"),"Yes")</f>
        <v>Yes</v>
      </c>
      <c r="G271" s="24" t="n">
        <v>3</v>
      </c>
      <c r="H271" s="24" t="n">
        <v>3</v>
      </c>
      <c r="I271" s="24" t="n">
        <v>3</v>
      </c>
      <c r="J271" s="24" t="n">
        <v>4</v>
      </c>
      <c r="K271" s="24" t="n">
        <v>4</v>
      </c>
      <c r="L271" s="37" t="n">
        <f aca="false">IF(F271="N/A","",IF(COUNT(H271:K271)=0,"",IF(Config!$C$19="Highest dimension",MAX(H271:K271),ROUND(H271*Config!$C$20+I271*Config!$C$21+J271*Config!$C$22+K271*Config!$C$23,1))))</f>
        <v>4</v>
      </c>
      <c r="M271" s="38" t="n">
        <f aca="false">IF(OR(L271="",G271=""),"",G271*L271)</f>
        <v>12</v>
      </c>
      <c r="N271" s="31" t="n">
        <f aca="false">IF(M271="","",MATCH(M271,Config!$E$5:$E$9,1))</f>
        <v>3</v>
      </c>
      <c r="O271" s="7" t="str">
        <f aca="false">IF(F271="N/A","N/A",IF(N271="","Not assessed",INDEX(Config!$B$5:$B$9,N271)))</f>
        <v>Medium</v>
      </c>
      <c r="P271" s="32" t="n">
        <v>0</v>
      </c>
      <c r="Q271" s="8"/>
      <c r="R271" s="33"/>
      <c r="S271" s="34" t="n">
        <f aca="false">IF(N271="","",IF(AND(R271="Y",P271&lt;&gt;0),MAX(1,MIN(5,N271+MAX(-Config!$C$27,MIN(Config!$C$27,P271)))),N271))</f>
        <v>3</v>
      </c>
      <c r="T271" s="35" t="str">
        <f aca="false">IF(F271="N/A","N/A",IF(S271="","Not assessed",INDEX(Config!$B$5:$B$9,S271)))</f>
        <v>Medium</v>
      </c>
      <c r="U271" s="7" t="str">
        <f aca="false">IF(P271=0,"None",IF(R271="Y","Applied","Pending HO approval"))</f>
        <v>None</v>
      </c>
      <c r="V271" s="8"/>
    </row>
    <row r="272" customFormat="false" ht="15" hidden="false" customHeight="false" outlineLevel="0" collapsed="false">
      <c r="A272" s="26" t="str">
        <f aca="false">Entities!$A$25</f>
        <v>SD</v>
      </c>
      <c r="B272" s="12" t="str">
        <f aca="false">INDEX(Entities!$B$5:$B$34,MATCH(A272,Entities!$A$5:$A$34,0))</f>
        <v>Arab Sudanese Bank</v>
      </c>
      <c r="C272" s="12" t="str">
        <f aca="false">INDEX(Entities!$D$5:$D$34,MATCH(A272,Entities!$A$5:$A$34,0))</f>
        <v>North Africa</v>
      </c>
      <c r="D272" s="12" t="s">
        <v>280</v>
      </c>
      <c r="E272" s="12" t="str">
        <f aca="false">INDEX('Risk Taxonomy'!$B$5:$B$24,MATCH(D272,'Risk Taxonomy'!$A$5:$A$24,0))</f>
        <v>Operational risk</v>
      </c>
      <c r="F272" s="7" t="str">
        <f aca="false">IF(D272="RC-04",IF(INDEX(Entities!$G$5:$G$34,MATCH(A272,Entities!$A$5:$A$34,0))="Y","Yes","N/A"),"Yes")</f>
        <v>Yes</v>
      </c>
      <c r="G272" s="24" t="n">
        <v>4</v>
      </c>
      <c r="H272" s="24" t="n">
        <v>4</v>
      </c>
      <c r="I272" s="24" t="n">
        <v>3</v>
      </c>
      <c r="J272" s="24" t="n">
        <v>4</v>
      </c>
      <c r="K272" s="24" t="n">
        <v>4</v>
      </c>
      <c r="L272" s="37" t="n">
        <f aca="false">IF(F272="N/A","",IF(COUNT(H272:K272)=0,"",IF(Config!$C$19="Highest dimension",MAX(H272:K272),ROUND(H272*Config!$C$20+I272*Config!$C$21+J272*Config!$C$22+K272*Config!$C$23,1))))</f>
        <v>4</v>
      </c>
      <c r="M272" s="38" t="n">
        <f aca="false">IF(OR(L272="",G272=""),"",G272*L272)</f>
        <v>16</v>
      </c>
      <c r="N272" s="31" t="n">
        <f aca="false">IF(M272="","",MATCH(M272,Config!$E$5:$E$9,1))</f>
        <v>4</v>
      </c>
      <c r="O272" s="7" t="str">
        <f aca="false">IF(F272="N/A","N/A",IF(N272="","Not assessed",INDEX(Config!$B$5:$B$9,N272)))</f>
        <v>Medium-High</v>
      </c>
      <c r="P272" s="32" t="n">
        <v>0</v>
      </c>
      <c r="Q272" s="8"/>
      <c r="R272" s="33"/>
      <c r="S272" s="34" t="n">
        <f aca="false">IF(N272="","",IF(AND(R272="Y",P272&lt;&gt;0),MAX(1,MIN(5,N272+MAX(-Config!$C$27,MIN(Config!$C$27,P272)))),N272))</f>
        <v>4</v>
      </c>
      <c r="T272" s="35" t="str">
        <f aca="false">IF(F272="N/A","N/A",IF(S272="","Not assessed",INDEX(Config!$B$5:$B$9,S272)))</f>
        <v>Medium-High</v>
      </c>
      <c r="U272" s="7" t="str">
        <f aca="false">IF(P272=0,"None",IF(R272="Y","Applied","Pending HO approval"))</f>
        <v>None</v>
      </c>
      <c r="V272" s="8"/>
    </row>
    <row r="273" customFormat="false" ht="15" hidden="false" customHeight="false" outlineLevel="0" collapsed="false">
      <c r="A273" s="26" t="str">
        <f aca="false">Entities!$A$25</f>
        <v>SD</v>
      </c>
      <c r="B273" s="12" t="str">
        <f aca="false">INDEX(Entities!$B$5:$B$34,MATCH(A273,Entities!$A$5:$A$34,0))</f>
        <v>Arab Sudanese Bank</v>
      </c>
      <c r="C273" s="12" t="str">
        <f aca="false">INDEX(Entities!$D$5:$D$34,MATCH(A273,Entities!$A$5:$A$34,0))</f>
        <v>North Africa</v>
      </c>
      <c r="D273" s="12" t="s">
        <v>283</v>
      </c>
      <c r="E273" s="12" t="str">
        <f aca="false">INDEX('Risk Taxonomy'!$B$5:$B$24,MATCH(D273,'Risk Taxonomy'!$A$5:$A$24,0))</f>
        <v>Cyber, information security and technology</v>
      </c>
      <c r="F273" s="7" t="str">
        <f aca="false">IF(D273="RC-04",IF(INDEX(Entities!$G$5:$G$34,MATCH(A273,Entities!$A$5:$A$34,0))="Y","Yes","N/A"),"Yes")</f>
        <v>Yes</v>
      </c>
      <c r="G273" s="24" t="n">
        <v>4</v>
      </c>
      <c r="H273" s="24" t="n">
        <v>5</v>
      </c>
      <c r="I273" s="24" t="n">
        <v>2</v>
      </c>
      <c r="J273" s="24" t="n">
        <v>4</v>
      </c>
      <c r="K273" s="24" t="n">
        <v>4</v>
      </c>
      <c r="L273" s="37" t="n">
        <f aca="false">IF(F273="N/A","",IF(COUNT(H273:K273)=0,"",IF(Config!$C$19="Highest dimension",MAX(H273:K273),ROUND(H273*Config!$C$20+I273*Config!$C$21+J273*Config!$C$22+K273*Config!$C$23,1))))</f>
        <v>5</v>
      </c>
      <c r="M273" s="38" t="n">
        <f aca="false">IF(OR(L273="",G273=""),"",G273*L273)</f>
        <v>20</v>
      </c>
      <c r="N273" s="31" t="n">
        <f aca="false">IF(M273="","",MATCH(M273,Config!$E$5:$E$9,1))</f>
        <v>5</v>
      </c>
      <c r="O273" s="7" t="str">
        <f aca="false">IF(F273="N/A","N/A",IF(N273="","Not assessed",INDEX(Config!$B$5:$B$9,N273)))</f>
        <v>High</v>
      </c>
      <c r="P273" s="32" t="n">
        <v>0</v>
      </c>
      <c r="Q273" s="8"/>
      <c r="R273" s="33"/>
      <c r="S273" s="34" t="n">
        <f aca="false">IF(N273="","",IF(AND(R273="Y",P273&lt;&gt;0),MAX(1,MIN(5,N273+MAX(-Config!$C$27,MIN(Config!$C$27,P273)))),N273))</f>
        <v>5</v>
      </c>
      <c r="T273" s="35" t="str">
        <f aca="false">IF(F273="N/A","N/A",IF(S273="","Not assessed",INDEX(Config!$B$5:$B$9,S273)))</f>
        <v>High</v>
      </c>
      <c r="U273" s="7" t="str">
        <f aca="false">IF(P273=0,"None",IF(R273="Y","Applied","Pending HO approval"))</f>
        <v>None</v>
      </c>
      <c r="V273" s="8"/>
    </row>
    <row r="274" customFormat="false" ht="15" hidden="false" customHeight="false" outlineLevel="0" collapsed="false">
      <c r="A274" s="26" t="str">
        <f aca="false">Entities!$A$25</f>
        <v>SD</v>
      </c>
      <c r="B274" s="12" t="str">
        <f aca="false">INDEX(Entities!$B$5:$B$34,MATCH(A274,Entities!$A$5:$A$34,0))</f>
        <v>Arab Sudanese Bank</v>
      </c>
      <c r="C274" s="12" t="str">
        <f aca="false">INDEX(Entities!$D$5:$D$34,MATCH(A274,Entities!$A$5:$A$34,0))</f>
        <v>North Africa</v>
      </c>
      <c r="D274" s="12" t="s">
        <v>286</v>
      </c>
      <c r="E274" s="12" t="str">
        <f aca="false">INDEX('Risk Taxonomy'!$B$5:$B$24,MATCH(D274,'Risk Taxonomy'!$A$5:$A$24,0))</f>
        <v>Third-party and outsourcing</v>
      </c>
      <c r="F274" s="7" t="str">
        <f aca="false">IF(D274="RC-04",IF(INDEX(Entities!$G$5:$G$34,MATCH(A274,Entities!$A$5:$A$34,0))="Y","Yes","N/A"),"Yes")</f>
        <v>Yes</v>
      </c>
      <c r="G274" s="24" t="n">
        <v>4</v>
      </c>
      <c r="H274" s="24" t="n">
        <v>3</v>
      </c>
      <c r="I274" s="24" t="n">
        <v>4</v>
      </c>
      <c r="J274" s="24" t="n">
        <v>4</v>
      </c>
      <c r="K274" s="24" t="n">
        <v>3</v>
      </c>
      <c r="L274" s="37" t="n">
        <f aca="false">IF(F274="N/A","",IF(COUNT(H274:K274)=0,"",IF(Config!$C$19="Highest dimension",MAX(H274:K274),ROUND(H274*Config!$C$20+I274*Config!$C$21+J274*Config!$C$22+K274*Config!$C$23,1))))</f>
        <v>4</v>
      </c>
      <c r="M274" s="38" t="n">
        <f aca="false">IF(OR(L274="",G274=""),"",G274*L274)</f>
        <v>16</v>
      </c>
      <c r="N274" s="31" t="n">
        <f aca="false">IF(M274="","",MATCH(M274,Config!$E$5:$E$9,1))</f>
        <v>4</v>
      </c>
      <c r="O274" s="7" t="str">
        <f aca="false">IF(F274="N/A","N/A",IF(N274="","Not assessed",INDEX(Config!$B$5:$B$9,N274)))</f>
        <v>Medium-High</v>
      </c>
      <c r="P274" s="32" t="n">
        <v>0</v>
      </c>
      <c r="Q274" s="8"/>
      <c r="R274" s="33"/>
      <c r="S274" s="34" t="n">
        <f aca="false">IF(N274="","",IF(AND(R274="Y",P274&lt;&gt;0),MAX(1,MIN(5,N274+MAX(-Config!$C$27,MIN(Config!$C$27,P274)))),N274))</f>
        <v>4</v>
      </c>
      <c r="T274" s="35" t="str">
        <f aca="false">IF(F274="N/A","N/A",IF(S274="","Not assessed",INDEX(Config!$B$5:$B$9,S274)))</f>
        <v>Medium-High</v>
      </c>
      <c r="U274" s="7" t="str">
        <f aca="false">IF(P274=0,"None",IF(R274="Y","Applied","Pending HO approval"))</f>
        <v>None</v>
      </c>
      <c r="V274" s="8"/>
    </row>
    <row r="275" customFormat="false" ht="15" hidden="false" customHeight="false" outlineLevel="0" collapsed="false">
      <c r="A275" s="26" t="str">
        <f aca="false">Entities!$A$25</f>
        <v>SD</v>
      </c>
      <c r="B275" s="12" t="str">
        <f aca="false">INDEX(Entities!$B$5:$B$34,MATCH(A275,Entities!$A$5:$A$34,0))</f>
        <v>Arab Sudanese Bank</v>
      </c>
      <c r="C275" s="12" t="str">
        <f aca="false">INDEX(Entities!$D$5:$D$34,MATCH(A275,Entities!$A$5:$A$34,0))</f>
        <v>North Africa</v>
      </c>
      <c r="D275" s="12" t="s">
        <v>289</v>
      </c>
      <c r="E275" s="12" t="str">
        <f aca="false">INDEX('Risk Taxonomy'!$B$5:$B$24,MATCH(D275,'Risk Taxonomy'!$A$5:$A$24,0))</f>
        <v>Legal and litigation</v>
      </c>
      <c r="F275" s="7" t="str">
        <f aca="false">IF(D275="RC-04",IF(INDEX(Entities!$G$5:$G$34,MATCH(A275,Entities!$A$5:$A$34,0))="Y","Yes","N/A"),"Yes")</f>
        <v>Yes</v>
      </c>
      <c r="G275" s="24" t="n">
        <v>3</v>
      </c>
      <c r="H275" s="24" t="n">
        <v>4</v>
      </c>
      <c r="I275" s="24" t="n">
        <v>4</v>
      </c>
      <c r="J275" s="24" t="n">
        <v>4</v>
      </c>
      <c r="K275" s="24" t="n">
        <v>3</v>
      </c>
      <c r="L275" s="37" t="n">
        <f aca="false">IF(F275="N/A","",IF(COUNT(H275:K275)=0,"",IF(Config!$C$19="Highest dimension",MAX(H275:K275),ROUND(H275*Config!$C$20+I275*Config!$C$21+J275*Config!$C$22+K275*Config!$C$23,1))))</f>
        <v>4</v>
      </c>
      <c r="M275" s="38" t="n">
        <f aca="false">IF(OR(L275="",G275=""),"",G275*L275)</f>
        <v>12</v>
      </c>
      <c r="N275" s="31" t="n">
        <f aca="false">IF(M275="","",MATCH(M275,Config!$E$5:$E$9,1))</f>
        <v>3</v>
      </c>
      <c r="O275" s="7" t="str">
        <f aca="false">IF(F275="N/A","N/A",IF(N275="","Not assessed",INDEX(Config!$B$5:$B$9,N275)))</f>
        <v>Medium</v>
      </c>
      <c r="P275" s="32" t="n">
        <v>0</v>
      </c>
      <c r="Q275" s="8"/>
      <c r="R275" s="33"/>
      <c r="S275" s="34" t="n">
        <f aca="false">IF(N275="","",IF(AND(R275="Y",P275&lt;&gt;0),MAX(1,MIN(5,N275+MAX(-Config!$C$27,MIN(Config!$C$27,P275)))),N275))</f>
        <v>3</v>
      </c>
      <c r="T275" s="35" t="str">
        <f aca="false">IF(F275="N/A","N/A",IF(S275="","Not assessed",INDEX(Config!$B$5:$B$9,S275)))</f>
        <v>Medium</v>
      </c>
      <c r="U275" s="7" t="str">
        <f aca="false">IF(P275=0,"None",IF(R275="Y","Applied","Pending HO approval"))</f>
        <v>None</v>
      </c>
      <c r="V275" s="8"/>
    </row>
    <row r="276" customFormat="false" ht="15" hidden="false" customHeight="false" outlineLevel="0" collapsed="false">
      <c r="A276" s="26" t="str">
        <f aca="false">Entities!$A$25</f>
        <v>SD</v>
      </c>
      <c r="B276" s="12" t="str">
        <f aca="false">INDEX(Entities!$B$5:$B$34,MATCH(A276,Entities!$A$5:$A$34,0))</f>
        <v>Arab Sudanese Bank</v>
      </c>
      <c r="C276" s="12" t="str">
        <f aca="false">INDEX(Entities!$D$5:$D$34,MATCH(A276,Entities!$A$5:$A$34,0))</f>
        <v>North Africa</v>
      </c>
      <c r="D276" s="12" t="s">
        <v>292</v>
      </c>
      <c r="E276" s="12" t="str">
        <f aca="false">INDEX('Risk Taxonomy'!$B$5:$B$24,MATCH(D276,'Risk Taxonomy'!$A$5:$A$24,0))</f>
        <v>Reputational</v>
      </c>
      <c r="F276" s="7" t="str">
        <f aca="false">IF(D276="RC-04",IF(INDEX(Entities!$G$5:$G$34,MATCH(A276,Entities!$A$5:$A$34,0))="Y","Yes","N/A"),"Yes")</f>
        <v>Yes</v>
      </c>
      <c r="G276" s="24" t="n">
        <v>4</v>
      </c>
      <c r="H276" s="24" t="n">
        <v>4</v>
      </c>
      <c r="I276" s="24" t="n">
        <v>3</v>
      </c>
      <c r="J276" s="24" t="n">
        <v>4</v>
      </c>
      <c r="K276" s="24" t="n">
        <v>2</v>
      </c>
      <c r="L276" s="37" t="n">
        <f aca="false">IF(F276="N/A","",IF(COUNT(H276:K276)=0,"",IF(Config!$C$19="Highest dimension",MAX(H276:K276),ROUND(H276*Config!$C$20+I276*Config!$C$21+J276*Config!$C$22+K276*Config!$C$23,1))))</f>
        <v>4</v>
      </c>
      <c r="M276" s="38" t="n">
        <f aca="false">IF(OR(L276="",G276=""),"",G276*L276)</f>
        <v>16</v>
      </c>
      <c r="N276" s="31" t="n">
        <f aca="false">IF(M276="","",MATCH(M276,Config!$E$5:$E$9,1))</f>
        <v>4</v>
      </c>
      <c r="O276" s="7" t="str">
        <f aca="false">IF(F276="N/A","N/A",IF(N276="","Not assessed",INDEX(Config!$B$5:$B$9,N276)))</f>
        <v>Medium-High</v>
      </c>
      <c r="P276" s="32" t="n">
        <v>0</v>
      </c>
      <c r="Q276" s="8"/>
      <c r="R276" s="33"/>
      <c r="S276" s="34" t="n">
        <f aca="false">IF(N276="","",IF(AND(R276="Y",P276&lt;&gt;0),MAX(1,MIN(5,N276+MAX(-Config!$C$27,MIN(Config!$C$27,P276)))),N276))</f>
        <v>4</v>
      </c>
      <c r="T276" s="35" t="str">
        <f aca="false">IF(F276="N/A","N/A",IF(S276="","Not assessed",INDEX(Config!$B$5:$B$9,S276)))</f>
        <v>Medium-High</v>
      </c>
      <c r="U276" s="7" t="str">
        <f aca="false">IF(P276=0,"None",IF(R276="Y","Applied","Pending HO approval"))</f>
        <v>None</v>
      </c>
      <c r="V276" s="8"/>
    </row>
    <row r="277" customFormat="false" ht="15" hidden="false" customHeight="false" outlineLevel="0" collapsed="false">
      <c r="A277" s="26" t="str">
        <f aca="false">Entities!$A$25</f>
        <v>SD</v>
      </c>
      <c r="B277" s="12" t="str">
        <f aca="false">INDEX(Entities!$B$5:$B$34,MATCH(A277,Entities!$A$5:$A$34,0))</f>
        <v>Arab Sudanese Bank</v>
      </c>
      <c r="C277" s="12" t="str">
        <f aca="false">INDEX(Entities!$D$5:$D$34,MATCH(A277,Entities!$A$5:$A$34,0))</f>
        <v>North Africa</v>
      </c>
      <c r="D277" s="12" t="s">
        <v>295</v>
      </c>
      <c r="E277" s="12" t="str">
        <f aca="false">INDEX('Risk Taxonomy'!$B$5:$B$24,MATCH(D277,'Risk Taxonomy'!$A$5:$A$24,0))</f>
        <v>Strategic, business model and ESG</v>
      </c>
      <c r="F277" s="7" t="str">
        <f aca="false">IF(D277="RC-04",IF(INDEX(Entities!$G$5:$G$34,MATCH(A277,Entities!$A$5:$A$34,0))="Y","Yes","N/A"),"Yes")</f>
        <v>Yes</v>
      </c>
      <c r="G277" s="24" t="n">
        <v>4</v>
      </c>
      <c r="H277" s="24" t="n">
        <v>3</v>
      </c>
      <c r="I277" s="24" t="n">
        <v>3</v>
      </c>
      <c r="J277" s="24" t="n">
        <v>3</v>
      </c>
      <c r="K277" s="24" t="n">
        <v>3</v>
      </c>
      <c r="L277" s="37" t="n">
        <f aca="false">IF(F277="N/A","",IF(COUNT(H277:K277)=0,"",IF(Config!$C$19="Highest dimension",MAX(H277:K277),ROUND(H277*Config!$C$20+I277*Config!$C$21+J277*Config!$C$22+K277*Config!$C$23,1))))</f>
        <v>3</v>
      </c>
      <c r="M277" s="38" t="n">
        <f aca="false">IF(OR(L277="",G277=""),"",G277*L277)</f>
        <v>12</v>
      </c>
      <c r="N277" s="31" t="n">
        <f aca="false">IF(M277="","",MATCH(M277,Config!$E$5:$E$9,1))</f>
        <v>3</v>
      </c>
      <c r="O277" s="7" t="str">
        <f aca="false">IF(F277="N/A","N/A",IF(N277="","Not assessed",INDEX(Config!$B$5:$B$9,N277)))</f>
        <v>Medium</v>
      </c>
      <c r="P277" s="32" t="n">
        <v>0</v>
      </c>
      <c r="Q277" s="8"/>
      <c r="R277" s="33"/>
      <c r="S277" s="34" t="n">
        <f aca="false">IF(N277="","",IF(AND(R277="Y",P277&lt;&gt;0),MAX(1,MIN(5,N277+MAX(-Config!$C$27,MIN(Config!$C$27,P277)))),N277))</f>
        <v>3</v>
      </c>
      <c r="T277" s="35" t="str">
        <f aca="false">IF(F277="N/A","N/A",IF(S277="","Not assessed",INDEX(Config!$B$5:$B$9,S277)))</f>
        <v>Medium</v>
      </c>
      <c r="U277" s="7" t="str">
        <f aca="false">IF(P277=0,"None",IF(R277="Y","Applied","Pending HO approval"))</f>
        <v>None</v>
      </c>
      <c r="V277" s="8"/>
    </row>
    <row r="278" customFormat="false" ht="15" hidden="false" customHeight="false" outlineLevel="0" collapsed="false">
      <c r="A278" s="26" t="str">
        <f aca="false">Entities!$A$26</f>
        <v>GB</v>
      </c>
      <c r="B278" s="12" t="str">
        <f aca="false">INDEX(Entities!$B$5:$B$34,MATCH(A278,Entities!$A$5:$A$34,0))</f>
        <v>Europe Arab Bank – United Kingdom</v>
      </c>
      <c r="C278" s="12" t="str">
        <f aca="false">INDEX(Entities!$D$5:$D$34,MATCH(A278,Entities!$A$5:$A$34,0))</f>
        <v>Europe</v>
      </c>
      <c r="D278" s="12" t="s">
        <v>257</v>
      </c>
      <c r="E278" s="12" t="str">
        <f aca="false">INDEX('Risk Taxonomy'!$B$5:$B$24,MATCH(D278,'Risk Taxonomy'!$A$5:$A$24,0))</f>
        <v>Regulatory compliance</v>
      </c>
      <c r="F278" s="7" t="str">
        <f aca="false">IF(D278="RC-04",IF(INDEX(Entities!$G$5:$G$34,MATCH(A278,Entities!$A$5:$A$34,0))="Y","Yes","N/A"),"Yes")</f>
        <v>Yes</v>
      </c>
      <c r="G278" s="24" t="n">
        <v>1</v>
      </c>
      <c r="H278" s="24" t="n">
        <v>1</v>
      </c>
      <c r="I278" s="24" t="n">
        <v>4</v>
      </c>
      <c r="J278" s="24" t="n">
        <v>2</v>
      </c>
      <c r="K278" s="24" t="n">
        <v>1</v>
      </c>
      <c r="L278" s="37" t="n">
        <f aca="false">IF(F278="N/A","",IF(COUNT(H278:K278)=0,"",IF(Config!$C$19="Highest dimension",MAX(H278:K278),ROUND(H278*Config!$C$20+I278*Config!$C$21+J278*Config!$C$22+K278*Config!$C$23,1))))</f>
        <v>4</v>
      </c>
      <c r="M278" s="38" t="n">
        <f aca="false">IF(OR(L278="",G278=""),"",G278*L278)</f>
        <v>4</v>
      </c>
      <c r="N278" s="31" t="n">
        <f aca="false">IF(M278="","",MATCH(M278,Config!$E$5:$E$9,1))</f>
        <v>1</v>
      </c>
      <c r="O278" s="7" t="str">
        <f aca="false">IF(F278="N/A","N/A",IF(N278="","Not assessed",INDEX(Config!$B$5:$B$9,N278)))</f>
        <v>Low</v>
      </c>
      <c r="P278" s="32" t="n">
        <v>0</v>
      </c>
      <c r="Q278" s="8"/>
      <c r="R278" s="33"/>
      <c r="S278" s="34" t="n">
        <f aca="false">IF(N278="","",IF(AND(R278="Y",P278&lt;&gt;0),MAX(1,MIN(5,N278+MAX(-Config!$C$27,MIN(Config!$C$27,P278)))),N278))</f>
        <v>1</v>
      </c>
      <c r="T278" s="35" t="str">
        <f aca="false">IF(F278="N/A","N/A",IF(S278="","Not assessed",INDEX(Config!$B$5:$B$9,S278)))</f>
        <v>Low</v>
      </c>
      <c r="U278" s="7" t="str">
        <f aca="false">IF(P278=0,"None",IF(R278="Y","Applied","Pending HO approval"))</f>
        <v>None</v>
      </c>
      <c r="V278" s="8"/>
    </row>
    <row r="279" customFormat="false" ht="15" hidden="false" customHeight="false" outlineLevel="0" collapsed="false">
      <c r="A279" s="26" t="str">
        <f aca="false">Entities!$A$26</f>
        <v>GB</v>
      </c>
      <c r="B279" s="12" t="str">
        <f aca="false">INDEX(Entities!$B$5:$B$34,MATCH(A279,Entities!$A$5:$A$34,0))</f>
        <v>Europe Arab Bank – United Kingdom</v>
      </c>
      <c r="C279" s="12" t="str">
        <f aca="false">INDEX(Entities!$D$5:$D$34,MATCH(A279,Entities!$A$5:$A$34,0))</f>
        <v>Europe</v>
      </c>
      <c r="D279" s="12" t="s">
        <v>261</v>
      </c>
      <c r="E279" s="12" t="str">
        <f aca="false">INDEX('Risk Taxonomy'!$B$5:$B$24,MATCH(D279,'Risk Taxonomy'!$A$5:$A$24,0))</f>
        <v>Conduct and consumer protection</v>
      </c>
      <c r="F279" s="7" t="str">
        <f aca="false">IF(D279="RC-04",IF(INDEX(Entities!$G$5:$G$34,MATCH(A279,Entities!$A$5:$A$34,0))="Y","Yes","N/A"),"Yes")</f>
        <v>Yes</v>
      </c>
      <c r="G279" s="24" t="n">
        <v>2</v>
      </c>
      <c r="H279" s="24" t="n">
        <v>2</v>
      </c>
      <c r="I279" s="24" t="n">
        <v>2</v>
      </c>
      <c r="J279" s="24" t="n">
        <v>3</v>
      </c>
      <c r="K279" s="24" t="n">
        <v>1</v>
      </c>
      <c r="L279" s="37" t="n">
        <f aca="false">IF(F279="N/A","",IF(COUNT(H279:K279)=0,"",IF(Config!$C$19="Highest dimension",MAX(H279:K279),ROUND(H279*Config!$C$20+I279*Config!$C$21+J279*Config!$C$22+K279*Config!$C$23,1))))</f>
        <v>3</v>
      </c>
      <c r="M279" s="38" t="n">
        <f aca="false">IF(OR(L279="",G279=""),"",G279*L279)</f>
        <v>6</v>
      </c>
      <c r="N279" s="31" t="n">
        <f aca="false">IF(M279="","",MATCH(M279,Config!$E$5:$E$9,1))</f>
        <v>2</v>
      </c>
      <c r="O279" s="7" t="str">
        <f aca="false">IF(F279="N/A","N/A",IF(N279="","Not assessed",INDEX(Config!$B$5:$B$9,N279)))</f>
        <v>Medium-Low</v>
      </c>
      <c r="P279" s="32" t="n">
        <v>0</v>
      </c>
      <c r="Q279" s="8"/>
      <c r="R279" s="33"/>
      <c r="S279" s="34" t="n">
        <f aca="false">IF(N279="","",IF(AND(R279="Y",P279&lt;&gt;0),MAX(1,MIN(5,N279+MAX(-Config!$C$27,MIN(Config!$C$27,P279)))),N279))</f>
        <v>2</v>
      </c>
      <c r="T279" s="35" t="str">
        <f aca="false">IF(F279="N/A","N/A",IF(S279="","Not assessed",INDEX(Config!$B$5:$B$9,S279)))</f>
        <v>Medium-Low</v>
      </c>
      <c r="U279" s="7" t="str">
        <f aca="false">IF(P279=0,"None",IF(R279="Y","Applied","Pending HO approval"))</f>
        <v>None</v>
      </c>
      <c r="V279" s="8"/>
    </row>
    <row r="280" customFormat="false" ht="15" hidden="false" customHeight="false" outlineLevel="0" collapsed="false">
      <c r="A280" s="26" t="str">
        <f aca="false">Entities!$A$26</f>
        <v>GB</v>
      </c>
      <c r="B280" s="12" t="str">
        <f aca="false">INDEX(Entities!$B$5:$B$34,MATCH(A280,Entities!$A$5:$A$34,0))</f>
        <v>Europe Arab Bank – United Kingdom</v>
      </c>
      <c r="C280" s="12" t="str">
        <f aca="false">INDEX(Entities!$D$5:$D$34,MATCH(A280,Entities!$A$5:$A$34,0))</f>
        <v>Europe</v>
      </c>
      <c r="D280" s="12" t="s">
        <v>263</v>
      </c>
      <c r="E280" s="12" t="str">
        <f aca="false">INDEX('Risk Taxonomy'!$B$5:$B$24,MATCH(D280,'Risk Taxonomy'!$A$5:$A$24,0))</f>
        <v>Data protection and privacy</v>
      </c>
      <c r="F280" s="7" t="str">
        <f aca="false">IF(D280="RC-04",IF(INDEX(Entities!$G$5:$G$34,MATCH(A280,Entities!$A$5:$A$34,0))="Y","Yes","N/A"),"Yes")</f>
        <v>Yes</v>
      </c>
      <c r="G280" s="24" t="n">
        <v>1</v>
      </c>
      <c r="H280" s="24" t="n">
        <v>1</v>
      </c>
      <c r="I280" s="24" t="n">
        <v>2</v>
      </c>
      <c r="J280" s="24" t="n">
        <v>2</v>
      </c>
      <c r="K280" s="24" t="n">
        <v>2</v>
      </c>
      <c r="L280" s="37" t="n">
        <f aca="false">IF(F280="N/A","",IF(COUNT(H280:K280)=0,"",IF(Config!$C$19="Highest dimension",MAX(H280:K280),ROUND(H280*Config!$C$20+I280*Config!$C$21+J280*Config!$C$22+K280*Config!$C$23,1))))</f>
        <v>2</v>
      </c>
      <c r="M280" s="38" t="n">
        <f aca="false">IF(OR(L280="",G280=""),"",G280*L280)</f>
        <v>2</v>
      </c>
      <c r="N280" s="31" t="n">
        <f aca="false">IF(M280="","",MATCH(M280,Config!$E$5:$E$9,1))</f>
        <v>1</v>
      </c>
      <c r="O280" s="7" t="str">
        <f aca="false">IF(F280="N/A","N/A",IF(N280="","Not assessed",INDEX(Config!$B$5:$B$9,N280)))</f>
        <v>Low</v>
      </c>
      <c r="P280" s="32" t="n">
        <v>0</v>
      </c>
      <c r="Q280" s="8"/>
      <c r="R280" s="33"/>
      <c r="S280" s="34" t="n">
        <f aca="false">IF(N280="","",IF(AND(R280="Y",P280&lt;&gt;0),MAX(1,MIN(5,N280+MAX(-Config!$C$27,MIN(Config!$C$27,P280)))),N280))</f>
        <v>1</v>
      </c>
      <c r="T280" s="35" t="str">
        <f aca="false">IF(F280="N/A","N/A",IF(S280="","Not assessed",INDEX(Config!$B$5:$B$9,S280)))</f>
        <v>Low</v>
      </c>
      <c r="U280" s="7" t="str">
        <f aca="false">IF(P280=0,"None",IF(R280="Y","Applied","Pending HO approval"))</f>
        <v>None</v>
      </c>
      <c r="V280" s="8"/>
    </row>
    <row r="281" customFormat="false" ht="15" hidden="false" customHeight="false" outlineLevel="0" collapsed="false">
      <c r="A281" s="26" t="str">
        <f aca="false">Entities!$A$26</f>
        <v>GB</v>
      </c>
      <c r="B281" s="12" t="str">
        <f aca="false">INDEX(Entities!$B$5:$B$34,MATCH(A281,Entities!$A$5:$A$34,0))</f>
        <v>Europe Arab Bank – United Kingdom</v>
      </c>
      <c r="C281" s="12" t="str">
        <f aca="false">INDEX(Entities!$D$5:$D$34,MATCH(A281,Entities!$A$5:$A$34,0))</f>
        <v>Europe</v>
      </c>
      <c r="D281" s="12" t="s">
        <v>266</v>
      </c>
      <c r="E281" s="12" t="str">
        <f aca="false">INDEX('Risk Taxonomy'!$B$5:$B$24,MATCH(D281,'Risk Taxonomy'!$A$5:$A$24,0))</f>
        <v>Shariah non-compliance</v>
      </c>
      <c r="F281" s="7" t="str">
        <f aca="false">IF(D281="RC-04",IF(INDEX(Entities!$G$5:$G$34,MATCH(A281,Entities!$A$5:$A$34,0))="Y","Yes","N/A"),"Yes")</f>
        <v>N/A</v>
      </c>
      <c r="G281" s="24"/>
      <c r="H281" s="24"/>
      <c r="I281" s="24"/>
      <c r="J281" s="24"/>
      <c r="K281" s="24"/>
      <c r="L281" s="37" t="str">
        <f aca="false">IF(F281="N/A","",IF(COUNT(H281:K281)=0,"",IF(Config!$C$19="Highest dimension",MAX(H281:K281),ROUND(H281*Config!$C$20+I281*Config!$C$21+J281*Config!$C$22+K281*Config!$C$23,1))))</f>
        <v/>
      </c>
      <c r="M281" s="38" t="str">
        <f aca="false">IF(OR(L281="",G281=""),"",G281*L281)</f>
        <v/>
      </c>
      <c r="N281" s="31" t="str">
        <f aca="false">IF(M281="","",MATCH(M281,Config!$E$5:$E$9,1))</f>
        <v/>
      </c>
      <c r="O281" s="7" t="str">
        <f aca="false">IF(F281="N/A","N/A",IF(N281="","Not assessed",INDEX(Config!$B$5:$B$9,N281)))</f>
        <v>N/A</v>
      </c>
      <c r="P281" s="32" t="n">
        <v>0</v>
      </c>
      <c r="Q281" s="8"/>
      <c r="R281" s="33"/>
      <c r="S281" s="34" t="str">
        <f aca="false">IF(N281="","",IF(AND(R281="Y",P281&lt;&gt;0),MAX(1,MIN(5,N281+MAX(-Config!$C$27,MIN(Config!$C$27,P281)))),N281))</f>
        <v/>
      </c>
      <c r="T281" s="35" t="str">
        <f aca="false">IF(F281="N/A","N/A",IF(S281="","Not assessed",INDEX(Config!$B$5:$B$9,S281)))</f>
        <v>N/A</v>
      </c>
      <c r="U281" s="7" t="str">
        <f aca="false">IF(P281=0,"None",IF(R281="Y","Applied","Pending HO approval"))</f>
        <v>None</v>
      </c>
      <c r="V281" s="8"/>
    </row>
    <row r="282" customFormat="false" ht="15" hidden="false" customHeight="false" outlineLevel="0" collapsed="false">
      <c r="A282" s="26" t="str">
        <f aca="false">Entities!$A$26</f>
        <v>GB</v>
      </c>
      <c r="B282" s="12" t="str">
        <f aca="false">INDEX(Entities!$B$5:$B$34,MATCH(A282,Entities!$A$5:$A$34,0))</f>
        <v>Europe Arab Bank – United Kingdom</v>
      </c>
      <c r="C282" s="12" t="str">
        <f aca="false">INDEX(Entities!$D$5:$D$34,MATCH(A282,Entities!$A$5:$A$34,0))</f>
        <v>Europe</v>
      </c>
      <c r="D282" s="12" t="s">
        <v>270</v>
      </c>
      <c r="E282" s="12" t="str">
        <f aca="false">INDEX('Risk Taxonomy'!$B$5:$B$24,MATCH(D282,'Risk Taxonomy'!$A$5:$A$24,0))</f>
        <v>Credit risk</v>
      </c>
      <c r="F282" s="7" t="str">
        <f aca="false">IF(D282="RC-04",IF(INDEX(Entities!$G$5:$G$34,MATCH(A282,Entities!$A$5:$A$34,0))="Y","Yes","N/A"),"Yes")</f>
        <v>Yes</v>
      </c>
      <c r="G282" s="24" t="n">
        <v>2</v>
      </c>
      <c r="H282" s="24" t="n">
        <v>1</v>
      </c>
      <c r="I282" s="24" t="n">
        <v>1</v>
      </c>
      <c r="J282" s="24" t="n">
        <v>3</v>
      </c>
      <c r="K282" s="24" t="n">
        <v>1</v>
      </c>
      <c r="L282" s="37" t="n">
        <f aca="false">IF(F282="N/A","",IF(COUNT(H282:K282)=0,"",IF(Config!$C$19="Highest dimension",MAX(H282:K282),ROUND(H282*Config!$C$20+I282*Config!$C$21+J282*Config!$C$22+K282*Config!$C$23,1))))</f>
        <v>3</v>
      </c>
      <c r="M282" s="38" t="n">
        <f aca="false">IF(OR(L282="",G282=""),"",G282*L282)</f>
        <v>6</v>
      </c>
      <c r="N282" s="31" t="n">
        <f aca="false">IF(M282="","",MATCH(M282,Config!$E$5:$E$9,1))</f>
        <v>2</v>
      </c>
      <c r="O282" s="7" t="str">
        <f aca="false">IF(F282="N/A","N/A",IF(N282="","Not assessed",INDEX(Config!$B$5:$B$9,N282)))</f>
        <v>Medium-Low</v>
      </c>
      <c r="P282" s="32" t="n">
        <v>0</v>
      </c>
      <c r="Q282" s="8"/>
      <c r="R282" s="33"/>
      <c r="S282" s="34" t="n">
        <f aca="false">IF(N282="","",IF(AND(R282="Y",P282&lt;&gt;0),MAX(1,MIN(5,N282+MAX(-Config!$C$27,MIN(Config!$C$27,P282)))),N282))</f>
        <v>2</v>
      </c>
      <c r="T282" s="35" t="str">
        <f aca="false">IF(F282="N/A","N/A",IF(S282="","Not assessed",INDEX(Config!$B$5:$B$9,S282)))</f>
        <v>Medium-Low</v>
      </c>
      <c r="U282" s="7" t="str">
        <f aca="false">IF(P282=0,"None",IF(R282="Y","Applied","Pending HO approval"))</f>
        <v>None</v>
      </c>
      <c r="V282" s="8"/>
    </row>
    <row r="283" customFormat="false" ht="15" hidden="false" customHeight="false" outlineLevel="0" collapsed="false">
      <c r="A283" s="26" t="str">
        <f aca="false">Entities!$A$26</f>
        <v>GB</v>
      </c>
      <c r="B283" s="12" t="str">
        <f aca="false">INDEX(Entities!$B$5:$B$34,MATCH(A283,Entities!$A$5:$A$34,0))</f>
        <v>Europe Arab Bank – United Kingdom</v>
      </c>
      <c r="C283" s="12" t="str">
        <f aca="false">INDEX(Entities!$D$5:$D$34,MATCH(A283,Entities!$A$5:$A$34,0))</f>
        <v>Europe</v>
      </c>
      <c r="D283" s="12" t="s">
        <v>275</v>
      </c>
      <c r="E283" s="12" t="str">
        <f aca="false">INDEX('Risk Taxonomy'!$B$5:$B$24,MATCH(D283,'Risk Taxonomy'!$A$5:$A$24,0))</f>
        <v>Market risk</v>
      </c>
      <c r="F283" s="7" t="str">
        <f aca="false">IF(D283="RC-04",IF(INDEX(Entities!$G$5:$G$34,MATCH(A283,Entities!$A$5:$A$34,0))="Y","Yes","N/A"),"Yes")</f>
        <v>Yes</v>
      </c>
      <c r="G283" s="24" t="n">
        <v>2</v>
      </c>
      <c r="H283" s="24" t="n">
        <v>2</v>
      </c>
      <c r="I283" s="24" t="n">
        <v>1</v>
      </c>
      <c r="J283" s="24" t="n">
        <v>2</v>
      </c>
      <c r="K283" s="24" t="n">
        <v>1</v>
      </c>
      <c r="L283" s="37" t="n">
        <f aca="false">IF(F283="N/A","",IF(COUNT(H283:K283)=0,"",IF(Config!$C$19="Highest dimension",MAX(H283:K283),ROUND(H283*Config!$C$20+I283*Config!$C$21+J283*Config!$C$22+K283*Config!$C$23,1))))</f>
        <v>2</v>
      </c>
      <c r="M283" s="38" t="n">
        <f aca="false">IF(OR(L283="",G283=""),"",G283*L283)</f>
        <v>4</v>
      </c>
      <c r="N283" s="31" t="n">
        <f aca="false">IF(M283="","",MATCH(M283,Config!$E$5:$E$9,1))</f>
        <v>1</v>
      </c>
      <c r="O283" s="7" t="str">
        <f aca="false">IF(F283="N/A","N/A",IF(N283="","Not assessed",INDEX(Config!$B$5:$B$9,N283)))</f>
        <v>Low</v>
      </c>
      <c r="P283" s="32" t="n">
        <v>0</v>
      </c>
      <c r="Q283" s="8"/>
      <c r="R283" s="33"/>
      <c r="S283" s="34" t="n">
        <f aca="false">IF(N283="","",IF(AND(R283="Y",P283&lt;&gt;0),MAX(1,MIN(5,N283+MAX(-Config!$C$27,MIN(Config!$C$27,P283)))),N283))</f>
        <v>1</v>
      </c>
      <c r="T283" s="35" t="str">
        <f aca="false">IF(F283="N/A","N/A",IF(S283="","Not assessed",INDEX(Config!$B$5:$B$9,S283)))</f>
        <v>Low</v>
      </c>
      <c r="U283" s="7" t="str">
        <f aca="false">IF(P283=0,"None",IF(R283="Y","Applied","Pending HO approval"))</f>
        <v>None</v>
      </c>
      <c r="V283" s="8"/>
    </row>
    <row r="284" customFormat="false" ht="15" hidden="false" customHeight="false" outlineLevel="0" collapsed="false">
      <c r="A284" s="26" t="str">
        <f aca="false">Entities!$A$26</f>
        <v>GB</v>
      </c>
      <c r="B284" s="12" t="str">
        <f aca="false">INDEX(Entities!$B$5:$B$34,MATCH(A284,Entities!$A$5:$A$34,0))</f>
        <v>Europe Arab Bank – United Kingdom</v>
      </c>
      <c r="C284" s="12" t="str">
        <f aca="false">INDEX(Entities!$D$5:$D$34,MATCH(A284,Entities!$A$5:$A$34,0))</f>
        <v>Europe</v>
      </c>
      <c r="D284" s="12" t="s">
        <v>277</v>
      </c>
      <c r="E284" s="12" t="str">
        <f aca="false">INDEX('Risk Taxonomy'!$B$5:$B$24,MATCH(D284,'Risk Taxonomy'!$A$5:$A$24,0))</f>
        <v>Liquidity and funding risk</v>
      </c>
      <c r="F284" s="7" t="str">
        <f aca="false">IF(D284="RC-04",IF(INDEX(Entities!$G$5:$G$34,MATCH(A284,Entities!$A$5:$A$34,0))="Y","Yes","N/A"),"Yes")</f>
        <v>Yes</v>
      </c>
      <c r="G284" s="24" t="n">
        <v>2</v>
      </c>
      <c r="H284" s="24" t="n">
        <v>1</v>
      </c>
      <c r="I284" s="24" t="n">
        <v>3</v>
      </c>
      <c r="J284" s="24" t="n">
        <v>1</v>
      </c>
      <c r="K284" s="24" t="n">
        <v>2</v>
      </c>
      <c r="L284" s="37" t="n">
        <f aca="false">IF(F284="N/A","",IF(COUNT(H284:K284)=0,"",IF(Config!$C$19="Highest dimension",MAX(H284:K284),ROUND(H284*Config!$C$20+I284*Config!$C$21+J284*Config!$C$22+K284*Config!$C$23,1))))</f>
        <v>3</v>
      </c>
      <c r="M284" s="38" t="n">
        <f aca="false">IF(OR(L284="",G284=""),"",G284*L284)</f>
        <v>6</v>
      </c>
      <c r="N284" s="31" t="n">
        <f aca="false">IF(M284="","",MATCH(M284,Config!$E$5:$E$9,1))</f>
        <v>2</v>
      </c>
      <c r="O284" s="7" t="str">
        <f aca="false">IF(F284="N/A","N/A",IF(N284="","Not assessed",INDEX(Config!$B$5:$B$9,N284)))</f>
        <v>Medium-Low</v>
      </c>
      <c r="P284" s="32" t="n">
        <v>0</v>
      </c>
      <c r="Q284" s="8"/>
      <c r="R284" s="33"/>
      <c r="S284" s="34" t="n">
        <f aca="false">IF(N284="","",IF(AND(R284="Y",P284&lt;&gt;0),MAX(1,MIN(5,N284+MAX(-Config!$C$27,MIN(Config!$C$27,P284)))),N284))</f>
        <v>2</v>
      </c>
      <c r="T284" s="35" t="str">
        <f aca="false">IF(F284="N/A","N/A",IF(S284="","Not assessed",INDEX(Config!$B$5:$B$9,S284)))</f>
        <v>Medium-Low</v>
      </c>
      <c r="U284" s="7" t="str">
        <f aca="false">IF(P284=0,"None",IF(R284="Y","Applied","Pending HO approval"))</f>
        <v>None</v>
      </c>
      <c r="V284" s="8"/>
    </row>
    <row r="285" customFormat="false" ht="15" hidden="false" customHeight="false" outlineLevel="0" collapsed="false">
      <c r="A285" s="26" t="str">
        <f aca="false">Entities!$A$26</f>
        <v>GB</v>
      </c>
      <c r="B285" s="12" t="str">
        <f aca="false">INDEX(Entities!$B$5:$B$34,MATCH(A285,Entities!$A$5:$A$34,0))</f>
        <v>Europe Arab Bank – United Kingdom</v>
      </c>
      <c r="C285" s="12" t="str">
        <f aca="false">INDEX(Entities!$D$5:$D$34,MATCH(A285,Entities!$A$5:$A$34,0))</f>
        <v>Europe</v>
      </c>
      <c r="D285" s="12" t="s">
        <v>280</v>
      </c>
      <c r="E285" s="12" t="str">
        <f aca="false">INDEX('Risk Taxonomy'!$B$5:$B$24,MATCH(D285,'Risk Taxonomy'!$A$5:$A$24,0))</f>
        <v>Operational risk</v>
      </c>
      <c r="F285" s="7" t="str">
        <f aca="false">IF(D285="RC-04",IF(INDEX(Entities!$G$5:$G$34,MATCH(A285,Entities!$A$5:$A$34,0))="Y","Yes","N/A"),"Yes")</f>
        <v>Yes</v>
      </c>
      <c r="G285" s="24" t="n">
        <v>3</v>
      </c>
      <c r="H285" s="24" t="n">
        <v>3</v>
      </c>
      <c r="I285" s="24" t="n">
        <v>2</v>
      </c>
      <c r="J285" s="24" t="n">
        <v>2</v>
      </c>
      <c r="K285" s="24" t="n">
        <v>3</v>
      </c>
      <c r="L285" s="37" t="n">
        <f aca="false">IF(F285="N/A","",IF(COUNT(H285:K285)=0,"",IF(Config!$C$19="Highest dimension",MAX(H285:K285),ROUND(H285*Config!$C$20+I285*Config!$C$21+J285*Config!$C$22+K285*Config!$C$23,1))))</f>
        <v>3</v>
      </c>
      <c r="M285" s="38" t="n">
        <f aca="false">IF(OR(L285="",G285=""),"",G285*L285)</f>
        <v>9</v>
      </c>
      <c r="N285" s="31" t="n">
        <f aca="false">IF(M285="","",MATCH(M285,Config!$E$5:$E$9,1))</f>
        <v>3</v>
      </c>
      <c r="O285" s="7" t="str">
        <f aca="false">IF(F285="N/A","N/A",IF(N285="","Not assessed",INDEX(Config!$B$5:$B$9,N285)))</f>
        <v>Medium</v>
      </c>
      <c r="P285" s="32" t="n">
        <v>0</v>
      </c>
      <c r="Q285" s="8"/>
      <c r="R285" s="33"/>
      <c r="S285" s="34" t="n">
        <f aca="false">IF(N285="","",IF(AND(R285="Y",P285&lt;&gt;0),MAX(1,MIN(5,N285+MAX(-Config!$C$27,MIN(Config!$C$27,P285)))),N285))</f>
        <v>3</v>
      </c>
      <c r="T285" s="35" t="str">
        <f aca="false">IF(F285="N/A","N/A",IF(S285="","Not assessed",INDEX(Config!$B$5:$B$9,S285)))</f>
        <v>Medium</v>
      </c>
      <c r="U285" s="7" t="str">
        <f aca="false">IF(P285=0,"None",IF(R285="Y","Applied","Pending HO approval"))</f>
        <v>None</v>
      </c>
      <c r="V285" s="8"/>
    </row>
    <row r="286" customFormat="false" ht="15" hidden="false" customHeight="false" outlineLevel="0" collapsed="false">
      <c r="A286" s="26" t="str">
        <f aca="false">Entities!$A$26</f>
        <v>GB</v>
      </c>
      <c r="B286" s="12" t="str">
        <f aca="false">INDEX(Entities!$B$5:$B$34,MATCH(A286,Entities!$A$5:$A$34,0))</f>
        <v>Europe Arab Bank – United Kingdom</v>
      </c>
      <c r="C286" s="12" t="str">
        <f aca="false">INDEX(Entities!$D$5:$D$34,MATCH(A286,Entities!$A$5:$A$34,0))</f>
        <v>Europe</v>
      </c>
      <c r="D286" s="12" t="s">
        <v>283</v>
      </c>
      <c r="E286" s="12" t="str">
        <f aca="false">INDEX('Risk Taxonomy'!$B$5:$B$24,MATCH(D286,'Risk Taxonomy'!$A$5:$A$24,0))</f>
        <v>Cyber, information security and technology</v>
      </c>
      <c r="F286" s="7" t="str">
        <f aca="false">IF(D286="RC-04",IF(INDEX(Entities!$G$5:$G$34,MATCH(A286,Entities!$A$5:$A$34,0))="Y","Yes","N/A"),"Yes")</f>
        <v>Yes</v>
      </c>
      <c r="G286" s="24" t="n">
        <v>2</v>
      </c>
      <c r="H286" s="24" t="n">
        <v>2</v>
      </c>
      <c r="I286" s="24" t="n">
        <v>2</v>
      </c>
      <c r="J286" s="24" t="n">
        <v>1</v>
      </c>
      <c r="K286" s="24" t="n">
        <v>2</v>
      </c>
      <c r="L286" s="37" t="n">
        <f aca="false">IF(F286="N/A","",IF(COUNT(H286:K286)=0,"",IF(Config!$C$19="Highest dimension",MAX(H286:K286),ROUND(H286*Config!$C$20+I286*Config!$C$21+J286*Config!$C$22+K286*Config!$C$23,1))))</f>
        <v>2</v>
      </c>
      <c r="M286" s="38" t="n">
        <f aca="false">IF(OR(L286="",G286=""),"",G286*L286)</f>
        <v>4</v>
      </c>
      <c r="N286" s="31" t="n">
        <f aca="false">IF(M286="","",MATCH(M286,Config!$E$5:$E$9,1))</f>
        <v>1</v>
      </c>
      <c r="O286" s="7" t="str">
        <f aca="false">IF(F286="N/A","N/A",IF(N286="","Not assessed",INDEX(Config!$B$5:$B$9,N286)))</f>
        <v>Low</v>
      </c>
      <c r="P286" s="32" t="n">
        <v>0</v>
      </c>
      <c r="Q286" s="8"/>
      <c r="R286" s="33"/>
      <c r="S286" s="34" t="n">
        <f aca="false">IF(N286="","",IF(AND(R286="Y",P286&lt;&gt;0),MAX(1,MIN(5,N286+MAX(-Config!$C$27,MIN(Config!$C$27,P286)))),N286))</f>
        <v>1</v>
      </c>
      <c r="T286" s="35" t="str">
        <f aca="false">IF(F286="N/A","N/A",IF(S286="","Not assessed",INDEX(Config!$B$5:$B$9,S286)))</f>
        <v>Low</v>
      </c>
      <c r="U286" s="7" t="str">
        <f aca="false">IF(P286=0,"None",IF(R286="Y","Applied","Pending HO approval"))</f>
        <v>None</v>
      </c>
      <c r="V286" s="8"/>
    </row>
    <row r="287" customFormat="false" ht="15" hidden="false" customHeight="false" outlineLevel="0" collapsed="false">
      <c r="A287" s="26" t="str">
        <f aca="false">Entities!$A$26</f>
        <v>GB</v>
      </c>
      <c r="B287" s="12" t="str">
        <f aca="false">INDEX(Entities!$B$5:$B$34,MATCH(A287,Entities!$A$5:$A$34,0))</f>
        <v>Europe Arab Bank – United Kingdom</v>
      </c>
      <c r="C287" s="12" t="str">
        <f aca="false">INDEX(Entities!$D$5:$D$34,MATCH(A287,Entities!$A$5:$A$34,0))</f>
        <v>Europe</v>
      </c>
      <c r="D287" s="12" t="s">
        <v>286</v>
      </c>
      <c r="E287" s="12" t="str">
        <f aca="false">INDEX('Risk Taxonomy'!$B$5:$B$24,MATCH(D287,'Risk Taxonomy'!$A$5:$A$24,0))</f>
        <v>Third-party and outsourcing</v>
      </c>
      <c r="F287" s="7" t="str">
        <f aca="false">IF(D287="RC-04",IF(INDEX(Entities!$G$5:$G$34,MATCH(A287,Entities!$A$5:$A$34,0))="Y","Yes","N/A"),"Yes")</f>
        <v>Yes</v>
      </c>
      <c r="G287" s="24" t="n">
        <v>2</v>
      </c>
      <c r="H287" s="24" t="n">
        <v>2</v>
      </c>
      <c r="I287" s="24" t="n">
        <v>2</v>
      </c>
      <c r="J287" s="24" t="n">
        <v>2</v>
      </c>
      <c r="K287" s="24" t="n">
        <v>4</v>
      </c>
      <c r="L287" s="37" t="n">
        <f aca="false">IF(F287="N/A","",IF(COUNT(H287:K287)=0,"",IF(Config!$C$19="Highest dimension",MAX(H287:K287),ROUND(H287*Config!$C$20+I287*Config!$C$21+J287*Config!$C$22+K287*Config!$C$23,1))))</f>
        <v>4</v>
      </c>
      <c r="M287" s="38" t="n">
        <f aca="false">IF(OR(L287="",G287=""),"",G287*L287)</f>
        <v>8</v>
      </c>
      <c r="N287" s="31" t="n">
        <f aca="false">IF(M287="","",MATCH(M287,Config!$E$5:$E$9,1))</f>
        <v>2</v>
      </c>
      <c r="O287" s="7" t="str">
        <f aca="false">IF(F287="N/A","N/A",IF(N287="","Not assessed",INDEX(Config!$B$5:$B$9,N287)))</f>
        <v>Medium-Low</v>
      </c>
      <c r="P287" s="32" t="n">
        <v>0</v>
      </c>
      <c r="Q287" s="8"/>
      <c r="R287" s="33"/>
      <c r="S287" s="34" t="n">
        <f aca="false">IF(N287="","",IF(AND(R287="Y",P287&lt;&gt;0),MAX(1,MIN(5,N287+MAX(-Config!$C$27,MIN(Config!$C$27,P287)))),N287))</f>
        <v>2</v>
      </c>
      <c r="T287" s="35" t="str">
        <f aca="false">IF(F287="N/A","N/A",IF(S287="","Not assessed",INDEX(Config!$B$5:$B$9,S287)))</f>
        <v>Medium-Low</v>
      </c>
      <c r="U287" s="7" t="str">
        <f aca="false">IF(P287=0,"None",IF(R287="Y","Applied","Pending HO approval"))</f>
        <v>None</v>
      </c>
      <c r="V287" s="8"/>
    </row>
    <row r="288" customFormat="false" ht="15" hidden="false" customHeight="false" outlineLevel="0" collapsed="false">
      <c r="A288" s="26" t="str">
        <f aca="false">Entities!$A$26</f>
        <v>GB</v>
      </c>
      <c r="B288" s="12" t="str">
        <f aca="false">INDEX(Entities!$B$5:$B$34,MATCH(A288,Entities!$A$5:$A$34,0))</f>
        <v>Europe Arab Bank – United Kingdom</v>
      </c>
      <c r="C288" s="12" t="str">
        <f aca="false">INDEX(Entities!$D$5:$D$34,MATCH(A288,Entities!$A$5:$A$34,0))</f>
        <v>Europe</v>
      </c>
      <c r="D288" s="12" t="s">
        <v>289</v>
      </c>
      <c r="E288" s="12" t="str">
        <f aca="false">INDEX('Risk Taxonomy'!$B$5:$B$24,MATCH(D288,'Risk Taxonomy'!$A$5:$A$24,0))</f>
        <v>Legal and litigation</v>
      </c>
      <c r="F288" s="7" t="str">
        <f aca="false">IF(D288="RC-04",IF(INDEX(Entities!$G$5:$G$34,MATCH(A288,Entities!$A$5:$A$34,0))="Y","Yes","N/A"),"Yes")</f>
        <v>Yes</v>
      </c>
      <c r="G288" s="24" t="n">
        <v>1</v>
      </c>
      <c r="H288" s="24" t="n">
        <v>2</v>
      </c>
      <c r="I288" s="24" t="n">
        <v>1</v>
      </c>
      <c r="J288" s="24" t="n">
        <v>3</v>
      </c>
      <c r="K288" s="24" t="n">
        <v>2</v>
      </c>
      <c r="L288" s="37" t="n">
        <f aca="false">IF(F288="N/A","",IF(COUNT(H288:K288)=0,"",IF(Config!$C$19="Highest dimension",MAX(H288:K288),ROUND(H288*Config!$C$20+I288*Config!$C$21+J288*Config!$C$22+K288*Config!$C$23,1))))</f>
        <v>3</v>
      </c>
      <c r="M288" s="38" t="n">
        <f aca="false">IF(OR(L288="",G288=""),"",G288*L288)</f>
        <v>3</v>
      </c>
      <c r="N288" s="31" t="n">
        <f aca="false">IF(M288="","",MATCH(M288,Config!$E$5:$E$9,1))</f>
        <v>1</v>
      </c>
      <c r="O288" s="7" t="str">
        <f aca="false">IF(F288="N/A","N/A",IF(N288="","Not assessed",INDEX(Config!$B$5:$B$9,N288)))</f>
        <v>Low</v>
      </c>
      <c r="P288" s="32" t="n">
        <v>0</v>
      </c>
      <c r="Q288" s="8"/>
      <c r="R288" s="33"/>
      <c r="S288" s="34" t="n">
        <f aca="false">IF(N288="","",IF(AND(R288="Y",P288&lt;&gt;0),MAX(1,MIN(5,N288+MAX(-Config!$C$27,MIN(Config!$C$27,P288)))),N288))</f>
        <v>1</v>
      </c>
      <c r="T288" s="35" t="str">
        <f aca="false">IF(F288="N/A","N/A",IF(S288="","Not assessed",INDEX(Config!$B$5:$B$9,S288)))</f>
        <v>Low</v>
      </c>
      <c r="U288" s="7" t="str">
        <f aca="false">IF(P288=0,"None",IF(R288="Y","Applied","Pending HO approval"))</f>
        <v>None</v>
      </c>
      <c r="V288" s="8"/>
    </row>
    <row r="289" customFormat="false" ht="15" hidden="false" customHeight="false" outlineLevel="0" collapsed="false">
      <c r="A289" s="26" t="str">
        <f aca="false">Entities!$A$26</f>
        <v>GB</v>
      </c>
      <c r="B289" s="12" t="str">
        <f aca="false">INDEX(Entities!$B$5:$B$34,MATCH(A289,Entities!$A$5:$A$34,0))</f>
        <v>Europe Arab Bank – United Kingdom</v>
      </c>
      <c r="C289" s="12" t="str">
        <f aca="false">INDEX(Entities!$D$5:$D$34,MATCH(A289,Entities!$A$5:$A$34,0))</f>
        <v>Europe</v>
      </c>
      <c r="D289" s="12" t="s">
        <v>292</v>
      </c>
      <c r="E289" s="12" t="str">
        <f aca="false">INDEX('Risk Taxonomy'!$B$5:$B$24,MATCH(D289,'Risk Taxonomy'!$A$5:$A$24,0))</f>
        <v>Reputational</v>
      </c>
      <c r="F289" s="7" t="str">
        <f aca="false">IF(D289="RC-04",IF(INDEX(Entities!$G$5:$G$34,MATCH(A289,Entities!$A$5:$A$34,0))="Y","Yes","N/A"),"Yes")</f>
        <v>Yes</v>
      </c>
      <c r="G289" s="24" t="n">
        <v>2</v>
      </c>
      <c r="H289" s="24" t="n">
        <v>1</v>
      </c>
      <c r="I289" s="24" t="n">
        <v>2</v>
      </c>
      <c r="J289" s="24" t="n">
        <v>3</v>
      </c>
      <c r="K289" s="24" t="n">
        <v>3</v>
      </c>
      <c r="L289" s="37" t="n">
        <f aca="false">IF(F289="N/A","",IF(COUNT(H289:K289)=0,"",IF(Config!$C$19="Highest dimension",MAX(H289:K289),ROUND(H289*Config!$C$20+I289*Config!$C$21+J289*Config!$C$22+K289*Config!$C$23,1))))</f>
        <v>3</v>
      </c>
      <c r="M289" s="38" t="n">
        <f aca="false">IF(OR(L289="",G289=""),"",G289*L289)</f>
        <v>6</v>
      </c>
      <c r="N289" s="31" t="n">
        <f aca="false">IF(M289="","",MATCH(M289,Config!$E$5:$E$9,1))</f>
        <v>2</v>
      </c>
      <c r="O289" s="7" t="str">
        <f aca="false">IF(F289="N/A","N/A",IF(N289="","Not assessed",INDEX(Config!$B$5:$B$9,N289)))</f>
        <v>Medium-Low</v>
      </c>
      <c r="P289" s="32" t="n">
        <v>0</v>
      </c>
      <c r="Q289" s="8"/>
      <c r="R289" s="33"/>
      <c r="S289" s="34" t="n">
        <f aca="false">IF(N289="","",IF(AND(R289="Y",P289&lt;&gt;0),MAX(1,MIN(5,N289+MAX(-Config!$C$27,MIN(Config!$C$27,P289)))),N289))</f>
        <v>2</v>
      </c>
      <c r="T289" s="35" t="str">
        <f aca="false">IF(F289="N/A","N/A",IF(S289="","Not assessed",INDEX(Config!$B$5:$B$9,S289)))</f>
        <v>Medium-Low</v>
      </c>
      <c r="U289" s="7" t="str">
        <f aca="false">IF(P289=0,"None",IF(R289="Y","Applied","Pending HO approval"))</f>
        <v>None</v>
      </c>
      <c r="V289" s="8"/>
    </row>
    <row r="290" customFormat="false" ht="15" hidden="false" customHeight="false" outlineLevel="0" collapsed="false">
      <c r="A290" s="26" t="str">
        <f aca="false">Entities!$A$26</f>
        <v>GB</v>
      </c>
      <c r="B290" s="12" t="str">
        <f aca="false">INDEX(Entities!$B$5:$B$34,MATCH(A290,Entities!$A$5:$A$34,0))</f>
        <v>Europe Arab Bank – United Kingdom</v>
      </c>
      <c r="C290" s="12" t="str">
        <f aca="false">INDEX(Entities!$D$5:$D$34,MATCH(A290,Entities!$A$5:$A$34,0))</f>
        <v>Europe</v>
      </c>
      <c r="D290" s="12" t="s">
        <v>295</v>
      </c>
      <c r="E290" s="12" t="str">
        <f aca="false">INDEX('Risk Taxonomy'!$B$5:$B$24,MATCH(D290,'Risk Taxonomy'!$A$5:$A$24,0))</f>
        <v>Strategic, business model and ESG</v>
      </c>
      <c r="F290" s="7" t="str">
        <f aca="false">IF(D290="RC-04",IF(INDEX(Entities!$G$5:$G$34,MATCH(A290,Entities!$A$5:$A$34,0))="Y","Yes","N/A"),"Yes")</f>
        <v>Yes</v>
      </c>
      <c r="G290" s="24" t="n">
        <v>2</v>
      </c>
      <c r="H290" s="24" t="n">
        <v>2</v>
      </c>
      <c r="I290" s="24" t="n">
        <v>1</v>
      </c>
      <c r="J290" s="24" t="n">
        <v>2</v>
      </c>
      <c r="K290" s="24" t="n">
        <v>2</v>
      </c>
      <c r="L290" s="37" t="n">
        <f aca="false">IF(F290="N/A","",IF(COUNT(H290:K290)=0,"",IF(Config!$C$19="Highest dimension",MAX(H290:K290),ROUND(H290*Config!$C$20+I290*Config!$C$21+J290*Config!$C$22+K290*Config!$C$23,1))))</f>
        <v>2</v>
      </c>
      <c r="M290" s="38" t="n">
        <f aca="false">IF(OR(L290="",G290=""),"",G290*L290)</f>
        <v>4</v>
      </c>
      <c r="N290" s="31" t="n">
        <f aca="false">IF(M290="","",MATCH(M290,Config!$E$5:$E$9,1))</f>
        <v>1</v>
      </c>
      <c r="O290" s="7" t="str">
        <f aca="false">IF(F290="N/A","N/A",IF(N290="","Not assessed",INDEX(Config!$B$5:$B$9,N290)))</f>
        <v>Low</v>
      </c>
      <c r="P290" s="32" t="n">
        <v>0</v>
      </c>
      <c r="Q290" s="8"/>
      <c r="R290" s="33"/>
      <c r="S290" s="34" t="n">
        <f aca="false">IF(N290="","",IF(AND(R290="Y",P290&lt;&gt;0),MAX(1,MIN(5,N290+MAX(-Config!$C$27,MIN(Config!$C$27,P290)))),N290))</f>
        <v>1</v>
      </c>
      <c r="T290" s="35" t="str">
        <f aca="false">IF(F290="N/A","N/A",IF(S290="","Not assessed",INDEX(Config!$B$5:$B$9,S290)))</f>
        <v>Low</v>
      </c>
      <c r="U290" s="7" t="str">
        <f aca="false">IF(P290=0,"None",IF(R290="Y","Applied","Pending HO approval"))</f>
        <v>None</v>
      </c>
      <c r="V290" s="8"/>
    </row>
    <row r="291" customFormat="false" ht="15" hidden="false" customHeight="false" outlineLevel="0" collapsed="false">
      <c r="A291" s="26" t="str">
        <f aca="false">Entities!$A$27</f>
        <v>FR</v>
      </c>
      <c r="B291" s="12" t="str">
        <f aca="false">INDEX(Entities!$B$5:$B$34,MATCH(A291,Entities!$A$5:$A$34,0))</f>
        <v>Arab Bank – France</v>
      </c>
      <c r="C291" s="12" t="str">
        <f aca="false">INDEX(Entities!$D$5:$D$34,MATCH(A291,Entities!$A$5:$A$34,0))</f>
        <v>Europe</v>
      </c>
      <c r="D291" s="12" t="s">
        <v>257</v>
      </c>
      <c r="E291" s="12" t="str">
        <f aca="false">INDEX('Risk Taxonomy'!$B$5:$B$24,MATCH(D291,'Risk Taxonomy'!$A$5:$A$24,0))</f>
        <v>Regulatory compliance</v>
      </c>
      <c r="F291" s="7" t="str">
        <f aca="false">IF(D291="RC-04",IF(INDEX(Entities!$G$5:$G$34,MATCH(A291,Entities!$A$5:$A$34,0))="Y","Yes","N/A"),"Yes")</f>
        <v>Yes</v>
      </c>
      <c r="G291" s="24" t="n">
        <v>2</v>
      </c>
      <c r="H291" s="24" t="n">
        <v>1</v>
      </c>
      <c r="I291" s="24" t="n">
        <v>1</v>
      </c>
      <c r="J291" s="24" t="n">
        <v>2</v>
      </c>
      <c r="K291" s="24" t="n">
        <v>2</v>
      </c>
      <c r="L291" s="37" t="n">
        <f aca="false">IF(F291="N/A","",IF(COUNT(H291:K291)=0,"",IF(Config!$C$19="Highest dimension",MAX(H291:K291),ROUND(H291*Config!$C$20+I291*Config!$C$21+J291*Config!$C$22+K291*Config!$C$23,1))))</f>
        <v>2</v>
      </c>
      <c r="M291" s="38" t="n">
        <f aca="false">IF(OR(L291="",G291=""),"",G291*L291)</f>
        <v>4</v>
      </c>
      <c r="N291" s="31" t="n">
        <f aca="false">IF(M291="","",MATCH(M291,Config!$E$5:$E$9,1))</f>
        <v>1</v>
      </c>
      <c r="O291" s="7" t="str">
        <f aca="false">IF(F291="N/A","N/A",IF(N291="","Not assessed",INDEX(Config!$B$5:$B$9,N291)))</f>
        <v>Low</v>
      </c>
      <c r="P291" s="32" t="n">
        <v>0</v>
      </c>
      <c r="Q291" s="8"/>
      <c r="R291" s="33"/>
      <c r="S291" s="34" t="n">
        <f aca="false">IF(N291="","",IF(AND(R291="Y",P291&lt;&gt;0),MAX(1,MIN(5,N291+MAX(-Config!$C$27,MIN(Config!$C$27,P291)))),N291))</f>
        <v>1</v>
      </c>
      <c r="T291" s="35" t="str">
        <f aca="false">IF(F291="N/A","N/A",IF(S291="","Not assessed",INDEX(Config!$B$5:$B$9,S291)))</f>
        <v>Low</v>
      </c>
      <c r="U291" s="7" t="str">
        <f aca="false">IF(P291=0,"None",IF(R291="Y","Applied","Pending HO approval"))</f>
        <v>None</v>
      </c>
      <c r="V291" s="8"/>
    </row>
    <row r="292" customFormat="false" ht="15" hidden="false" customHeight="false" outlineLevel="0" collapsed="false">
      <c r="A292" s="26" t="str">
        <f aca="false">Entities!$A$27</f>
        <v>FR</v>
      </c>
      <c r="B292" s="12" t="str">
        <f aca="false">INDEX(Entities!$B$5:$B$34,MATCH(A292,Entities!$A$5:$A$34,0))</f>
        <v>Arab Bank – France</v>
      </c>
      <c r="C292" s="12" t="str">
        <f aca="false">INDEX(Entities!$D$5:$D$34,MATCH(A292,Entities!$A$5:$A$34,0))</f>
        <v>Europe</v>
      </c>
      <c r="D292" s="12" t="s">
        <v>261</v>
      </c>
      <c r="E292" s="12" t="str">
        <f aca="false">INDEX('Risk Taxonomy'!$B$5:$B$24,MATCH(D292,'Risk Taxonomy'!$A$5:$A$24,0))</f>
        <v>Conduct and consumer protection</v>
      </c>
      <c r="F292" s="7" t="str">
        <f aca="false">IF(D292="RC-04",IF(INDEX(Entities!$G$5:$G$34,MATCH(A292,Entities!$A$5:$A$34,0))="Y","Yes","N/A"),"Yes")</f>
        <v>Yes</v>
      </c>
      <c r="G292" s="24" t="n">
        <v>1</v>
      </c>
      <c r="H292" s="24" t="n">
        <v>2</v>
      </c>
      <c r="I292" s="24" t="n">
        <v>2</v>
      </c>
      <c r="J292" s="24" t="n">
        <v>4</v>
      </c>
      <c r="K292" s="24" t="n">
        <v>2</v>
      </c>
      <c r="L292" s="37" t="n">
        <f aca="false">IF(F292="N/A","",IF(COUNT(H292:K292)=0,"",IF(Config!$C$19="Highest dimension",MAX(H292:K292),ROUND(H292*Config!$C$20+I292*Config!$C$21+J292*Config!$C$22+K292*Config!$C$23,1))))</f>
        <v>4</v>
      </c>
      <c r="M292" s="38" t="n">
        <f aca="false">IF(OR(L292="",G292=""),"",G292*L292)</f>
        <v>4</v>
      </c>
      <c r="N292" s="31" t="n">
        <f aca="false">IF(M292="","",MATCH(M292,Config!$E$5:$E$9,1))</f>
        <v>1</v>
      </c>
      <c r="O292" s="7" t="str">
        <f aca="false">IF(F292="N/A","N/A",IF(N292="","Not assessed",INDEX(Config!$B$5:$B$9,N292)))</f>
        <v>Low</v>
      </c>
      <c r="P292" s="32" t="n">
        <v>0</v>
      </c>
      <c r="Q292" s="8"/>
      <c r="R292" s="33"/>
      <c r="S292" s="34" t="n">
        <f aca="false">IF(N292="","",IF(AND(R292="Y",P292&lt;&gt;0),MAX(1,MIN(5,N292+MAX(-Config!$C$27,MIN(Config!$C$27,P292)))),N292))</f>
        <v>1</v>
      </c>
      <c r="T292" s="35" t="str">
        <f aca="false">IF(F292="N/A","N/A",IF(S292="","Not assessed",INDEX(Config!$B$5:$B$9,S292)))</f>
        <v>Low</v>
      </c>
      <c r="U292" s="7" t="str">
        <f aca="false">IF(P292=0,"None",IF(R292="Y","Applied","Pending HO approval"))</f>
        <v>None</v>
      </c>
      <c r="V292" s="8"/>
    </row>
    <row r="293" customFormat="false" ht="15" hidden="false" customHeight="false" outlineLevel="0" collapsed="false">
      <c r="A293" s="26" t="str">
        <f aca="false">Entities!$A$27</f>
        <v>FR</v>
      </c>
      <c r="B293" s="12" t="str">
        <f aca="false">INDEX(Entities!$B$5:$B$34,MATCH(A293,Entities!$A$5:$A$34,0))</f>
        <v>Arab Bank – France</v>
      </c>
      <c r="C293" s="12" t="str">
        <f aca="false">INDEX(Entities!$D$5:$D$34,MATCH(A293,Entities!$A$5:$A$34,0))</f>
        <v>Europe</v>
      </c>
      <c r="D293" s="12" t="s">
        <v>263</v>
      </c>
      <c r="E293" s="12" t="str">
        <f aca="false">INDEX('Risk Taxonomy'!$B$5:$B$24,MATCH(D293,'Risk Taxonomy'!$A$5:$A$24,0))</f>
        <v>Data protection and privacy</v>
      </c>
      <c r="F293" s="7" t="str">
        <f aca="false">IF(D293="RC-04",IF(INDEX(Entities!$G$5:$G$34,MATCH(A293,Entities!$A$5:$A$34,0))="Y","Yes","N/A"),"Yes")</f>
        <v>Yes</v>
      </c>
      <c r="G293" s="24" t="n">
        <v>2</v>
      </c>
      <c r="H293" s="24" t="n">
        <v>1</v>
      </c>
      <c r="I293" s="24" t="n">
        <v>2</v>
      </c>
      <c r="J293" s="24" t="n">
        <v>3</v>
      </c>
      <c r="K293" s="24" t="n">
        <v>3</v>
      </c>
      <c r="L293" s="37" t="n">
        <f aca="false">IF(F293="N/A","",IF(COUNT(H293:K293)=0,"",IF(Config!$C$19="Highest dimension",MAX(H293:K293),ROUND(H293*Config!$C$20+I293*Config!$C$21+J293*Config!$C$22+K293*Config!$C$23,1))))</f>
        <v>3</v>
      </c>
      <c r="M293" s="38" t="n">
        <f aca="false">IF(OR(L293="",G293=""),"",G293*L293)</f>
        <v>6</v>
      </c>
      <c r="N293" s="31" t="n">
        <f aca="false">IF(M293="","",MATCH(M293,Config!$E$5:$E$9,1))</f>
        <v>2</v>
      </c>
      <c r="O293" s="7" t="str">
        <f aca="false">IF(F293="N/A","N/A",IF(N293="","Not assessed",INDEX(Config!$B$5:$B$9,N293)))</f>
        <v>Medium-Low</v>
      </c>
      <c r="P293" s="32" t="n">
        <v>0</v>
      </c>
      <c r="Q293" s="8"/>
      <c r="R293" s="33"/>
      <c r="S293" s="34" t="n">
        <f aca="false">IF(N293="","",IF(AND(R293="Y",P293&lt;&gt;0),MAX(1,MIN(5,N293+MAX(-Config!$C$27,MIN(Config!$C$27,P293)))),N293))</f>
        <v>2</v>
      </c>
      <c r="T293" s="35" t="str">
        <f aca="false">IF(F293="N/A","N/A",IF(S293="","Not assessed",INDEX(Config!$B$5:$B$9,S293)))</f>
        <v>Medium-Low</v>
      </c>
      <c r="U293" s="7" t="str">
        <f aca="false">IF(P293=0,"None",IF(R293="Y","Applied","Pending HO approval"))</f>
        <v>None</v>
      </c>
      <c r="V293" s="8"/>
    </row>
    <row r="294" customFormat="false" ht="15" hidden="false" customHeight="false" outlineLevel="0" collapsed="false">
      <c r="A294" s="26" t="str">
        <f aca="false">Entities!$A$27</f>
        <v>FR</v>
      </c>
      <c r="B294" s="12" t="str">
        <f aca="false">INDEX(Entities!$B$5:$B$34,MATCH(A294,Entities!$A$5:$A$34,0))</f>
        <v>Arab Bank – France</v>
      </c>
      <c r="C294" s="12" t="str">
        <f aca="false">INDEX(Entities!$D$5:$D$34,MATCH(A294,Entities!$A$5:$A$34,0))</f>
        <v>Europe</v>
      </c>
      <c r="D294" s="12" t="s">
        <v>266</v>
      </c>
      <c r="E294" s="12" t="str">
        <f aca="false">INDEX('Risk Taxonomy'!$B$5:$B$24,MATCH(D294,'Risk Taxonomy'!$A$5:$A$24,0))</f>
        <v>Shariah non-compliance</v>
      </c>
      <c r="F294" s="7" t="str">
        <f aca="false">IF(D294="RC-04",IF(INDEX(Entities!$G$5:$G$34,MATCH(A294,Entities!$A$5:$A$34,0))="Y","Yes","N/A"),"Yes")</f>
        <v>N/A</v>
      </c>
      <c r="G294" s="24"/>
      <c r="H294" s="24"/>
      <c r="I294" s="24"/>
      <c r="J294" s="24"/>
      <c r="K294" s="24"/>
      <c r="L294" s="37" t="str">
        <f aca="false">IF(F294="N/A","",IF(COUNT(H294:K294)=0,"",IF(Config!$C$19="Highest dimension",MAX(H294:K294),ROUND(H294*Config!$C$20+I294*Config!$C$21+J294*Config!$C$22+K294*Config!$C$23,1))))</f>
        <v/>
      </c>
      <c r="M294" s="38" t="str">
        <f aca="false">IF(OR(L294="",G294=""),"",G294*L294)</f>
        <v/>
      </c>
      <c r="N294" s="31" t="str">
        <f aca="false">IF(M294="","",MATCH(M294,Config!$E$5:$E$9,1))</f>
        <v/>
      </c>
      <c r="O294" s="7" t="str">
        <f aca="false">IF(F294="N/A","N/A",IF(N294="","Not assessed",INDEX(Config!$B$5:$B$9,N294)))</f>
        <v>N/A</v>
      </c>
      <c r="P294" s="32" t="n">
        <v>0</v>
      </c>
      <c r="Q294" s="8"/>
      <c r="R294" s="33"/>
      <c r="S294" s="34" t="str">
        <f aca="false">IF(N294="","",IF(AND(R294="Y",P294&lt;&gt;0),MAX(1,MIN(5,N294+MAX(-Config!$C$27,MIN(Config!$C$27,P294)))),N294))</f>
        <v/>
      </c>
      <c r="T294" s="35" t="str">
        <f aca="false">IF(F294="N/A","N/A",IF(S294="","Not assessed",INDEX(Config!$B$5:$B$9,S294)))</f>
        <v>N/A</v>
      </c>
      <c r="U294" s="7" t="str">
        <f aca="false">IF(P294=0,"None",IF(R294="Y","Applied","Pending HO approval"))</f>
        <v>None</v>
      </c>
      <c r="V294" s="8"/>
    </row>
    <row r="295" customFormat="false" ht="15" hidden="false" customHeight="false" outlineLevel="0" collapsed="false">
      <c r="A295" s="26" t="str">
        <f aca="false">Entities!$A$27</f>
        <v>FR</v>
      </c>
      <c r="B295" s="12" t="str">
        <f aca="false">INDEX(Entities!$B$5:$B$34,MATCH(A295,Entities!$A$5:$A$34,0))</f>
        <v>Arab Bank – France</v>
      </c>
      <c r="C295" s="12" t="str">
        <f aca="false">INDEX(Entities!$D$5:$D$34,MATCH(A295,Entities!$A$5:$A$34,0))</f>
        <v>Europe</v>
      </c>
      <c r="D295" s="12" t="s">
        <v>270</v>
      </c>
      <c r="E295" s="12" t="str">
        <f aca="false">INDEX('Risk Taxonomy'!$B$5:$B$24,MATCH(D295,'Risk Taxonomy'!$A$5:$A$24,0))</f>
        <v>Credit risk</v>
      </c>
      <c r="F295" s="7" t="str">
        <f aca="false">IF(D295="RC-04",IF(INDEX(Entities!$G$5:$G$34,MATCH(A295,Entities!$A$5:$A$34,0))="Y","Yes","N/A"),"Yes")</f>
        <v>Yes</v>
      </c>
      <c r="G295" s="24" t="n">
        <v>2</v>
      </c>
      <c r="H295" s="24" t="n">
        <v>3</v>
      </c>
      <c r="I295" s="24" t="n">
        <v>2</v>
      </c>
      <c r="J295" s="24" t="n">
        <v>1</v>
      </c>
      <c r="K295" s="24" t="n">
        <v>4</v>
      </c>
      <c r="L295" s="37" t="n">
        <f aca="false">IF(F295="N/A","",IF(COUNT(H295:K295)=0,"",IF(Config!$C$19="Highest dimension",MAX(H295:K295),ROUND(H295*Config!$C$20+I295*Config!$C$21+J295*Config!$C$22+K295*Config!$C$23,1))))</f>
        <v>4</v>
      </c>
      <c r="M295" s="38" t="n">
        <f aca="false">IF(OR(L295="",G295=""),"",G295*L295)</f>
        <v>8</v>
      </c>
      <c r="N295" s="31" t="n">
        <f aca="false">IF(M295="","",MATCH(M295,Config!$E$5:$E$9,1))</f>
        <v>2</v>
      </c>
      <c r="O295" s="7" t="str">
        <f aca="false">IF(F295="N/A","N/A",IF(N295="","Not assessed",INDEX(Config!$B$5:$B$9,N295)))</f>
        <v>Medium-Low</v>
      </c>
      <c r="P295" s="32" t="n">
        <v>0</v>
      </c>
      <c r="Q295" s="8"/>
      <c r="R295" s="33"/>
      <c r="S295" s="34" t="n">
        <f aca="false">IF(N295="","",IF(AND(R295="Y",P295&lt;&gt;0),MAX(1,MIN(5,N295+MAX(-Config!$C$27,MIN(Config!$C$27,P295)))),N295))</f>
        <v>2</v>
      </c>
      <c r="T295" s="35" t="str">
        <f aca="false">IF(F295="N/A","N/A",IF(S295="","Not assessed",INDEX(Config!$B$5:$B$9,S295)))</f>
        <v>Medium-Low</v>
      </c>
      <c r="U295" s="7" t="str">
        <f aca="false">IF(P295=0,"None",IF(R295="Y","Applied","Pending HO approval"))</f>
        <v>None</v>
      </c>
      <c r="V295" s="8"/>
    </row>
    <row r="296" customFormat="false" ht="15" hidden="false" customHeight="false" outlineLevel="0" collapsed="false">
      <c r="A296" s="26" t="str">
        <f aca="false">Entities!$A$27</f>
        <v>FR</v>
      </c>
      <c r="B296" s="12" t="str">
        <f aca="false">INDEX(Entities!$B$5:$B$34,MATCH(A296,Entities!$A$5:$A$34,0))</f>
        <v>Arab Bank – France</v>
      </c>
      <c r="C296" s="12" t="str">
        <f aca="false">INDEX(Entities!$D$5:$D$34,MATCH(A296,Entities!$A$5:$A$34,0))</f>
        <v>Europe</v>
      </c>
      <c r="D296" s="12" t="s">
        <v>275</v>
      </c>
      <c r="E296" s="12" t="str">
        <f aca="false">INDEX('Risk Taxonomy'!$B$5:$B$24,MATCH(D296,'Risk Taxonomy'!$A$5:$A$24,0))</f>
        <v>Market risk</v>
      </c>
      <c r="F296" s="7" t="str">
        <f aca="false">IF(D296="RC-04",IF(INDEX(Entities!$G$5:$G$34,MATCH(A296,Entities!$A$5:$A$34,0))="Y","Yes","N/A"),"Yes")</f>
        <v>Yes</v>
      </c>
      <c r="G296" s="24" t="n">
        <v>1</v>
      </c>
      <c r="H296" s="24" t="n">
        <v>1</v>
      </c>
      <c r="I296" s="24" t="n">
        <v>3</v>
      </c>
      <c r="J296" s="24" t="n">
        <v>4</v>
      </c>
      <c r="K296" s="24" t="n">
        <v>1</v>
      </c>
      <c r="L296" s="37" t="n">
        <f aca="false">IF(F296="N/A","",IF(COUNT(H296:K296)=0,"",IF(Config!$C$19="Highest dimension",MAX(H296:K296),ROUND(H296*Config!$C$20+I296*Config!$C$21+J296*Config!$C$22+K296*Config!$C$23,1))))</f>
        <v>4</v>
      </c>
      <c r="M296" s="38" t="n">
        <f aca="false">IF(OR(L296="",G296=""),"",G296*L296)</f>
        <v>4</v>
      </c>
      <c r="N296" s="31" t="n">
        <f aca="false">IF(M296="","",MATCH(M296,Config!$E$5:$E$9,1))</f>
        <v>1</v>
      </c>
      <c r="O296" s="7" t="str">
        <f aca="false">IF(F296="N/A","N/A",IF(N296="","Not assessed",INDEX(Config!$B$5:$B$9,N296)))</f>
        <v>Low</v>
      </c>
      <c r="P296" s="32" t="n">
        <v>0</v>
      </c>
      <c r="Q296" s="8"/>
      <c r="R296" s="33"/>
      <c r="S296" s="34" t="n">
        <f aca="false">IF(N296="","",IF(AND(R296="Y",P296&lt;&gt;0),MAX(1,MIN(5,N296+MAX(-Config!$C$27,MIN(Config!$C$27,P296)))),N296))</f>
        <v>1</v>
      </c>
      <c r="T296" s="35" t="str">
        <f aca="false">IF(F296="N/A","N/A",IF(S296="","Not assessed",INDEX(Config!$B$5:$B$9,S296)))</f>
        <v>Low</v>
      </c>
      <c r="U296" s="7" t="str">
        <f aca="false">IF(P296=0,"None",IF(R296="Y","Applied","Pending HO approval"))</f>
        <v>None</v>
      </c>
      <c r="V296" s="8"/>
    </row>
    <row r="297" customFormat="false" ht="15" hidden="false" customHeight="false" outlineLevel="0" collapsed="false">
      <c r="A297" s="26" t="str">
        <f aca="false">Entities!$A$27</f>
        <v>FR</v>
      </c>
      <c r="B297" s="12" t="str">
        <f aca="false">INDEX(Entities!$B$5:$B$34,MATCH(A297,Entities!$A$5:$A$34,0))</f>
        <v>Arab Bank – France</v>
      </c>
      <c r="C297" s="12" t="str">
        <f aca="false">INDEX(Entities!$D$5:$D$34,MATCH(A297,Entities!$A$5:$A$34,0))</f>
        <v>Europe</v>
      </c>
      <c r="D297" s="12" t="s">
        <v>277</v>
      </c>
      <c r="E297" s="12" t="str">
        <f aca="false">INDEX('Risk Taxonomy'!$B$5:$B$24,MATCH(D297,'Risk Taxonomy'!$A$5:$A$24,0))</f>
        <v>Liquidity and funding risk</v>
      </c>
      <c r="F297" s="7" t="str">
        <f aca="false">IF(D297="RC-04",IF(INDEX(Entities!$G$5:$G$34,MATCH(A297,Entities!$A$5:$A$34,0))="Y","Yes","N/A"),"Yes")</f>
        <v>Yes</v>
      </c>
      <c r="G297" s="24" t="n">
        <v>2</v>
      </c>
      <c r="H297" s="24" t="n">
        <v>3</v>
      </c>
      <c r="I297" s="24" t="n">
        <v>2</v>
      </c>
      <c r="J297" s="24" t="n">
        <v>1</v>
      </c>
      <c r="K297" s="24" t="n">
        <v>2</v>
      </c>
      <c r="L297" s="37" t="n">
        <f aca="false">IF(F297="N/A","",IF(COUNT(H297:K297)=0,"",IF(Config!$C$19="Highest dimension",MAX(H297:K297),ROUND(H297*Config!$C$20+I297*Config!$C$21+J297*Config!$C$22+K297*Config!$C$23,1))))</f>
        <v>3</v>
      </c>
      <c r="M297" s="38" t="n">
        <f aca="false">IF(OR(L297="",G297=""),"",G297*L297)</f>
        <v>6</v>
      </c>
      <c r="N297" s="31" t="n">
        <f aca="false">IF(M297="","",MATCH(M297,Config!$E$5:$E$9,1))</f>
        <v>2</v>
      </c>
      <c r="O297" s="7" t="str">
        <f aca="false">IF(F297="N/A","N/A",IF(N297="","Not assessed",INDEX(Config!$B$5:$B$9,N297)))</f>
        <v>Medium-Low</v>
      </c>
      <c r="P297" s="32" t="n">
        <v>0</v>
      </c>
      <c r="Q297" s="8"/>
      <c r="R297" s="33"/>
      <c r="S297" s="34" t="n">
        <f aca="false">IF(N297="","",IF(AND(R297="Y",P297&lt;&gt;0),MAX(1,MIN(5,N297+MAX(-Config!$C$27,MIN(Config!$C$27,P297)))),N297))</f>
        <v>2</v>
      </c>
      <c r="T297" s="35" t="str">
        <f aca="false">IF(F297="N/A","N/A",IF(S297="","Not assessed",INDEX(Config!$B$5:$B$9,S297)))</f>
        <v>Medium-Low</v>
      </c>
      <c r="U297" s="7" t="str">
        <f aca="false">IF(P297=0,"None",IF(R297="Y","Applied","Pending HO approval"))</f>
        <v>None</v>
      </c>
      <c r="V297" s="8"/>
    </row>
    <row r="298" customFormat="false" ht="15" hidden="false" customHeight="false" outlineLevel="0" collapsed="false">
      <c r="A298" s="26" t="str">
        <f aca="false">Entities!$A$27</f>
        <v>FR</v>
      </c>
      <c r="B298" s="12" t="str">
        <f aca="false">INDEX(Entities!$B$5:$B$34,MATCH(A298,Entities!$A$5:$A$34,0))</f>
        <v>Arab Bank – France</v>
      </c>
      <c r="C298" s="12" t="str">
        <f aca="false">INDEX(Entities!$D$5:$D$34,MATCH(A298,Entities!$A$5:$A$34,0))</f>
        <v>Europe</v>
      </c>
      <c r="D298" s="12" t="s">
        <v>280</v>
      </c>
      <c r="E298" s="12" t="str">
        <f aca="false">INDEX('Risk Taxonomy'!$B$5:$B$24,MATCH(D298,'Risk Taxonomy'!$A$5:$A$24,0))</f>
        <v>Operational risk</v>
      </c>
      <c r="F298" s="7" t="str">
        <f aca="false">IF(D298="RC-04",IF(INDEX(Entities!$G$5:$G$34,MATCH(A298,Entities!$A$5:$A$34,0))="Y","Yes","N/A"),"Yes")</f>
        <v>Yes</v>
      </c>
      <c r="G298" s="24" t="n">
        <v>3</v>
      </c>
      <c r="H298" s="24" t="n">
        <v>2</v>
      </c>
      <c r="I298" s="24" t="n">
        <v>3</v>
      </c>
      <c r="J298" s="24" t="n">
        <v>2</v>
      </c>
      <c r="K298" s="24" t="n">
        <v>1</v>
      </c>
      <c r="L298" s="37" t="n">
        <f aca="false">IF(F298="N/A","",IF(COUNT(H298:K298)=0,"",IF(Config!$C$19="Highest dimension",MAX(H298:K298),ROUND(H298*Config!$C$20+I298*Config!$C$21+J298*Config!$C$22+K298*Config!$C$23,1))))</f>
        <v>3</v>
      </c>
      <c r="M298" s="38" t="n">
        <f aca="false">IF(OR(L298="",G298=""),"",G298*L298)</f>
        <v>9</v>
      </c>
      <c r="N298" s="31" t="n">
        <f aca="false">IF(M298="","",MATCH(M298,Config!$E$5:$E$9,1))</f>
        <v>3</v>
      </c>
      <c r="O298" s="7" t="str">
        <f aca="false">IF(F298="N/A","N/A",IF(N298="","Not assessed",INDEX(Config!$B$5:$B$9,N298)))</f>
        <v>Medium</v>
      </c>
      <c r="P298" s="32" t="n">
        <v>0</v>
      </c>
      <c r="Q298" s="8"/>
      <c r="R298" s="33"/>
      <c r="S298" s="34" t="n">
        <f aca="false">IF(N298="","",IF(AND(R298="Y",P298&lt;&gt;0),MAX(1,MIN(5,N298+MAX(-Config!$C$27,MIN(Config!$C$27,P298)))),N298))</f>
        <v>3</v>
      </c>
      <c r="T298" s="35" t="str">
        <f aca="false">IF(F298="N/A","N/A",IF(S298="","Not assessed",INDEX(Config!$B$5:$B$9,S298)))</f>
        <v>Medium</v>
      </c>
      <c r="U298" s="7" t="str">
        <f aca="false">IF(P298=0,"None",IF(R298="Y","Applied","Pending HO approval"))</f>
        <v>None</v>
      </c>
      <c r="V298" s="8"/>
    </row>
    <row r="299" customFormat="false" ht="15" hidden="false" customHeight="false" outlineLevel="0" collapsed="false">
      <c r="A299" s="26" t="str">
        <f aca="false">Entities!$A$27</f>
        <v>FR</v>
      </c>
      <c r="B299" s="12" t="str">
        <f aca="false">INDEX(Entities!$B$5:$B$34,MATCH(A299,Entities!$A$5:$A$34,0))</f>
        <v>Arab Bank – France</v>
      </c>
      <c r="C299" s="12" t="str">
        <f aca="false">INDEX(Entities!$D$5:$D$34,MATCH(A299,Entities!$A$5:$A$34,0))</f>
        <v>Europe</v>
      </c>
      <c r="D299" s="12" t="s">
        <v>283</v>
      </c>
      <c r="E299" s="12" t="str">
        <f aca="false">INDEX('Risk Taxonomy'!$B$5:$B$24,MATCH(D299,'Risk Taxonomy'!$A$5:$A$24,0))</f>
        <v>Cyber, information security and technology</v>
      </c>
      <c r="F299" s="7" t="str">
        <f aca="false">IF(D299="RC-04",IF(INDEX(Entities!$G$5:$G$34,MATCH(A299,Entities!$A$5:$A$34,0))="Y","Yes","N/A"),"Yes")</f>
        <v>Yes</v>
      </c>
      <c r="G299" s="24" t="n">
        <v>2</v>
      </c>
      <c r="H299" s="24" t="n">
        <v>3</v>
      </c>
      <c r="I299" s="24" t="n">
        <v>3</v>
      </c>
      <c r="J299" s="24" t="n">
        <v>2</v>
      </c>
      <c r="K299" s="24" t="n">
        <v>2</v>
      </c>
      <c r="L299" s="37" t="n">
        <f aca="false">IF(F299="N/A","",IF(COUNT(H299:K299)=0,"",IF(Config!$C$19="Highest dimension",MAX(H299:K299),ROUND(H299*Config!$C$20+I299*Config!$C$21+J299*Config!$C$22+K299*Config!$C$23,1))))</f>
        <v>3</v>
      </c>
      <c r="M299" s="38" t="n">
        <f aca="false">IF(OR(L299="",G299=""),"",G299*L299)</f>
        <v>6</v>
      </c>
      <c r="N299" s="31" t="n">
        <f aca="false">IF(M299="","",MATCH(M299,Config!$E$5:$E$9,1))</f>
        <v>2</v>
      </c>
      <c r="O299" s="7" t="str">
        <f aca="false">IF(F299="N/A","N/A",IF(N299="","Not assessed",INDEX(Config!$B$5:$B$9,N299)))</f>
        <v>Medium-Low</v>
      </c>
      <c r="P299" s="32" t="n">
        <v>0</v>
      </c>
      <c r="Q299" s="8"/>
      <c r="R299" s="33"/>
      <c r="S299" s="34" t="n">
        <f aca="false">IF(N299="","",IF(AND(R299="Y",P299&lt;&gt;0),MAX(1,MIN(5,N299+MAX(-Config!$C$27,MIN(Config!$C$27,P299)))),N299))</f>
        <v>2</v>
      </c>
      <c r="T299" s="35" t="str">
        <f aca="false">IF(F299="N/A","N/A",IF(S299="","Not assessed",INDEX(Config!$B$5:$B$9,S299)))</f>
        <v>Medium-Low</v>
      </c>
      <c r="U299" s="7" t="str">
        <f aca="false">IF(P299=0,"None",IF(R299="Y","Applied","Pending HO approval"))</f>
        <v>None</v>
      </c>
      <c r="V299" s="8"/>
    </row>
    <row r="300" customFormat="false" ht="15" hidden="false" customHeight="false" outlineLevel="0" collapsed="false">
      <c r="A300" s="26" t="str">
        <f aca="false">Entities!$A$27</f>
        <v>FR</v>
      </c>
      <c r="B300" s="12" t="str">
        <f aca="false">INDEX(Entities!$B$5:$B$34,MATCH(A300,Entities!$A$5:$A$34,0))</f>
        <v>Arab Bank – France</v>
      </c>
      <c r="C300" s="12" t="str">
        <f aca="false">INDEX(Entities!$D$5:$D$34,MATCH(A300,Entities!$A$5:$A$34,0))</f>
        <v>Europe</v>
      </c>
      <c r="D300" s="12" t="s">
        <v>286</v>
      </c>
      <c r="E300" s="12" t="str">
        <f aca="false">INDEX('Risk Taxonomy'!$B$5:$B$24,MATCH(D300,'Risk Taxonomy'!$A$5:$A$24,0))</f>
        <v>Third-party and outsourcing</v>
      </c>
      <c r="F300" s="7" t="str">
        <f aca="false">IF(D300="RC-04",IF(INDEX(Entities!$G$5:$G$34,MATCH(A300,Entities!$A$5:$A$34,0))="Y","Yes","N/A"),"Yes")</f>
        <v>Yes</v>
      </c>
      <c r="G300" s="24" t="n">
        <v>3</v>
      </c>
      <c r="H300" s="24" t="n">
        <v>2</v>
      </c>
      <c r="I300" s="24" t="n">
        <v>2</v>
      </c>
      <c r="J300" s="24" t="n">
        <v>2</v>
      </c>
      <c r="K300" s="24" t="n">
        <v>1</v>
      </c>
      <c r="L300" s="37" t="n">
        <f aca="false">IF(F300="N/A","",IF(COUNT(H300:K300)=0,"",IF(Config!$C$19="Highest dimension",MAX(H300:K300),ROUND(H300*Config!$C$20+I300*Config!$C$21+J300*Config!$C$22+K300*Config!$C$23,1))))</f>
        <v>2</v>
      </c>
      <c r="M300" s="38" t="n">
        <f aca="false">IF(OR(L300="",G300=""),"",G300*L300)</f>
        <v>6</v>
      </c>
      <c r="N300" s="31" t="n">
        <f aca="false">IF(M300="","",MATCH(M300,Config!$E$5:$E$9,1))</f>
        <v>2</v>
      </c>
      <c r="O300" s="7" t="str">
        <f aca="false">IF(F300="N/A","N/A",IF(N300="","Not assessed",INDEX(Config!$B$5:$B$9,N300)))</f>
        <v>Medium-Low</v>
      </c>
      <c r="P300" s="32" t="n">
        <v>0</v>
      </c>
      <c r="Q300" s="8"/>
      <c r="R300" s="33"/>
      <c r="S300" s="34" t="n">
        <f aca="false">IF(N300="","",IF(AND(R300="Y",P300&lt;&gt;0),MAX(1,MIN(5,N300+MAX(-Config!$C$27,MIN(Config!$C$27,P300)))),N300))</f>
        <v>2</v>
      </c>
      <c r="T300" s="35" t="str">
        <f aca="false">IF(F300="N/A","N/A",IF(S300="","Not assessed",INDEX(Config!$B$5:$B$9,S300)))</f>
        <v>Medium-Low</v>
      </c>
      <c r="U300" s="7" t="str">
        <f aca="false">IF(P300=0,"None",IF(R300="Y","Applied","Pending HO approval"))</f>
        <v>None</v>
      </c>
      <c r="V300" s="8"/>
    </row>
    <row r="301" customFormat="false" ht="15" hidden="false" customHeight="false" outlineLevel="0" collapsed="false">
      <c r="A301" s="26" t="str">
        <f aca="false">Entities!$A$27</f>
        <v>FR</v>
      </c>
      <c r="B301" s="12" t="str">
        <f aca="false">INDEX(Entities!$B$5:$B$34,MATCH(A301,Entities!$A$5:$A$34,0))</f>
        <v>Arab Bank – France</v>
      </c>
      <c r="C301" s="12" t="str">
        <f aca="false">INDEX(Entities!$D$5:$D$34,MATCH(A301,Entities!$A$5:$A$34,0))</f>
        <v>Europe</v>
      </c>
      <c r="D301" s="12" t="s">
        <v>289</v>
      </c>
      <c r="E301" s="12" t="str">
        <f aca="false">INDEX('Risk Taxonomy'!$B$5:$B$24,MATCH(D301,'Risk Taxonomy'!$A$5:$A$24,0))</f>
        <v>Legal and litigation</v>
      </c>
      <c r="F301" s="7" t="str">
        <f aca="false">IF(D301="RC-04",IF(INDEX(Entities!$G$5:$G$34,MATCH(A301,Entities!$A$5:$A$34,0))="Y","Yes","N/A"),"Yes")</f>
        <v>Yes</v>
      </c>
      <c r="G301" s="24" t="n">
        <v>1</v>
      </c>
      <c r="H301" s="24" t="n">
        <v>2</v>
      </c>
      <c r="I301" s="24" t="n">
        <v>2</v>
      </c>
      <c r="J301" s="24" t="n">
        <v>2</v>
      </c>
      <c r="K301" s="24" t="n">
        <v>2</v>
      </c>
      <c r="L301" s="37" t="n">
        <f aca="false">IF(F301="N/A","",IF(COUNT(H301:K301)=0,"",IF(Config!$C$19="Highest dimension",MAX(H301:K301),ROUND(H301*Config!$C$20+I301*Config!$C$21+J301*Config!$C$22+K301*Config!$C$23,1))))</f>
        <v>2</v>
      </c>
      <c r="M301" s="38" t="n">
        <f aca="false">IF(OR(L301="",G301=""),"",G301*L301)</f>
        <v>2</v>
      </c>
      <c r="N301" s="31" t="n">
        <f aca="false">IF(M301="","",MATCH(M301,Config!$E$5:$E$9,1))</f>
        <v>1</v>
      </c>
      <c r="O301" s="7" t="str">
        <f aca="false">IF(F301="N/A","N/A",IF(N301="","Not assessed",INDEX(Config!$B$5:$B$9,N301)))</f>
        <v>Low</v>
      </c>
      <c r="P301" s="32" t="n">
        <v>0</v>
      </c>
      <c r="Q301" s="8"/>
      <c r="R301" s="33"/>
      <c r="S301" s="34" t="n">
        <f aca="false">IF(N301="","",IF(AND(R301="Y",P301&lt;&gt;0),MAX(1,MIN(5,N301+MAX(-Config!$C$27,MIN(Config!$C$27,P301)))),N301))</f>
        <v>1</v>
      </c>
      <c r="T301" s="35" t="str">
        <f aca="false">IF(F301="N/A","N/A",IF(S301="","Not assessed",INDEX(Config!$B$5:$B$9,S301)))</f>
        <v>Low</v>
      </c>
      <c r="U301" s="7" t="str">
        <f aca="false">IF(P301=0,"None",IF(R301="Y","Applied","Pending HO approval"))</f>
        <v>None</v>
      </c>
      <c r="V301" s="8"/>
    </row>
    <row r="302" customFormat="false" ht="15" hidden="false" customHeight="false" outlineLevel="0" collapsed="false">
      <c r="A302" s="26" t="str">
        <f aca="false">Entities!$A$27</f>
        <v>FR</v>
      </c>
      <c r="B302" s="12" t="str">
        <f aca="false">INDEX(Entities!$B$5:$B$34,MATCH(A302,Entities!$A$5:$A$34,0))</f>
        <v>Arab Bank – France</v>
      </c>
      <c r="C302" s="12" t="str">
        <f aca="false">INDEX(Entities!$D$5:$D$34,MATCH(A302,Entities!$A$5:$A$34,0))</f>
        <v>Europe</v>
      </c>
      <c r="D302" s="12" t="s">
        <v>292</v>
      </c>
      <c r="E302" s="12" t="str">
        <f aca="false">INDEX('Risk Taxonomy'!$B$5:$B$24,MATCH(D302,'Risk Taxonomy'!$A$5:$A$24,0))</f>
        <v>Reputational</v>
      </c>
      <c r="F302" s="7" t="str">
        <f aca="false">IF(D302="RC-04",IF(INDEX(Entities!$G$5:$G$34,MATCH(A302,Entities!$A$5:$A$34,0))="Y","Yes","N/A"),"Yes")</f>
        <v>Yes</v>
      </c>
      <c r="G302" s="24" t="n">
        <v>2</v>
      </c>
      <c r="H302" s="24" t="n">
        <v>3</v>
      </c>
      <c r="I302" s="24" t="n">
        <v>2</v>
      </c>
      <c r="J302" s="24" t="n">
        <v>1</v>
      </c>
      <c r="K302" s="24" t="n">
        <v>2</v>
      </c>
      <c r="L302" s="37" t="n">
        <f aca="false">IF(F302="N/A","",IF(COUNT(H302:K302)=0,"",IF(Config!$C$19="Highest dimension",MAX(H302:K302),ROUND(H302*Config!$C$20+I302*Config!$C$21+J302*Config!$C$22+K302*Config!$C$23,1))))</f>
        <v>3</v>
      </c>
      <c r="M302" s="38" t="n">
        <f aca="false">IF(OR(L302="",G302=""),"",G302*L302)</f>
        <v>6</v>
      </c>
      <c r="N302" s="31" t="n">
        <f aca="false">IF(M302="","",MATCH(M302,Config!$E$5:$E$9,1))</f>
        <v>2</v>
      </c>
      <c r="O302" s="7" t="str">
        <f aca="false">IF(F302="N/A","N/A",IF(N302="","Not assessed",INDEX(Config!$B$5:$B$9,N302)))</f>
        <v>Medium-Low</v>
      </c>
      <c r="P302" s="32" t="n">
        <v>0</v>
      </c>
      <c r="Q302" s="8"/>
      <c r="R302" s="33"/>
      <c r="S302" s="34" t="n">
        <f aca="false">IF(N302="","",IF(AND(R302="Y",P302&lt;&gt;0),MAX(1,MIN(5,N302+MAX(-Config!$C$27,MIN(Config!$C$27,P302)))),N302))</f>
        <v>2</v>
      </c>
      <c r="T302" s="35" t="str">
        <f aca="false">IF(F302="N/A","N/A",IF(S302="","Not assessed",INDEX(Config!$B$5:$B$9,S302)))</f>
        <v>Medium-Low</v>
      </c>
      <c r="U302" s="7" t="str">
        <f aca="false">IF(P302=0,"None",IF(R302="Y","Applied","Pending HO approval"))</f>
        <v>None</v>
      </c>
      <c r="V302" s="8"/>
    </row>
    <row r="303" customFormat="false" ht="15" hidden="false" customHeight="false" outlineLevel="0" collapsed="false">
      <c r="A303" s="26" t="str">
        <f aca="false">Entities!$A$27</f>
        <v>FR</v>
      </c>
      <c r="B303" s="12" t="str">
        <f aca="false">INDEX(Entities!$B$5:$B$34,MATCH(A303,Entities!$A$5:$A$34,0))</f>
        <v>Arab Bank – France</v>
      </c>
      <c r="C303" s="12" t="str">
        <f aca="false">INDEX(Entities!$D$5:$D$34,MATCH(A303,Entities!$A$5:$A$34,0))</f>
        <v>Europe</v>
      </c>
      <c r="D303" s="12" t="s">
        <v>295</v>
      </c>
      <c r="E303" s="12" t="str">
        <f aca="false">INDEX('Risk Taxonomy'!$B$5:$B$24,MATCH(D303,'Risk Taxonomy'!$A$5:$A$24,0))</f>
        <v>Strategic, business model and ESG</v>
      </c>
      <c r="F303" s="7" t="str">
        <f aca="false">IF(D303="RC-04",IF(INDEX(Entities!$G$5:$G$34,MATCH(A303,Entities!$A$5:$A$34,0))="Y","Yes","N/A"),"Yes")</f>
        <v>Yes</v>
      </c>
      <c r="G303" s="24" t="n">
        <v>3</v>
      </c>
      <c r="H303" s="24" t="n">
        <v>2</v>
      </c>
      <c r="I303" s="24" t="n">
        <v>2</v>
      </c>
      <c r="J303" s="24" t="n">
        <v>2</v>
      </c>
      <c r="K303" s="24" t="n">
        <v>2</v>
      </c>
      <c r="L303" s="37" t="n">
        <f aca="false">IF(F303="N/A","",IF(COUNT(H303:K303)=0,"",IF(Config!$C$19="Highest dimension",MAX(H303:K303),ROUND(H303*Config!$C$20+I303*Config!$C$21+J303*Config!$C$22+K303*Config!$C$23,1))))</f>
        <v>2</v>
      </c>
      <c r="M303" s="38" t="n">
        <f aca="false">IF(OR(L303="",G303=""),"",G303*L303)</f>
        <v>6</v>
      </c>
      <c r="N303" s="31" t="n">
        <f aca="false">IF(M303="","",MATCH(M303,Config!$E$5:$E$9,1))</f>
        <v>2</v>
      </c>
      <c r="O303" s="7" t="str">
        <f aca="false">IF(F303="N/A","N/A",IF(N303="","Not assessed",INDEX(Config!$B$5:$B$9,N303)))</f>
        <v>Medium-Low</v>
      </c>
      <c r="P303" s="32" t="n">
        <v>0</v>
      </c>
      <c r="Q303" s="8"/>
      <c r="R303" s="33"/>
      <c r="S303" s="34" t="n">
        <f aca="false">IF(N303="","",IF(AND(R303="Y",P303&lt;&gt;0),MAX(1,MIN(5,N303+MAX(-Config!$C$27,MIN(Config!$C$27,P303)))),N303))</f>
        <v>2</v>
      </c>
      <c r="T303" s="35" t="str">
        <f aca="false">IF(F303="N/A","N/A",IF(S303="","Not assessed",INDEX(Config!$B$5:$B$9,S303)))</f>
        <v>Medium-Low</v>
      </c>
      <c r="U303" s="7" t="str">
        <f aca="false">IF(P303=0,"None",IF(R303="Y","Applied","Pending HO approval"))</f>
        <v>None</v>
      </c>
      <c r="V303" s="8"/>
    </row>
    <row r="304" customFormat="false" ht="15" hidden="false" customHeight="false" outlineLevel="0" collapsed="false">
      <c r="A304" s="26" t="str">
        <f aca="false">Entities!$A$28</f>
        <v>DE</v>
      </c>
      <c r="B304" s="12" t="str">
        <f aca="false">INDEX(Entities!$B$5:$B$34,MATCH(A304,Entities!$A$5:$A$34,0))</f>
        <v>Arab Bank – Germany</v>
      </c>
      <c r="C304" s="12" t="str">
        <f aca="false">INDEX(Entities!$D$5:$D$34,MATCH(A304,Entities!$A$5:$A$34,0))</f>
        <v>Europe</v>
      </c>
      <c r="D304" s="12" t="s">
        <v>257</v>
      </c>
      <c r="E304" s="12" t="str">
        <f aca="false">INDEX('Risk Taxonomy'!$B$5:$B$24,MATCH(D304,'Risk Taxonomy'!$A$5:$A$24,0))</f>
        <v>Regulatory compliance</v>
      </c>
      <c r="F304" s="7" t="str">
        <f aca="false">IF(D304="RC-04",IF(INDEX(Entities!$G$5:$G$34,MATCH(A304,Entities!$A$5:$A$34,0))="Y","Yes","N/A"),"Yes")</f>
        <v>Yes</v>
      </c>
      <c r="G304" s="24" t="n">
        <v>1</v>
      </c>
      <c r="H304" s="24" t="n">
        <v>3</v>
      </c>
      <c r="I304" s="24" t="n">
        <v>2</v>
      </c>
      <c r="J304" s="24" t="n">
        <v>1</v>
      </c>
      <c r="K304" s="24" t="n">
        <v>1</v>
      </c>
      <c r="L304" s="37" t="n">
        <f aca="false">IF(F304="N/A","",IF(COUNT(H304:K304)=0,"",IF(Config!$C$19="Highest dimension",MAX(H304:K304),ROUND(H304*Config!$C$20+I304*Config!$C$21+J304*Config!$C$22+K304*Config!$C$23,1))))</f>
        <v>3</v>
      </c>
      <c r="M304" s="38" t="n">
        <f aca="false">IF(OR(L304="",G304=""),"",G304*L304)</f>
        <v>3</v>
      </c>
      <c r="N304" s="31" t="n">
        <f aca="false">IF(M304="","",MATCH(M304,Config!$E$5:$E$9,1))</f>
        <v>1</v>
      </c>
      <c r="O304" s="7" t="str">
        <f aca="false">IF(F304="N/A","N/A",IF(N304="","Not assessed",INDEX(Config!$B$5:$B$9,N304)))</f>
        <v>Low</v>
      </c>
      <c r="P304" s="32" t="n">
        <v>0</v>
      </c>
      <c r="Q304" s="8"/>
      <c r="R304" s="33"/>
      <c r="S304" s="34" t="n">
        <f aca="false">IF(N304="","",IF(AND(R304="Y",P304&lt;&gt;0),MAX(1,MIN(5,N304+MAX(-Config!$C$27,MIN(Config!$C$27,P304)))),N304))</f>
        <v>1</v>
      </c>
      <c r="T304" s="35" t="str">
        <f aca="false">IF(F304="N/A","N/A",IF(S304="","Not assessed",INDEX(Config!$B$5:$B$9,S304)))</f>
        <v>Low</v>
      </c>
      <c r="U304" s="7" t="str">
        <f aca="false">IF(P304=0,"None",IF(R304="Y","Applied","Pending HO approval"))</f>
        <v>None</v>
      </c>
      <c r="V304" s="8"/>
    </row>
    <row r="305" customFormat="false" ht="15" hidden="false" customHeight="false" outlineLevel="0" collapsed="false">
      <c r="A305" s="26" t="str">
        <f aca="false">Entities!$A$28</f>
        <v>DE</v>
      </c>
      <c r="B305" s="12" t="str">
        <f aca="false">INDEX(Entities!$B$5:$B$34,MATCH(A305,Entities!$A$5:$A$34,0))</f>
        <v>Arab Bank – Germany</v>
      </c>
      <c r="C305" s="12" t="str">
        <f aca="false">INDEX(Entities!$D$5:$D$34,MATCH(A305,Entities!$A$5:$A$34,0))</f>
        <v>Europe</v>
      </c>
      <c r="D305" s="12" t="s">
        <v>261</v>
      </c>
      <c r="E305" s="12" t="str">
        <f aca="false">INDEX('Risk Taxonomy'!$B$5:$B$24,MATCH(D305,'Risk Taxonomy'!$A$5:$A$24,0))</f>
        <v>Conduct and consumer protection</v>
      </c>
      <c r="F305" s="7" t="str">
        <f aca="false">IF(D305="RC-04",IF(INDEX(Entities!$G$5:$G$34,MATCH(A305,Entities!$A$5:$A$34,0))="Y","Yes","N/A"),"Yes")</f>
        <v>Yes</v>
      </c>
      <c r="G305" s="24" t="n">
        <v>2</v>
      </c>
      <c r="H305" s="24" t="n">
        <v>1</v>
      </c>
      <c r="I305" s="24" t="n">
        <v>2</v>
      </c>
      <c r="J305" s="24" t="n">
        <v>2</v>
      </c>
      <c r="K305" s="24" t="n">
        <v>2</v>
      </c>
      <c r="L305" s="37" t="n">
        <f aca="false">IF(F305="N/A","",IF(COUNT(H305:K305)=0,"",IF(Config!$C$19="Highest dimension",MAX(H305:K305),ROUND(H305*Config!$C$20+I305*Config!$C$21+J305*Config!$C$22+K305*Config!$C$23,1))))</f>
        <v>2</v>
      </c>
      <c r="M305" s="38" t="n">
        <f aca="false">IF(OR(L305="",G305=""),"",G305*L305)</f>
        <v>4</v>
      </c>
      <c r="N305" s="31" t="n">
        <f aca="false">IF(M305="","",MATCH(M305,Config!$E$5:$E$9,1))</f>
        <v>1</v>
      </c>
      <c r="O305" s="7" t="str">
        <f aca="false">IF(F305="N/A","N/A",IF(N305="","Not assessed",INDEX(Config!$B$5:$B$9,N305)))</f>
        <v>Low</v>
      </c>
      <c r="P305" s="32" t="n">
        <v>0</v>
      </c>
      <c r="Q305" s="8"/>
      <c r="R305" s="33"/>
      <c r="S305" s="34" t="n">
        <f aca="false">IF(N305="","",IF(AND(R305="Y",P305&lt;&gt;0),MAX(1,MIN(5,N305+MAX(-Config!$C$27,MIN(Config!$C$27,P305)))),N305))</f>
        <v>1</v>
      </c>
      <c r="T305" s="35" t="str">
        <f aca="false">IF(F305="N/A","N/A",IF(S305="","Not assessed",INDEX(Config!$B$5:$B$9,S305)))</f>
        <v>Low</v>
      </c>
      <c r="U305" s="7" t="str">
        <f aca="false">IF(P305=0,"None",IF(R305="Y","Applied","Pending HO approval"))</f>
        <v>None</v>
      </c>
      <c r="V305" s="8"/>
    </row>
    <row r="306" customFormat="false" ht="15" hidden="false" customHeight="false" outlineLevel="0" collapsed="false">
      <c r="A306" s="26" t="str">
        <f aca="false">Entities!$A$28</f>
        <v>DE</v>
      </c>
      <c r="B306" s="12" t="str">
        <f aca="false">INDEX(Entities!$B$5:$B$34,MATCH(A306,Entities!$A$5:$A$34,0))</f>
        <v>Arab Bank – Germany</v>
      </c>
      <c r="C306" s="12" t="str">
        <f aca="false">INDEX(Entities!$D$5:$D$34,MATCH(A306,Entities!$A$5:$A$34,0))</f>
        <v>Europe</v>
      </c>
      <c r="D306" s="12" t="s">
        <v>263</v>
      </c>
      <c r="E306" s="12" t="str">
        <f aca="false">INDEX('Risk Taxonomy'!$B$5:$B$24,MATCH(D306,'Risk Taxonomy'!$A$5:$A$24,0))</f>
        <v>Data protection and privacy</v>
      </c>
      <c r="F306" s="7" t="str">
        <f aca="false">IF(D306="RC-04",IF(INDEX(Entities!$G$5:$G$34,MATCH(A306,Entities!$A$5:$A$34,0))="Y","Yes","N/A"),"Yes")</f>
        <v>Yes</v>
      </c>
      <c r="G306" s="24" t="n">
        <v>1</v>
      </c>
      <c r="H306" s="24" t="n">
        <v>1</v>
      </c>
      <c r="I306" s="24" t="n">
        <v>2</v>
      </c>
      <c r="J306" s="24" t="n">
        <v>1</v>
      </c>
      <c r="K306" s="24" t="n">
        <v>3</v>
      </c>
      <c r="L306" s="37" t="n">
        <f aca="false">IF(F306="N/A","",IF(COUNT(H306:K306)=0,"",IF(Config!$C$19="Highest dimension",MAX(H306:K306),ROUND(H306*Config!$C$20+I306*Config!$C$21+J306*Config!$C$22+K306*Config!$C$23,1))))</f>
        <v>3</v>
      </c>
      <c r="M306" s="38" t="n">
        <f aca="false">IF(OR(L306="",G306=""),"",G306*L306)</f>
        <v>3</v>
      </c>
      <c r="N306" s="31" t="n">
        <f aca="false">IF(M306="","",MATCH(M306,Config!$E$5:$E$9,1))</f>
        <v>1</v>
      </c>
      <c r="O306" s="7" t="str">
        <f aca="false">IF(F306="N/A","N/A",IF(N306="","Not assessed",INDEX(Config!$B$5:$B$9,N306)))</f>
        <v>Low</v>
      </c>
      <c r="P306" s="32" t="n">
        <v>0</v>
      </c>
      <c r="Q306" s="8"/>
      <c r="R306" s="33"/>
      <c r="S306" s="34" t="n">
        <f aca="false">IF(N306="","",IF(AND(R306="Y",P306&lt;&gt;0),MAX(1,MIN(5,N306+MAX(-Config!$C$27,MIN(Config!$C$27,P306)))),N306))</f>
        <v>1</v>
      </c>
      <c r="T306" s="35" t="str">
        <f aca="false">IF(F306="N/A","N/A",IF(S306="","Not assessed",INDEX(Config!$B$5:$B$9,S306)))</f>
        <v>Low</v>
      </c>
      <c r="U306" s="7" t="str">
        <f aca="false">IF(P306=0,"None",IF(R306="Y","Applied","Pending HO approval"))</f>
        <v>None</v>
      </c>
      <c r="V306" s="8"/>
    </row>
    <row r="307" customFormat="false" ht="15" hidden="false" customHeight="false" outlineLevel="0" collapsed="false">
      <c r="A307" s="26" t="str">
        <f aca="false">Entities!$A$28</f>
        <v>DE</v>
      </c>
      <c r="B307" s="12" t="str">
        <f aca="false">INDEX(Entities!$B$5:$B$34,MATCH(A307,Entities!$A$5:$A$34,0))</f>
        <v>Arab Bank – Germany</v>
      </c>
      <c r="C307" s="12" t="str">
        <f aca="false">INDEX(Entities!$D$5:$D$34,MATCH(A307,Entities!$A$5:$A$34,0))</f>
        <v>Europe</v>
      </c>
      <c r="D307" s="12" t="s">
        <v>266</v>
      </c>
      <c r="E307" s="12" t="str">
        <f aca="false">INDEX('Risk Taxonomy'!$B$5:$B$24,MATCH(D307,'Risk Taxonomy'!$A$5:$A$24,0))</f>
        <v>Shariah non-compliance</v>
      </c>
      <c r="F307" s="7" t="str">
        <f aca="false">IF(D307="RC-04",IF(INDEX(Entities!$G$5:$G$34,MATCH(A307,Entities!$A$5:$A$34,0))="Y","Yes","N/A"),"Yes")</f>
        <v>N/A</v>
      </c>
      <c r="G307" s="24"/>
      <c r="H307" s="24"/>
      <c r="I307" s="24"/>
      <c r="J307" s="24"/>
      <c r="K307" s="24"/>
      <c r="L307" s="37" t="str">
        <f aca="false">IF(F307="N/A","",IF(COUNT(H307:K307)=0,"",IF(Config!$C$19="Highest dimension",MAX(H307:K307),ROUND(H307*Config!$C$20+I307*Config!$C$21+J307*Config!$C$22+K307*Config!$C$23,1))))</f>
        <v/>
      </c>
      <c r="M307" s="38" t="str">
        <f aca="false">IF(OR(L307="",G307=""),"",G307*L307)</f>
        <v/>
      </c>
      <c r="N307" s="31" t="str">
        <f aca="false">IF(M307="","",MATCH(M307,Config!$E$5:$E$9,1))</f>
        <v/>
      </c>
      <c r="O307" s="7" t="str">
        <f aca="false">IF(F307="N/A","N/A",IF(N307="","Not assessed",INDEX(Config!$B$5:$B$9,N307)))</f>
        <v>N/A</v>
      </c>
      <c r="P307" s="32" t="n">
        <v>0</v>
      </c>
      <c r="Q307" s="8"/>
      <c r="R307" s="33"/>
      <c r="S307" s="34" t="str">
        <f aca="false">IF(N307="","",IF(AND(R307="Y",P307&lt;&gt;0),MAX(1,MIN(5,N307+MAX(-Config!$C$27,MIN(Config!$C$27,P307)))),N307))</f>
        <v/>
      </c>
      <c r="T307" s="35" t="str">
        <f aca="false">IF(F307="N/A","N/A",IF(S307="","Not assessed",INDEX(Config!$B$5:$B$9,S307)))</f>
        <v>N/A</v>
      </c>
      <c r="U307" s="7" t="str">
        <f aca="false">IF(P307=0,"None",IF(R307="Y","Applied","Pending HO approval"))</f>
        <v>None</v>
      </c>
      <c r="V307" s="8"/>
    </row>
    <row r="308" customFormat="false" ht="15" hidden="false" customHeight="false" outlineLevel="0" collapsed="false">
      <c r="A308" s="26" t="str">
        <f aca="false">Entities!$A$28</f>
        <v>DE</v>
      </c>
      <c r="B308" s="12" t="str">
        <f aca="false">INDEX(Entities!$B$5:$B$34,MATCH(A308,Entities!$A$5:$A$34,0))</f>
        <v>Arab Bank – Germany</v>
      </c>
      <c r="C308" s="12" t="str">
        <f aca="false">INDEX(Entities!$D$5:$D$34,MATCH(A308,Entities!$A$5:$A$34,0))</f>
        <v>Europe</v>
      </c>
      <c r="D308" s="12" t="s">
        <v>270</v>
      </c>
      <c r="E308" s="12" t="str">
        <f aca="false">INDEX('Risk Taxonomy'!$B$5:$B$24,MATCH(D308,'Risk Taxonomy'!$A$5:$A$24,0))</f>
        <v>Credit risk</v>
      </c>
      <c r="F308" s="7" t="str">
        <f aca="false">IF(D308="RC-04",IF(INDEX(Entities!$G$5:$G$34,MATCH(A308,Entities!$A$5:$A$34,0))="Y","Yes","N/A"),"Yes")</f>
        <v>Yes</v>
      </c>
      <c r="G308" s="24" t="n">
        <v>3</v>
      </c>
      <c r="H308" s="24" t="n">
        <v>2</v>
      </c>
      <c r="I308" s="24" t="n">
        <v>3</v>
      </c>
      <c r="J308" s="24" t="n">
        <v>1</v>
      </c>
      <c r="K308" s="24" t="n">
        <v>1</v>
      </c>
      <c r="L308" s="37" t="n">
        <f aca="false">IF(F308="N/A","",IF(COUNT(H308:K308)=0,"",IF(Config!$C$19="Highest dimension",MAX(H308:K308),ROUND(H308*Config!$C$20+I308*Config!$C$21+J308*Config!$C$22+K308*Config!$C$23,1))))</f>
        <v>3</v>
      </c>
      <c r="M308" s="38" t="n">
        <f aca="false">IF(OR(L308="",G308=""),"",G308*L308)</f>
        <v>9</v>
      </c>
      <c r="N308" s="31" t="n">
        <f aca="false">IF(M308="","",MATCH(M308,Config!$E$5:$E$9,1))</f>
        <v>3</v>
      </c>
      <c r="O308" s="7" t="str">
        <f aca="false">IF(F308="N/A","N/A",IF(N308="","Not assessed",INDEX(Config!$B$5:$B$9,N308)))</f>
        <v>Medium</v>
      </c>
      <c r="P308" s="32" t="n">
        <v>0</v>
      </c>
      <c r="Q308" s="8"/>
      <c r="R308" s="33"/>
      <c r="S308" s="34" t="n">
        <f aca="false">IF(N308="","",IF(AND(R308="Y",P308&lt;&gt;0),MAX(1,MIN(5,N308+MAX(-Config!$C$27,MIN(Config!$C$27,P308)))),N308))</f>
        <v>3</v>
      </c>
      <c r="T308" s="35" t="str">
        <f aca="false">IF(F308="N/A","N/A",IF(S308="","Not assessed",INDEX(Config!$B$5:$B$9,S308)))</f>
        <v>Medium</v>
      </c>
      <c r="U308" s="7" t="str">
        <f aca="false">IF(P308=0,"None",IF(R308="Y","Applied","Pending HO approval"))</f>
        <v>None</v>
      </c>
      <c r="V308" s="8"/>
    </row>
    <row r="309" customFormat="false" ht="15" hidden="false" customHeight="false" outlineLevel="0" collapsed="false">
      <c r="A309" s="26" t="str">
        <f aca="false">Entities!$A$28</f>
        <v>DE</v>
      </c>
      <c r="B309" s="12" t="str">
        <f aca="false">INDEX(Entities!$B$5:$B$34,MATCH(A309,Entities!$A$5:$A$34,0))</f>
        <v>Arab Bank – Germany</v>
      </c>
      <c r="C309" s="12" t="str">
        <f aca="false">INDEX(Entities!$D$5:$D$34,MATCH(A309,Entities!$A$5:$A$34,0))</f>
        <v>Europe</v>
      </c>
      <c r="D309" s="12" t="s">
        <v>275</v>
      </c>
      <c r="E309" s="12" t="str">
        <f aca="false">INDEX('Risk Taxonomy'!$B$5:$B$24,MATCH(D309,'Risk Taxonomy'!$A$5:$A$24,0))</f>
        <v>Market risk</v>
      </c>
      <c r="F309" s="7" t="str">
        <f aca="false">IF(D309="RC-04",IF(INDEX(Entities!$G$5:$G$34,MATCH(A309,Entities!$A$5:$A$34,0))="Y","Yes","N/A"),"Yes")</f>
        <v>Yes</v>
      </c>
      <c r="G309" s="24" t="n">
        <v>2</v>
      </c>
      <c r="H309" s="24" t="n">
        <v>2</v>
      </c>
      <c r="I309" s="24" t="n">
        <v>2</v>
      </c>
      <c r="J309" s="24" t="n">
        <v>3</v>
      </c>
      <c r="K309" s="24" t="n">
        <v>2</v>
      </c>
      <c r="L309" s="37" t="n">
        <f aca="false">IF(F309="N/A","",IF(COUNT(H309:K309)=0,"",IF(Config!$C$19="Highest dimension",MAX(H309:K309),ROUND(H309*Config!$C$20+I309*Config!$C$21+J309*Config!$C$22+K309*Config!$C$23,1))))</f>
        <v>3</v>
      </c>
      <c r="M309" s="38" t="n">
        <f aca="false">IF(OR(L309="",G309=""),"",G309*L309)</f>
        <v>6</v>
      </c>
      <c r="N309" s="31" t="n">
        <f aca="false">IF(M309="","",MATCH(M309,Config!$E$5:$E$9,1))</f>
        <v>2</v>
      </c>
      <c r="O309" s="7" t="str">
        <f aca="false">IF(F309="N/A","N/A",IF(N309="","Not assessed",INDEX(Config!$B$5:$B$9,N309)))</f>
        <v>Medium-Low</v>
      </c>
      <c r="P309" s="32" t="n">
        <v>0</v>
      </c>
      <c r="Q309" s="8"/>
      <c r="R309" s="33"/>
      <c r="S309" s="34" t="n">
        <f aca="false">IF(N309="","",IF(AND(R309="Y",P309&lt;&gt;0),MAX(1,MIN(5,N309+MAX(-Config!$C$27,MIN(Config!$C$27,P309)))),N309))</f>
        <v>2</v>
      </c>
      <c r="T309" s="35" t="str">
        <f aca="false">IF(F309="N/A","N/A",IF(S309="","Not assessed",INDEX(Config!$B$5:$B$9,S309)))</f>
        <v>Medium-Low</v>
      </c>
      <c r="U309" s="7" t="str">
        <f aca="false">IF(P309=0,"None",IF(R309="Y","Applied","Pending HO approval"))</f>
        <v>None</v>
      </c>
      <c r="V309" s="8"/>
    </row>
    <row r="310" customFormat="false" ht="15" hidden="false" customHeight="false" outlineLevel="0" collapsed="false">
      <c r="A310" s="26" t="str">
        <f aca="false">Entities!$A$28</f>
        <v>DE</v>
      </c>
      <c r="B310" s="12" t="str">
        <f aca="false">INDEX(Entities!$B$5:$B$34,MATCH(A310,Entities!$A$5:$A$34,0))</f>
        <v>Arab Bank – Germany</v>
      </c>
      <c r="C310" s="12" t="str">
        <f aca="false">INDEX(Entities!$D$5:$D$34,MATCH(A310,Entities!$A$5:$A$34,0))</f>
        <v>Europe</v>
      </c>
      <c r="D310" s="12" t="s">
        <v>277</v>
      </c>
      <c r="E310" s="12" t="str">
        <f aca="false">INDEX('Risk Taxonomy'!$B$5:$B$24,MATCH(D310,'Risk Taxonomy'!$A$5:$A$24,0))</f>
        <v>Liquidity and funding risk</v>
      </c>
      <c r="F310" s="7" t="str">
        <f aca="false">IF(D310="RC-04",IF(INDEX(Entities!$G$5:$G$34,MATCH(A310,Entities!$A$5:$A$34,0))="Y","Yes","N/A"),"Yes")</f>
        <v>Yes</v>
      </c>
      <c r="G310" s="24" t="n">
        <v>1</v>
      </c>
      <c r="H310" s="24" t="n">
        <v>2</v>
      </c>
      <c r="I310" s="24" t="n">
        <v>1</v>
      </c>
      <c r="J310" s="24" t="n">
        <v>1</v>
      </c>
      <c r="K310" s="24" t="n">
        <v>2</v>
      </c>
      <c r="L310" s="37" t="n">
        <f aca="false">IF(F310="N/A","",IF(COUNT(H310:K310)=0,"",IF(Config!$C$19="Highest dimension",MAX(H310:K310),ROUND(H310*Config!$C$20+I310*Config!$C$21+J310*Config!$C$22+K310*Config!$C$23,1))))</f>
        <v>2</v>
      </c>
      <c r="M310" s="38" t="n">
        <f aca="false">IF(OR(L310="",G310=""),"",G310*L310)</f>
        <v>2</v>
      </c>
      <c r="N310" s="31" t="n">
        <f aca="false">IF(M310="","",MATCH(M310,Config!$E$5:$E$9,1))</f>
        <v>1</v>
      </c>
      <c r="O310" s="7" t="str">
        <f aca="false">IF(F310="N/A","N/A",IF(N310="","Not assessed",INDEX(Config!$B$5:$B$9,N310)))</f>
        <v>Low</v>
      </c>
      <c r="P310" s="32" t="n">
        <v>0</v>
      </c>
      <c r="Q310" s="8"/>
      <c r="R310" s="33"/>
      <c r="S310" s="34" t="n">
        <f aca="false">IF(N310="","",IF(AND(R310="Y",P310&lt;&gt;0),MAX(1,MIN(5,N310+MAX(-Config!$C$27,MIN(Config!$C$27,P310)))),N310))</f>
        <v>1</v>
      </c>
      <c r="T310" s="35" t="str">
        <f aca="false">IF(F310="N/A","N/A",IF(S310="","Not assessed",INDEX(Config!$B$5:$B$9,S310)))</f>
        <v>Low</v>
      </c>
      <c r="U310" s="7" t="str">
        <f aca="false">IF(P310=0,"None",IF(R310="Y","Applied","Pending HO approval"))</f>
        <v>None</v>
      </c>
      <c r="V310" s="8"/>
    </row>
    <row r="311" customFormat="false" ht="15" hidden="false" customHeight="false" outlineLevel="0" collapsed="false">
      <c r="A311" s="26" t="str">
        <f aca="false">Entities!$A$28</f>
        <v>DE</v>
      </c>
      <c r="B311" s="12" t="str">
        <f aca="false">INDEX(Entities!$B$5:$B$34,MATCH(A311,Entities!$A$5:$A$34,0))</f>
        <v>Arab Bank – Germany</v>
      </c>
      <c r="C311" s="12" t="str">
        <f aca="false">INDEX(Entities!$D$5:$D$34,MATCH(A311,Entities!$A$5:$A$34,0))</f>
        <v>Europe</v>
      </c>
      <c r="D311" s="12" t="s">
        <v>280</v>
      </c>
      <c r="E311" s="12" t="str">
        <f aca="false">INDEX('Risk Taxonomy'!$B$5:$B$24,MATCH(D311,'Risk Taxonomy'!$A$5:$A$24,0))</f>
        <v>Operational risk</v>
      </c>
      <c r="F311" s="7" t="str">
        <f aca="false">IF(D311="RC-04",IF(INDEX(Entities!$G$5:$G$34,MATCH(A311,Entities!$A$5:$A$34,0))="Y","Yes","N/A"),"Yes")</f>
        <v>Yes</v>
      </c>
      <c r="G311" s="24" t="n">
        <v>2</v>
      </c>
      <c r="H311" s="24" t="n">
        <v>1</v>
      </c>
      <c r="I311" s="24" t="n">
        <v>3</v>
      </c>
      <c r="J311" s="24" t="n">
        <v>1</v>
      </c>
      <c r="K311" s="24" t="n">
        <v>1</v>
      </c>
      <c r="L311" s="37" t="n">
        <f aca="false">IF(F311="N/A","",IF(COUNT(H311:K311)=0,"",IF(Config!$C$19="Highest dimension",MAX(H311:K311),ROUND(H311*Config!$C$20+I311*Config!$C$21+J311*Config!$C$22+K311*Config!$C$23,1))))</f>
        <v>3</v>
      </c>
      <c r="M311" s="38" t="n">
        <f aca="false">IF(OR(L311="",G311=""),"",G311*L311)</f>
        <v>6</v>
      </c>
      <c r="N311" s="31" t="n">
        <f aca="false">IF(M311="","",MATCH(M311,Config!$E$5:$E$9,1))</f>
        <v>2</v>
      </c>
      <c r="O311" s="7" t="str">
        <f aca="false">IF(F311="N/A","N/A",IF(N311="","Not assessed",INDEX(Config!$B$5:$B$9,N311)))</f>
        <v>Medium-Low</v>
      </c>
      <c r="P311" s="32" t="n">
        <v>0</v>
      </c>
      <c r="Q311" s="8"/>
      <c r="R311" s="33"/>
      <c r="S311" s="34" t="n">
        <f aca="false">IF(N311="","",IF(AND(R311="Y",P311&lt;&gt;0),MAX(1,MIN(5,N311+MAX(-Config!$C$27,MIN(Config!$C$27,P311)))),N311))</f>
        <v>2</v>
      </c>
      <c r="T311" s="35" t="str">
        <f aca="false">IF(F311="N/A","N/A",IF(S311="","Not assessed",INDEX(Config!$B$5:$B$9,S311)))</f>
        <v>Medium-Low</v>
      </c>
      <c r="U311" s="7" t="str">
        <f aca="false">IF(P311=0,"None",IF(R311="Y","Applied","Pending HO approval"))</f>
        <v>None</v>
      </c>
      <c r="V311" s="8"/>
    </row>
    <row r="312" customFormat="false" ht="15" hidden="false" customHeight="false" outlineLevel="0" collapsed="false">
      <c r="A312" s="26" t="str">
        <f aca="false">Entities!$A$28</f>
        <v>DE</v>
      </c>
      <c r="B312" s="12" t="str">
        <f aca="false">INDEX(Entities!$B$5:$B$34,MATCH(A312,Entities!$A$5:$A$34,0))</f>
        <v>Arab Bank – Germany</v>
      </c>
      <c r="C312" s="12" t="str">
        <f aca="false">INDEX(Entities!$D$5:$D$34,MATCH(A312,Entities!$A$5:$A$34,0))</f>
        <v>Europe</v>
      </c>
      <c r="D312" s="12" t="s">
        <v>283</v>
      </c>
      <c r="E312" s="12" t="str">
        <f aca="false">INDEX('Risk Taxonomy'!$B$5:$B$24,MATCH(D312,'Risk Taxonomy'!$A$5:$A$24,0))</f>
        <v>Cyber, information security and technology</v>
      </c>
      <c r="F312" s="7" t="str">
        <f aca="false">IF(D312="RC-04",IF(INDEX(Entities!$G$5:$G$34,MATCH(A312,Entities!$A$5:$A$34,0))="Y","Yes","N/A"),"Yes")</f>
        <v>Yes</v>
      </c>
      <c r="G312" s="24" t="n">
        <v>2</v>
      </c>
      <c r="H312" s="24" t="n">
        <v>2</v>
      </c>
      <c r="I312" s="24" t="n">
        <v>1</v>
      </c>
      <c r="J312" s="24" t="n">
        <v>1</v>
      </c>
      <c r="K312" s="24" t="n">
        <v>2</v>
      </c>
      <c r="L312" s="37" t="n">
        <f aca="false">IF(F312="N/A","",IF(COUNT(H312:K312)=0,"",IF(Config!$C$19="Highest dimension",MAX(H312:K312),ROUND(H312*Config!$C$20+I312*Config!$C$21+J312*Config!$C$22+K312*Config!$C$23,1))))</f>
        <v>2</v>
      </c>
      <c r="M312" s="38" t="n">
        <f aca="false">IF(OR(L312="",G312=""),"",G312*L312)</f>
        <v>4</v>
      </c>
      <c r="N312" s="31" t="n">
        <f aca="false">IF(M312="","",MATCH(M312,Config!$E$5:$E$9,1))</f>
        <v>1</v>
      </c>
      <c r="O312" s="7" t="str">
        <f aca="false">IF(F312="N/A","N/A",IF(N312="","Not assessed",INDEX(Config!$B$5:$B$9,N312)))</f>
        <v>Low</v>
      </c>
      <c r="P312" s="32" t="n">
        <v>0</v>
      </c>
      <c r="Q312" s="8"/>
      <c r="R312" s="33"/>
      <c r="S312" s="34" t="n">
        <f aca="false">IF(N312="","",IF(AND(R312="Y",P312&lt;&gt;0),MAX(1,MIN(5,N312+MAX(-Config!$C$27,MIN(Config!$C$27,P312)))),N312))</f>
        <v>1</v>
      </c>
      <c r="T312" s="35" t="str">
        <f aca="false">IF(F312="N/A","N/A",IF(S312="","Not assessed",INDEX(Config!$B$5:$B$9,S312)))</f>
        <v>Low</v>
      </c>
      <c r="U312" s="7" t="str">
        <f aca="false">IF(P312=0,"None",IF(R312="Y","Applied","Pending HO approval"))</f>
        <v>None</v>
      </c>
      <c r="V312" s="8"/>
    </row>
    <row r="313" customFormat="false" ht="15" hidden="false" customHeight="false" outlineLevel="0" collapsed="false">
      <c r="A313" s="26" t="str">
        <f aca="false">Entities!$A$28</f>
        <v>DE</v>
      </c>
      <c r="B313" s="12" t="str">
        <f aca="false">INDEX(Entities!$B$5:$B$34,MATCH(A313,Entities!$A$5:$A$34,0))</f>
        <v>Arab Bank – Germany</v>
      </c>
      <c r="C313" s="12" t="str">
        <f aca="false">INDEX(Entities!$D$5:$D$34,MATCH(A313,Entities!$A$5:$A$34,0))</f>
        <v>Europe</v>
      </c>
      <c r="D313" s="12" t="s">
        <v>286</v>
      </c>
      <c r="E313" s="12" t="str">
        <f aca="false">INDEX('Risk Taxonomy'!$B$5:$B$24,MATCH(D313,'Risk Taxonomy'!$A$5:$A$24,0))</f>
        <v>Third-party and outsourcing</v>
      </c>
      <c r="F313" s="7" t="str">
        <f aca="false">IF(D313="RC-04",IF(INDEX(Entities!$G$5:$G$34,MATCH(A313,Entities!$A$5:$A$34,0))="Y","Yes","N/A"),"Yes")</f>
        <v>Yes</v>
      </c>
      <c r="G313" s="24" t="n">
        <v>2</v>
      </c>
      <c r="H313" s="24" t="n">
        <v>2</v>
      </c>
      <c r="I313" s="24" t="n">
        <v>2</v>
      </c>
      <c r="J313" s="24" t="n">
        <v>2</v>
      </c>
      <c r="K313" s="24" t="n">
        <v>2</v>
      </c>
      <c r="L313" s="37" t="n">
        <f aca="false">IF(F313="N/A","",IF(COUNT(H313:K313)=0,"",IF(Config!$C$19="Highest dimension",MAX(H313:K313),ROUND(H313*Config!$C$20+I313*Config!$C$21+J313*Config!$C$22+K313*Config!$C$23,1))))</f>
        <v>2</v>
      </c>
      <c r="M313" s="38" t="n">
        <f aca="false">IF(OR(L313="",G313=""),"",G313*L313)</f>
        <v>4</v>
      </c>
      <c r="N313" s="31" t="n">
        <f aca="false">IF(M313="","",MATCH(M313,Config!$E$5:$E$9,1))</f>
        <v>1</v>
      </c>
      <c r="O313" s="7" t="str">
        <f aca="false">IF(F313="N/A","N/A",IF(N313="","Not assessed",INDEX(Config!$B$5:$B$9,N313)))</f>
        <v>Low</v>
      </c>
      <c r="P313" s="32" t="n">
        <v>0</v>
      </c>
      <c r="Q313" s="8"/>
      <c r="R313" s="33"/>
      <c r="S313" s="34" t="n">
        <f aca="false">IF(N313="","",IF(AND(R313="Y",P313&lt;&gt;0),MAX(1,MIN(5,N313+MAX(-Config!$C$27,MIN(Config!$C$27,P313)))),N313))</f>
        <v>1</v>
      </c>
      <c r="T313" s="35" t="str">
        <f aca="false">IF(F313="N/A","N/A",IF(S313="","Not assessed",INDEX(Config!$B$5:$B$9,S313)))</f>
        <v>Low</v>
      </c>
      <c r="U313" s="7" t="str">
        <f aca="false">IF(P313=0,"None",IF(R313="Y","Applied","Pending HO approval"))</f>
        <v>None</v>
      </c>
      <c r="V313" s="8"/>
    </row>
    <row r="314" customFormat="false" ht="15" hidden="false" customHeight="false" outlineLevel="0" collapsed="false">
      <c r="A314" s="26" t="str">
        <f aca="false">Entities!$A$28</f>
        <v>DE</v>
      </c>
      <c r="B314" s="12" t="str">
        <f aca="false">INDEX(Entities!$B$5:$B$34,MATCH(A314,Entities!$A$5:$A$34,0))</f>
        <v>Arab Bank – Germany</v>
      </c>
      <c r="C314" s="12" t="str">
        <f aca="false">INDEX(Entities!$D$5:$D$34,MATCH(A314,Entities!$A$5:$A$34,0))</f>
        <v>Europe</v>
      </c>
      <c r="D314" s="12" t="s">
        <v>289</v>
      </c>
      <c r="E314" s="12" t="str">
        <f aca="false">INDEX('Risk Taxonomy'!$B$5:$B$24,MATCH(D314,'Risk Taxonomy'!$A$5:$A$24,0))</f>
        <v>Legal and litigation</v>
      </c>
      <c r="F314" s="7" t="str">
        <f aca="false">IF(D314="RC-04",IF(INDEX(Entities!$G$5:$G$34,MATCH(A314,Entities!$A$5:$A$34,0))="Y","Yes","N/A"),"Yes")</f>
        <v>Yes</v>
      </c>
      <c r="G314" s="24" t="n">
        <v>2</v>
      </c>
      <c r="H314" s="24" t="n">
        <v>3</v>
      </c>
      <c r="I314" s="24" t="n">
        <v>2</v>
      </c>
      <c r="J314" s="24" t="n">
        <v>3</v>
      </c>
      <c r="K314" s="24" t="n">
        <v>3</v>
      </c>
      <c r="L314" s="37" t="n">
        <f aca="false">IF(F314="N/A","",IF(COUNT(H314:K314)=0,"",IF(Config!$C$19="Highest dimension",MAX(H314:K314),ROUND(H314*Config!$C$20+I314*Config!$C$21+J314*Config!$C$22+K314*Config!$C$23,1))))</f>
        <v>3</v>
      </c>
      <c r="M314" s="38" t="n">
        <f aca="false">IF(OR(L314="",G314=""),"",G314*L314)</f>
        <v>6</v>
      </c>
      <c r="N314" s="31" t="n">
        <f aca="false">IF(M314="","",MATCH(M314,Config!$E$5:$E$9,1))</f>
        <v>2</v>
      </c>
      <c r="O314" s="7" t="str">
        <f aca="false">IF(F314="N/A","N/A",IF(N314="","Not assessed",INDEX(Config!$B$5:$B$9,N314)))</f>
        <v>Medium-Low</v>
      </c>
      <c r="P314" s="32" t="n">
        <v>0</v>
      </c>
      <c r="Q314" s="8"/>
      <c r="R314" s="33"/>
      <c r="S314" s="34" t="n">
        <f aca="false">IF(N314="","",IF(AND(R314="Y",P314&lt;&gt;0),MAX(1,MIN(5,N314+MAX(-Config!$C$27,MIN(Config!$C$27,P314)))),N314))</f>
        <v>2</v>
      </c>
      <c r="T314" s="35" t="str">
        <f aca="false">IF(F314="N/A","N/A",IF(S314="","Not assessed",INDEX(Config!$B$5:$B$9,S314)))</f>
        <v>Medium-Low</v>
      </c>
      <c r="U314" s="7" t="str">
        <f aca="false">IF(P314=0,"None",IF(R314="Y","Applied","Pending HO approval"))</f>
        <v>None</v>
      </c>
      <c r="V314" s="8"/>
    </row>
    <row r="315" customFormat="false" ht="15" hidden="false" customHeight="false" outlineLevel="0" collapsed="false">
      <c r="A315" s="26" t="str">
        <f aca="false">Entities!$A$28</f>
        <v>DE</v>
      </c>
      <c r="B315" s="12" t="str">
        <f aca="false">INDEX(Entities!$B$5:$B$34,MATCH(A315,Entities!$A$5:$A$34,0))</f>
        <v>Arab Bank – Germany</v>
      </c>
      <c r="C315" s="12" t="str">
        <f aca="false">INDEX(Entities!$D$5:$D$34,MATCH(A315,Entities!$A$5:$A$34,0))</f>
        <v>Europe</v>
      </c>
      <c r="D315" s="12" t="s">
        <v>292</v>
      </c>
      <c r="E315" s="12" t="str">
        <f aca="false">INDEX('Risk Taxonomy'!$B$5:$B$24,MATCH(D315,'Risk Taxonomy'!$A$5:$A$24,0))</f>
        <v>Reputational</v>
      </c>
      <c r="F315" s="7" t="str">
        <f aca="false">IF(D315="RC-04",IF(INDEX(Entities!$G$5:$G$34,MATCH(A315,Entities!$A$5:$A$34,0))="Y","Yes","N/A"),"Yes")</f>
        <v>Yes</v>
      </c>
      <c r="G315" s="24" t="n">
        <v>1</v>
      </c>
      <c r="H315" s="24" t="n">
        <v>3</v>
      </c>
      <c r="I315" s="24" t="n">
        <v>2</v>
      </c>
      <c r="J315" s="24" t="n">
        <v>1</v>
      </c>
      <c r="K315" s="24" t="n">
        <v>3</v>
      </c>
      <c r="L315" s="37" t="n">
        <f aca="false">IF(F315="N/A","",IF(COUNT(H315:K315)=0,"",IF(Config!$C$19="Highest dimension",MAX(H315:K315),ROUND(H315*Config!$C$20+I315*Config!$C$21+J315*Config!$C$22+K315*Config!$C$23,1))))</f>
        <v>3</v>
      </c>
      <c r="M315" s="38" t="n">
        <f aca="false">IF(OR(L315="",G315=""),"",G315*L315)</f>
        <v>3</v>
      </c>
      <c r="N315" s="31" t="n">
        <f aca="false">IF(M315="","",MATCH(M315,Config!$E$5:$E$9,1))</f>
        <v>1</v>
      </c>
      <c r="O315" s="7" t="str">
        <f aca="false">IF(F315="N/A","N/A",IF(N315="","Not assessed",INDEX(Config!$B$5:$B$9,N315)))</f>
        <v>Low</v>
      </c>
      <c r="P315" s="32" t="n">
        <v>0</v>
      </c>
      <c r="Q315" s="8"/>
      <c r="R315" s="33"/>
      <c r="S315" s="34" t="n">
        <f aca="false">IF(N315="","",IF(AND(R315="Y",P315&lt;&gt;0),MAX(1,MIN(5,N315+MAX(-Config!$C$27,MIN(Config!$C$27,P315)))),N315))</f>
        <v>1</v>
      </c>
      <c r="T315" s="35" t="str">
        <f aca="false">IF(F315="N/A","N/A",IF(S315="","Not assessed",INDEX(Config!$B$5:$B$9,S315)))</f>
        <v>Low</v>
      </c>
      <c r="U315" s="7" t="str">
        <f aca="false">IF(P315=0,"None",IF(R315="Y","Applied","Pending HO approval"))</f>
        <v>None</v>
      </c>
      <c r="V315" s="8"/>
    </row>
    <row r="316" customFormat="false" ht="15" hidden="false" customHeight="false" outlineLevel="0" collapsed="false">
      <c r="A316" s="26" t="str">
        <f aca="false">Entities!$A$28</f>
        <v>DE</v>
      </c>
      <c r="B316" s="12" t="str">
        <f aca="false">INDEX(Entities!$B$5:$B$34,MATCH(A316,Entities!$A$5:$A$34,0))</f>
        <v>Arab Bank – Germany</v>
      </c>
      <c r="C316" s="12" t="str">
        <f aca="false">INDEX(Entities!$D$5:$D$34,MATCH(A316,Entities!$A$5:$A$34,0))</f>
        <v>Europe</v>
      </c>
      <c r="D316" s="12" t="s">
        <v>295</v>
      </c>
      <c r="E316" s="12" t="str">
        <f aca="false">INDEX('Risk Taxonomy'!$B$5:$B$24,MATCH(D316,'Risk Taxonomy'!$A$5:$A$24,0))</f>
        <v>Strategic, business model and ESG</v>
      </c>
      <c r="F316" s="7" t="str">
        <f aca="false">IF(D316="RC-04",IF(INDEX(Entities!$G$5:$G$34,MATCH(A316,Entities!$A$5:$A$34,0))="Y","Yes","N/A"),"Yes")</f>
        <v>Yes</v>
      </c>
      <c r="G316" s="24" t="n">
        <v>1</v>
      </c>
      <c r="H316" s="24" t="n">
        <v>2</v>
      </c>
      <c r="I316" s="24" t="n">
        <v>2</v>
      </c>
      <c r="J316" s="24" t="n">
        <v>1</v>
      </c>
      <c r="K316" s="24" t="n">
        <v>3</v>
      </c>
      <c r="L316" s="37" t="n">
        <f aca="false">IF(F316="N/A","",IF(COUNT(H316:K316)=0,"",IF(Config!$C$19="Highest dimension",MAX(H316:K316),ROUND(H316*Config!$C$20+I316*Config!$C$21+J316*Config!$C$22+K316*Config!$C$23,1))))</f>
        <v>3</v>
      </c>
      <c r="M316" s="38" t="n">
        <f aca="false">IF(OR(L316="",G316=""),"",G316*L316)</f>
        <v>3</v>
      </c>
      <c r="N316" s="31" t="n">
        <f aca="false">IF(M316="","",MATCH(M316,Config!$E$5:$E$9,1))</f>
        <v>1</v>
      </c>
      <c r="O316" s="7" t="str">
        <f aca="false">IF(F316="N/A","N/A",IF(N316="","Not assessed",INDEX(Config!$B$5:$B$9,N316)))</f>
        <v>Low</v>
      </c>
      <c r="P316" s="32" t="n">
        <v>0</v>
      </c>
      <c r="Q316" s="8"/>
      <c r="R316" s="33"/>
      <c r="S316" s="34" t="n">
        <f aca="false">IF(N316="","",IF(AND(R316="Y",P316&lt;&gt;0),MAX(1,MIN(5,N316+MAX(-Config!$C$27,MIN(Config!$C$27,P316)))),N316))</f>
        <v>1</v>
      </c>
      <c r="T316" s="35" t="str">
        <f aca="false">IF(F316="N/A","N/A",IF(S316="","Not assessed",INDEX(Config!$B$5:$B$9,S316)))</f>
        <v>Low</v>
      </c>
      <c r="U316" s="7" t="str">
        <f aca="false">IF(P316=0,"None",IF(R316="Y","Applied","Pending HO approval"))</f>
        <v>None</v>
      </c>
      <c r="V316" s="8"/>
    </row>
    <row r="317" customFormat="false" ht="15" hidden="false" customHeight="false" outlineLevel="0" collapsed="false">
      <c r="A317" s="26" t="str">
        <f aca="false">Entities!$A$29</f>
        <v>IT</v>
      </c>
      <c r="B317" s="12" t="str">
        <f aca="false">INDEX(Entities!$B$5:$B$34,MATCH(A317,Entities!$A$5:$A$34,0))</f>
        <v>Arab Bank – Italy</v>
      </c>
      <c r="C317" s="12" t="str">
        <f aca="false">INDEX(Entities!$D$5:$D$34,MATCH(A317,Entities!$A$5:$A$34,0))</f>
        <v>Europe</v>
      </c>
      <c r="D317" s="12" t="s">
        <v>257</v>
      </c>
      <c r="E317" s="12" t="str">
        <f aca="false">INDEX('Risk Taxonomy'!$B$5:$B$24,MATCH(D317,'Risk Taxonomy'!$A$5:$A$24,0))</f>
        <v>Regulatory compliance</v>
      </c>
      <c r="F317" s="7" t="str">
        <f aca="false">IF(D317="RC-04",IF(INDEX(Entities!$G$5:$G$34,MATCH(A317,Entities!$A$5:$A$34,0))="Y","Yes","N/A"),"Yes")</f>
        <v>Yes</v>
      </c>
      <c r="G317" s="24" t="n">
        <v>3</v>
      </c>
      <c r="H317" s="24" t="n">
        <v>2</v>
      </c>
      <c r="I317" s="24" t="n">
        <v>4</v>
      </c>
      <c r="J317" s="24" t="n">
        <v>1</v>
      </c>
      <c r="K317" s="24" t="n">
        <v>2</v>
      </c>
      <c r="L317" s="37" t="n">
        <f aca="false">IF(F317="N/A","",IF(COUNT(H317:K317)=0,"",IF(Config!$C$19="Highest dimension",MAX(H317:K317),ROUND(H317*Config!$C$20+I317*Config!$C$21+J317*Config!$C$22+K317*Config!$C$23,1))))</f>
        <v>4</v>
      </c>
      <c r="M317" s="38" t="n">
        <f aca="false">IF(OR(L317="",G317=""),"",G317*L317)</f>
        <v>12</v>
      </c>
      <c r="N317" s="31" t="n">
        <f aca="false">IF(M317="","",MATCH(M317,Config!$E$5:$E$9,1))</f>
        <v>3</v>
      </c>
      <c r="O317" s="7" t="str">
        <f aca="false">IF(F317="N/A","N/A",IF(N317="","Not assessed",INDEX(Config!$B$5:$B$9,N317)))</f>
        <v>Medium</v>
      </c>
      <c r="P317" s="32" t="n">
        <v>0</v>
      </c>
      <c r="Q317" s="8"/>
      <c r="R317" s="33"/>
      <c r="S317" s="34" t="n">
        <f aca="false">IF(N317="","",IF(AND(R317="Y",P317&lt;&gt;0),MAX(1,MIN(5,N317+MAX(-Config!$C$27,MIN(Config!$C$27,P317)))),N317))</f>
        <v>3</v>
      </c>
      <c r="T317" s="35" t="str">
        <f aca="false">IF(F317="N/A","N/A",IF(S317="","Not assessed",INDEX(Config!$B$5:$B$9,S317)))</f>
        <v>Medium</v>
      </c>
      <c r="U317" s="7" t="str">
        <f aca="false">IF(P317=0,"None",IF(R317="Y","Applied","Pending HO approval"))</f>
        <v>None</v>
      </c>
      <c r="V317" s="8"/>
    </row>
    <row r="318" customFormat="false" ht="15" hidden="false" customHeight="false" outlineLevel="0" collapsed="false">
      <c r="A318" s="26" t="str">
        <f aca="false">Entities!$A$29</f>
        <v>IT</v>
      </c>
      <c r="B318" s="12" t="str">
        <f aca="false">INDEX(Entities!$B$5:$B$34,MATCH(A318,Entities!$A$5:$A$34,0))</f>
        <v>Arab Bank – Italy</v>
      </c>
      <c r="C318" s="12" t="str">
        <f aca="false">INDEX(Entities!$D$5:$D$34,MATCH(A318,Entities!$A$5:$A$34,0))</f>
        <v>Europe</v>
      </c>
      <c r="D318" s="12" t="s">
        <v>261</v>
      </c>
      <c r="E318" s="12" t="str">
        <f aca="false">INDEX('Risk Taxonomy'!$B$5:$B$24,MATCH(D318,'Risk Taxonomy'!$A$5:$A$24,0))</f>
        <v>Conduct and consumer protection</v>
      </c>
      <c r="F318" s="7" t="str">
        <f aca="false">IF(D318="RC-04",IF(INDEX(Entities!$G$5:$G$34,MATCH(A318,Entities!$A$5:$A$34,0))="Y","Yes","N/A"),"Yes")</f>
        <v>Yes</v>
      </c>
      <c r="G318" s="24" t="n">
        <v>2</v>
      </c>
      <c r="H318" s="24" t="n">
        <v>2</v>
      </c>
      <c r="I318" s="24" t="n">
        <v>2</v>
      </c>
      <c r="J318" s="24" t="n">
        <v>1</v>
      </c>
      <c r="K318" s="24" t="n">
        <v>1</v>
      </c>
      <c r="L318" s="37" t="n">
        <f aca="false">IF(F318="N/A","",IF(COUNT(H318:K318)=0,"",IF(Config!$C$19="Highest dimension",MAX(H318:K318),ROUND(H318*Config!$C$20+I318*Config!$C$21+J318*Config!$C$22+K318*Config!$C$23,1))))</f>
        <v>2</v>
      </c>
      <c r="M318" s="38" t="n">
        <f aca="false">IF(OR(L318="",G318=""),"",G318*L318)</f>
        <v>4</v>
      </c>
      <c r="N318" s="31" t="n">
        <f aca="false">IF(M318="","",MATCH(M318,Config!$E$5:$E$9,1))</f>
        <v>1</v>
      </c>
      <c r="O318" s="7" t="str">
        <f aca="false">IF(F318="N/A","N/A",IF(N318="","Not assessed",INDEX(Config!$B$5:$B$9,N318)))</f>
        <v>Low</v>
      </c>
      <c r="P318" s="32" t="n">
        <v>0</v>
      </c>
      <c r="Q318" s="8"/>
      <c r="R318" s="33"/>
      <c r="S318" s="34" t="n">
        <f aca="false">IF(N318="","",IF(AND(R318="Y",P318&lt;&gt;0),MAX(1,MIN(5,N318+MAX(-Config!$C$27,MIN(Config!$C$27,P318)))),N318))</f>
        <v>1</v>
      </c>
      <c r="T318" s="35" t="str">
        <f aca="false">IF(F318="N/A","N/A",IF(S318="","Not assessed",INDEX(Config!$B$5:$B$9,S318)))</f>
        <v>Low</v>
      </c>
      <c r="U318" s="7" t="str">
        <f aca="false">IF(P318=0,"None",IF(R318="Y","Applied","Pending HO approval"))</f>
        <v>None</v>
      </c>
      <c r="V318" s="8"/>
    </row>
    <row r="319" customFormat="false" ht="15" hidden="false" customHeight="false" outlineLevel="0" collapsed="false">
      <c r="A319" s="26" t="str">
        <f aca="false">Entities!$A$29</f>
        <v>IT</v>
      </c>
      <c r="B319" s="12" t="str">
        <f aca="false">INDEX(Entities!$B$5:$B$34,MATCH(A319,Entities!$A$5:$A$34,0))</f>
        <v>Arab Bank – Italy</v>
      </c>
      <c r="C319" s="12" t="str">
        <f aca="false">INDEX(Entities!$D$5:$D$34,MATCH(A319,Entities!$A$5:$A$34,0))</f>
        <v>Europe</v>
      </c>
      <c r="D319" s="12" t="s">
        <v>263</v>
      </c>
      <c r="E319" s="12" t="str">
        <f aca="false">INDEX('Risk Taxonomy'!$B$5:$B$24,MATCH(D319,'Risk Taxonomy'!$A$5:$A$24,0))</f>
        <v>Data protection and privacy</v>
      </c>
      <c r="F319" s="7" t="str">
        <f aca="false">IF(D319="RC-04",IF(INDEX(Entities!$G$5:$G$34,MATCH(A319,Entities!$A$5:$A$34,0))="Y","Yes","N/A"),"Yes")</f>
        <v>Yes</v>
      </c>
      <c r="G319" s="24" t="n">
        <v>3</v>
      </c>
      <c r="H319" s="24" t="n">
        <v>2</v>
      </c>
      <c r="I319" s="24" t="n">
        <v>4</v>
      </c>
      <c r="J319" s="24" t="n">
        <v>3</v>
      </c>
      <c r="K319" s="24" t="n">
        <v>2</v>
      </c>
      <c r="L319" s="37" t="n">
        <f aca="false">IF(F319="N/A","",IF(COUNT(H319:K319)=0,"",IF(Config!$C$19="Highest dimension",MAX(H319:K319),ROUND(H319*Config!$C$20+I319*Config!$C$21+J319*Config!$C$22+K319*Config!$C$23,1))))</f>
        <v>4</v>
      </c>
      <c r="M319" s="38" t="n">
        <f aca="false">IF(OR(L319="",G319=""),"",G319*L319)</f>
        <v>12</v>
      </c>
      <c r="N319" s="31" t="n">
        <f aca="false">IF(M319="","",MATCH(M319,Config!$E$5:$E$9,1))</f>
        <v>3</v>
      </c>
      <c r="O319" s="7" t="str">
        <f aca="false">IF(F319="N/A","N/A",IF(N319="","Not assessed",INDEX(Config!$B$5:$B$9,N319)))</f>
        <v>Medium</v>
      </c>
      <c r="P319" s="32" t="n">
        <v>0</v>
      </c>
      <c r="Q319" s="8"/>
      <c r="R319" s="33"/>
      <c r="S319" s="34" t="n">
        <f aca="false">IF(N319="","",IF(AND(R319="Y",P319&lt;&gt;0),MAX(1,MIN(5,N319+MAX(-Config!$C$27,MIN(Config!$C$27,P319)))),N319))</f>
        <v>3</v>
      </c>
      <c r="T319" s="35" t="str">
        <f aca="false">IF(F319="N/A","N/A",IF(S319="","Not assessed",INDEX(Config!$B$5:$B$9,S319)))</f>
        <v>Medium</v>
      </c>
      <c r="U319" s="7" t="str">
        <f aca="false">IF(P319=0,"None",IF(R319="Y","Applied","Pending HO approval"))</f>
        <v>None</v>
      </c>
      <c r="V319" s="8"/>
    </row>
    <row r="320" customFormat="false" ht="15" hidden="false" customHeight="false" outlineLevel="0" collapsed="false">
      <c r="A320" s="26" t="str">
        <f aca="false">Entities!$A$29</f>
        <v>IT</v>
      </c>
      <c r="B320" s="12" t="str">
        <f aca="false">INDEX(Entities!$B$5:$B$34,MATCH(A320,Entities!$A$5:$A$34,0))</f>
        <v>Arab Bank – Italy</v>
      </c>
      <c r="C320" s="12" t="str">
        <f aca="false">INDEX(Entities!$D$5:$D$34,MATCH(A320,Entities!$A$5:$A$34,0))</f>
        <v>Europe</v>
      </c>
      <c r="D320" s="12" t="s">
        <v>266</v>
      </c>
      <c r="E320" s="12" t="str">
        <f aca="false">INDEX('Risk Taxonomy'!$B$5:$B$24,MATCH(D320,'Risk Taxonomy'!$A$5:$A$24,0))</f>
        <v>Shariah non-compliance</v>
      </c>
      <c r="F320" s="7" t="str">
        <f aca="false">IF(D320="RC-04",IF(INDEX(Entities!$G$5:$G$34,MATCH(A320,Entities!$A$5:$A$34,0))="Y","Yes","N/A"),"Yes")</f>
        <v>N/A</v>
      </c>
      <c r="G320" s="24"/>
      <c r="H320" s="24"/>
      <c r="I320" s="24"/>
      <c r="J320" s="24"/>
      <c r="K320" s="24"/>
      <c r="L320" s="37" t="str">
        <f aca="false">IF(F320="N/A","",IF(COUNT(H320:K320)=0,"",IF(Config!$C$19="Highest dimension",MAX(H320:K320),ROUND(H320*Config!$C$20+I320*Config!$C$21+J320*Config!$C$22+K320*Config!$C$23,1))))</f>
        <v/>
      </c>
      <c r="M320" s="38" t="str">
        <f aca="false">IF(OR(L320="",G320=""),"",G320*L320)</f>
        <v/>
      </c>
      <c r="N320" s="31" t="str">
        <f aca="false">IF(M320="","",MATCH(M320,Config!$E$5:$E$9,1))</f>
        <v/>
      </c>
      <c r="O320" s="7" t="str">
        <f aca="false">IF(F320="N/A","N/A",IF(N320="","Not assessed",INDEX(Config!$B$5:$B$9,N320)))</f>
        <v>N/A</v>
      </c>
      <c r="P320" s="32" t="n">
        <v>0</v>
      </c>
      <c r="Q320" s="8"/>
      <c r="R320" s="33"/>
      <c r="S320" s="34" t="str">
        <f aca="false">IF(N320="","",IF(AND(R320="Y",P320&lt;&gt;0),MAX(1,MIN(5,N320+MAX(-Config!$C$27,MIN(Config!$C$27,P320)))),N320))</f>
        <v/>
      </c>
      <c r="T320" s="35" t="str">
        <f aca="false">IF(F320="N/A","N/A",IF(S320="","Not assessed",INDEX(Config!$B$5:$B$9,S320)))</f>
        <v>N/A</v>
      </c>
      <c r="U320" s="7" t="str">
        <f aca="false">IF(P320=0,"None",IF(R320="Y","Applied","Pending HO approval"))</f>
        <v>None</v>
      </c>
      <c r="V320" s="8"/>
    </row>
    <row r="321" customFormat="false" ht="15" hidden="false" customHeight="false" outlineLevel="0" collapsed="false">
      <c r="A321" s="26" t="str">
        <f aca="false">Entities!$A$29</f>
        <v>IT</v>
      </c>
      <c r="B321" s="12" t="str">
        <f aca="false">INDEX(Entities!$B$5:$B$34,MATCH(A321,Entities!$A$5:$A$34,0))</f>
        <v>Arab Bank – Italy</v>
      </c>
      <c r="C321" s="12" t="str">
        <f aca="false">INDEX(Entities!$D$5:$D$34,MATCH(A321,Entities!$A$5:$A$34,0))</f>
        <v>Europe</v>
      </c>
      <c r="D321" s="12" t="s">
        <v>270</v>
      </c>
      <c r="E321" s="12" t="str">
        <f aca="false">INDEX('Risk Taxonomy'!$B$5:$B$24,MATCH(D321,'Risk Taxonomy'!$A$5:$A$24,0))</f>
        <v>Credit risk</v>
      </c>
      <c r="F321" s="7" t="str">
        <f aca="false">IF(D321="RC-04",IF(INDEX(Entities!$G$5:$G$34,MATCH(A321,Entities!$A$5:$A$34,0))="Y","Yes","N/A"),"Yes")</f>
        <v>Yes</v>
      </c>
      <c r="G321" s="24" t="n">
        <v>2</v>
      </c>
      <c r="H321" s="24" t="n">
        <v>2</v>
      </c>
      <c r="I321" s="24" t="n">
        <v>2</v>
      </c>
      <c r="J321" s="24" t="n">
        <v>1</v>
      </c>
      <c r="K321" s="24" t="n">
        <v>1</v>
      </c>
      <c r="L321" s="37" t="n">
        <f aca="false">IF(F321="N/A","",IF(COUNT(H321:K321)=0,"",IF(Config!$C$19="Highest dimension",MAX(H321:K321),ROUND(H321*Config!$C$20+I321*Config!$C$21+J321*Config!$C$22+K321*Config!$C$23,1))))</f>
        <v>2</v>
      </c>
      <c r="M321" s="38" t="n">
        <f aca="false">IF(OR(L321="",G321=""),"",G321*L321)</f>
        <v>4</v>
      </c>
      <c r="N321" s="31" t="n">
        <f aca="false">IF(M321="","",MATCH(M321,Config!$E$5:$E$9,1))</f>
        <v>1</v>
      </c>
      <c r="O321" s="7" t="str">
        <f aca="false">IF(F321="N/A","N/A",IF(N321="","Not assessed",INDEX(Config!$B$5:$B$9,N321)))</f>
        <v>Low</v>
      </c>
      <c r="P321" s="32" t="n">
        <v>0</v>
      </c>
      <c r="Q321" s="8"/>
      <c r="R321" s="33"/>
      <c r="S321" s="34" t="n">
        <f aca="false">IF(N321="","",IF(AND(R321="Y",P321&lt;&gt;0),MAX(1,MIN(5,N321+MAX(-Config!$C$27,MIN(Config!$C$27,P321)))),N321))</f>
        <v>1</v>
      </c>
      <c r="T321" s="35" t="str">
        <f aca="false">IF(F321="N/A","N/A",IF(S321="","Not assessed",INDEX(Config!$B$5:$B$9,S321)))</f>
        <v>Low</v>
      </c>
      <c r="U321" s="7" t="str">
        <f aca="false">IF(P321=0,"None",IF(R321="Y","Applied","Pending HO approval"))</f>
        <v>None</v>
      </c>
      <c r="V321" s="8"/>
    </row>
    <row r="322" customFormat="false" ht="15" hidden="false" customHeight="false" outlineLevel="0" collapsed="false">
      <c r="A322" s="26" t="str">
        <f aca="false">Entities!$A$29</f>
        <v>IT</v>
      </c>
      <c r="B322" s="12" t="str">
        <f aca="false">INDEX(Entities!$B$5:$B$34,MATCH(A322,Entities!$A$5:$A$34,0))</f>
        <v>Arab Bank – Italy</v>
      </c>
      <c r="C322" s="12" t="str">
        <f aca="false">INDEX(Entities!$D$5:$D$34,MATCH(A322,Entities!$A$5:$A$34,0))</f>
        <v>Europe</v>
      </c>
      <c r="D322" s="12" t="s">
        <v>275</v>
      </c>
      <c r="E322" s="12" t="str">
        <f aca="false">INDEX('Risk Taxonomy'!$B$5:$B$24,MATCH(D322,'Risk Taxonomy'!$A$5:$A$24,0))</f>
        <v>Market risk</v>
      </c>
      <c r="F322" s="7" t="str">
        <f aca="false">IF(D322="RC-04",IF(INDEX(Entities!$G$5:$G$34,MATCH(A322,Entities!$A$5:$A$34,0))="Y","Yes","N/A"),"Yes")</f>
        <v>Yes</v>
      </c>
      <c r="G322" s="24" t="n">
        <v>2</v>
      </c>
      <c r="H322" s="24" t="n">
        <v>2</v>
      </c>
      <c r="I322" s="24" t="n">
        <v>2</v>
      </c>
      <c r="J322" s="24" t="n">
        <v>3</v>
      </c>
      <c r="K322" s="24" t="n">
        <v>2</v>
      </c>
      <c r="L322" s="37" t="n">
        <f aca="false">IF(F322="N/A","",IF(COUNT(H322:K322)=0,"",IF(Config!$C$19="Highest dimension",MAX(H322:K322),ROUND(H322*Config!$C$20+I322*Config!$C$21+J322*Config!$C$22+K322*Config!$C$23,1))))</f>
        <v>3</v>
      </c>
      <c r="M322" s="38" t="n">
        <f aca="false">IF(OR(L322="",G322=""),"",G322*L322)</f>
        <v>6</v>
      </c>
      <c r="N322" s="31" t="n">
        <f aca="false">IF(M322="","",MATCH(M322,Config!$E$5:$E$9,1))</f>
        <v>2</v>
      </c>
      <c r="O322" s="7" t="str">
        <f aca="false">IF(F322="N/A","N/A",IF(N322="","Not assessed",INDEX(Config!$B$5:$B$9,N322)))</f>
        <v>Medium-Low</v>
      </c>
      <c r="P322" s="32" t="n">
        <v>0</v>
      </c>
      <c r="Q322" s="8"/>
      <c r="R322" s="33"/>
      <c r="S322" s="34" t="n">
        <f aca="false">IF(N322="","",IF(AND(R322="Y",P322&lt;&gt;0),MAX(1,MIN(5,N322+MAX(-Config!$C$27,MIN(Config!$C$27,P322)))),N322))</f>
        <v>2</v>
      </c>
      <c r="T322" s="35" t="str">
        <f aca="false">IF(F322="N/A","N/A",IF(S322="","Not assessed",INDEX(Config!$B$5:$B$9,S322)))</f>
        <v>Medium-Low</v>
      </c>
      <c r="U322" s="7" t="str">
        <f aca="false">IF(P322=0,"None",IF(R322="Y","Applied","Pending HO approval"))</f>
        <v>None</v>
      </c>
      <c r="V322" s="8"/>
    </row>
    <row r="323" customFormat="false" ht="15" hidden="false" customHeight="false" outlineLevel="0" collapsed="false">
      <c r="A323" s="26" t="str">
        <f aca="false">Entities!$A$29</f>
        <v>IT</v>
      </c>
      <c r="B323" s="12" t="str">
        <f aca="false">INDEX(Entities!$B$5:$B$34,MATCH(A323,Entities!$A$5:$A$34,0))</f>
        <v>Arab Bank – Italy</v>
      </c>
      <c r="C323" s="12" t="str">
        <f aca="false">INDEX(Entities!$D$5:$D$34,MATCH(A323,Entities!$A$5:$A$34,0))</f>
        <v>Europe</v>
      </c>
      <c r="D323" s="12" t="s">
        <v>277</v>
      </c>
      <c r="E323" s="12" t="str">
        <f aca="false">INDEX('Risk Taxonomy'!$B$5:$B$24,MATCH(D323,'Risk Taxonomy'!$A$5:$A$24,0))</f>
        <v>Liquidity and funding risk</v>
      </c>
      <c r="F323" s="7" t="str">
        <f aca="false">IF(D323="RC-04",IF(INDEX(Entities!$G$5:$G$34,MATCH(A323,Entities!$A$5:$A$34,0))="Y","Yes","N/A"),"Yes")</f>
        <v>Yes</v>
      </c>
      <c r="G323" s="24" t="n">
        <v>3</v>
      </c>
      <c r="H323" s="24" t="n">
        <v>1</v>
      </c>
      <c r="I323" s="24" t="n">
        <v>2</v>
      </c>
      <c r="J323" s="24" t="n">
        <v>2</v>
      </c>
      <c r="K323" s="24" t="n">
        <v>3</v>
      </c>
      <c r="L323" s="37" t="n">
        <f aca="false">IF(F323="N/A","",IF(COUNT(H323:K323)=0,"",IF(Config!$C$19="Highest dimension",MAX(H323:K323),ROUND(H323*Config!$C$20+I323*Config!$C$21+J323*Config!$C$22+K323*Config!$C$23,1))))</f>
        <v>3</v>
      </c>
      <c r="M323" s="38" t="n">
        <f aca="false">IF(OR(L323="",G323=""),"",G323*L323)</f>
        <v>9</v>
      </c>
      <c r="N323" s="31" t="n">
        <f aca="false">IF(M323="","",MATCH(M323,Config!$E$5:$E$9,1))</f>
        <v>3</v>
      </c>
      <c r="O323" s="7" t="str">
        <f aca="false">IF(F323="N/A","N/A",IF(N323="","Not assessed",INDEX(Config!$B$5:$B$9,N323)))</f>
        <v>Medium</v>
      </c>
      <c r="P323" s="32" t="n">
        <v>0</v>
      </c>
      <c r="Q323" s="8"/>
      <c r="R323" s="33"/>
      <c r="S323" s="34" t="n">
        <f aca="false">IF(N323="","",IF(AND(R323="Y",P323&lt;&gt;0),MAX(1,MIN(5,N323+MAX(-Config!$C$27,MIN(Config!$C$27,P323)))),N323))</f>
        <v>3</v>
      </c>
      <c r="T323" s="35" t="str">
        <f aca="false">IF(F323="N/A","N/A",IF(S323="","Not assessed",INDEX(Config!$B$5:$B$9,S323)))</f>
        <v>Medium</v>
      </c>
      <c r="U323" s="7" t="str">
        <f aca="false">IF(P323=0,"None",IF(R323="Y","Applied","Pending HO approval"))</f>
        <v>None</v>
      </c>
      <c r="V323" s="8"/>
    </row>
    <row r="324" customFormat="false" ht="15" hidden="false" customHeight="false" outlineLevel="0" collapsed="false">
      <c r="A324" s="26" t="str">
        <f aca="false">Entities!$A$29</f>
        <v>IT</v>
      </c>
      <c r="B324" s="12" t="str">
        <f aca="false">INDEX(Entities!$B$5:$B$34,MATCH(A324,Entities!$A$5:$A$34,0))</f>
        <v>Arab Bank – Italy</v>
      </c>
      <c r="C324" s="12" t="str">
        <f aca="false">INDEX(Entities!$D$5:$D$34,MATCH(A324,Entities!$A$5:$A$34,0))</f>
        <v>Europe</v>
      </c>
      <c r="D324" s="12" t="s">
        <v>280</v>
      </c>
      <c r="E324" s="12" t="str">
        <f aca="false">INDEX('Risk Taxonomy'!$B$5:$B$24,MATCH(D324,'Risk Taxonomy'!$A$5:$A$24,0))</f>
        <v>Operational risk</v>
      </c>
      <c r="F324" s="7" t="str">
        <f aca="false">IF(D324="RC-04",IF(INDEX(Entities!$G$5:$G$34,MATCH(A324,Entities!$A$5:$A$34,0))="Y","Yes","N/A"),"Yes")</f>
        <v>Yes</v>
      </c>
      <c r="G324" s="24" t="n">
        <v>3</v>
      </c>
      <c r="H324" s="24" t="n">
        <v>2</v>
      </c>
      <c r="I324" s="24" t="n">
        <v>1</v>
      </c>
      <c r="J324" s="24" t="n">
        <v>3</v>
      </c>
      <c r="K324" s="24" t="n">
        <v>4</v>
      </c>
      <c r="L324" s="37" t="n">
        <f aca="false">IF(F324="N/A","",IF(COUNT(H324:K324)=0,"",IF(Config!$C$19="Highest dimension",MAX(H324:K324),ROUND(H324*Config!$C$20+I324*Config!$C$21+J324*Config!$C$22+K324*Config!$C$23,1))))</f>
        <v>4</v>
      </c>
      <c r="M324" s="38" t="n">
        <f aca="false">IF(OR(L324="",G324=""),"",G324*L324)</f>
        <v>12</v>
      </c>
      <c r="N324" s="31" t="n">
        <f aca="false">IF(M324="","",MATCH(M324,Config!$E$5:$E$9,1))</f>
        <v>3</v>
      </c>
      <c r="O324" s="7" t="str">
        <f aca="false">IF(F324="N/A","N/A",IF(N324="","Not assessed",INDEX(Config!$B$5:$B$9,N324)))</f>
        <v>Medium</v>
      </c>
      <c r="P324" s="32" t="n">
        <v>0</v>
      </c>
      <c r="Q324" s="8"/>
      <c r="R324" s="33"/>
      <c r="S324" s="34" t="n">
        <f aca="false">IF(N324="","",IF(AND(R324="Y",P324&lt;&gt;0),MAX(1,MIN(5,N324+MAX(-Config!$C$27,MIN(Config!$C$27,P324)))),N324))</f>
        <v>3</v>
      </c>
      <c r="T324" s="35" t="str">
        <f aca="false">IF(F324="N/A","N/A",IF(S324="","Not assessed",INDEX(Config!$B$5:$B$9,S324)))</f>
        <v>Medium</v>
      </c>
      <c r="U324" s="7" t="str">
        <f aca="false">IF(P324=0,"None",IF(R324="Y","Applied","Pending HO approval"))</f>
        <v>None</v>
      </c>
      <c r="V324" s="8"/>
    </row>
    <row r="325" customFormat="false" ht="15" hidden="false" customHeight="false" outlineLevel="0" collapsed="false">
      <c r="A325" s="26" t="str">
        <f aca="false">Entities!$A$29</f>
        <v>IT</v>
      </c>
      <c r="B325" s="12" t="str">
        <f aca="false">INDEX(Entities!$B$5:$B$34,MATCH(A325,Entities!$A$5:$A$34,0))</f>
        <v>Arab Bank – Italy</v>
      </c>
      <c r="C325" s="12" t="str">
        <f aca="false">INDEX(Entities!$D$5:$D$34,MATCH(A325,Entities!$A$5:$A$34,0))</f>
        <v>Europe</v>
      </c>
      <c r="D325" s="12" t="s">
        <v>283</v>
      </c>
      <c r="E325" s="12" t="str">
        <f aca="false">INDEX('Risk Taxonomy'!$B$5:$B$24,MATCH(D325,'Risk Taxonomy'!$A$5:$A$24,0))</f>
        <v>Cyber, information security and technology</v>
      </c>
      <c r="F325" s="7" t="str">
        <f aca="false">IF(D325="RC-04",IF(INDEX(Entities!$G$5:$G$34,MATCH(A325,Entities!$A$5:$A$34,0))="Y","Yes","N/A"),"Yes")</f>
        <v>Yes</v>
      </c>
      <c r="G325" s="24" t="n">
        <v>2</v>
      </c>
      <c r="H325" s="24" t="n">
        <v>1</v>
      </c>
      <c r="I325" s="24" t="n">
        <v>1</v>
      </c>
      <c r="J325" s="24" t="n">
        <v>1</v>
      </c>
      <c r="K325" s="24" t="n">
        <v>1</v>
      </c>
      <c r="L325" s="37" t="n">
        <f aca="false">IF(F325="N/A","",IF(COUNT(H325:K325)=0,"",IF(Config!$C$19="Highest dimension",MAX(H325:K325),ROUND(H325*Config!$C$20+I325*Config!$C$21+J325*Config!$C$22+K325*Config!$C$23,1))))</f>
        <v>1</v>
      </c>
      <c r="M325" s="38" t="n">
        <f aca="false">IF(OR(L325="",G325=""),"",G325*L325)</f>
        <v>2</v>
      </c>
      <c r="N325" s="31" t="n">
        <f aca="false">IF(M325="","",MATCH(M325,Config!$E$5:$E$9,1))</f>
        <v>1</v>
      </c>
      <c r="O325" s="7" t="str">
        <f aca="false">IF(F325="N/A","N/A",IF(N325="","Not assessed",INDEX(Config!$B$5:$B$9,N325)))</f>
        <v>Low</v>
      </c>
      <c r="P325" s="32" t="n">
        <v>0</v>
      </c>
      <c r="Q325" s="8"/>
      <c r="R325" s="33"/>
      <c r="S325" s="34" t="n">
        <f aca="false">IF(N325="","",IF(AND(R325="Y",P325&lt;&gt;0),MAX(1,MIN(5,N325+MAX(-Config!$C$27,MIN(Config!$C$27,P325)))),N325))</f>
        <v>1</v>
      </c>
      <c r="T325" s="35" t="str">
        <f aca="false">IF(F325="N/A","N/A",IF(S325="","Not assessed",INDEX(Config!$B$5:$B$9,S325)))</f>
        <v>Low</v>
      </c>
      <c r="U325" s="7" t="str">
        <f aca="false">IF(P325=0,"None",IF(R325="Y","Applied","Pending HO approval"))</f>
        <v>None</v>
      </c>
      <c r="V325" s="8"/>
    </row>
    <row r="326" customFormat="false" ht="15" hidden="false" customHeight="false" outlineLevel="0" collapsed="false">
      <c r="A326" s="26" t="str">
        <f aca="false">Entities!$A$29</f>
        <v>IT</v>
      </c>
      <c r="B326" s="12" t="str">
        <f aca="false">INDEX(Entities!$B$5:$B$34,MATCH(A326,Entities!$A$5:$A$34,0))</f>
        <v>Arab Bank – Italy</v>
      </c>
      <c r="C326" s="12" t="str">
        <f aca="false">INDEX(Entities!$D$5:$D$34,MATCH(A326,Entities!$A$5:$A$34,0))</f>
        <v>Europe</v>
      </c>
      <c r="D326" s="12" t="s">
        <v>286</v>
      </c>
      <c r="E326" s="12" t="str">
        <f aca="false">INDEX('Risk Taxonomy'!$B$5:$B$24,MATCH(D326,'Risk Taxonomy'!$A$5:$A$24,0))</f>
        <v>Third-party and outsourcing</v>
      </c>
      <c r="F326" s="7" t="str">
        <f aca="false">IF(D326="RC-04",IF(INDEX(Entities!$G$5:$G$34,MATCH(A326,Entities!$A$5:$A$34,0))="Y","Yes","N/A"),"Yes")</f>
        <v>Yes</v>
      </c>
      <c r="G326" s="24" t="n">
        <v>1</v>
      </c>
      <c r="H326" s="24" t="n">
        <v>1</v>
      </c>
      <c r="I326" s="24" t="n">
        <v>2</v>
      </c>
      <c r="J326" s="24" t="n">
        <v>2</v>
      </c>
      <c r="K326" s="24" t="n">
        <v>1</v>
      </c>
      <c r="L326" s="37" t="n">
        <f aca="false">IF(F326="N/A","",IF(COUNT(H326:K326)=0,"",IF(Config!$C$19="Highest dimension",MAX(H326:K326),ROUND(H326*Config!$C$20+I326*Config!$C$21+J326*Config!$C$22+K326*Config!$C$23,1))))</f>
        <v>2</v>
      </c>
      <c r="M326" s="38" t="n">
        <f aca="false">IF(OR(L326="",G326=""),"",G326*L326)</f>
        <v>2</v>
      </c>
      <c r="N326" s="31" t="n">
        <f aca="false">IF(M326="","",MATCH(M326,Config!$E$5:$E$9,1))</f>
        <v>1</v>
      </c>
      <c r="O326" s="7" t="str">
        <f aca="false">IF(F326="N/A","N/A",IF(N326="","Not assessed",INDEX(Config!$B$5:$B$9,N326)))</f>
        <v>Low</v>
      </c>
      <c r="P326" s="32" t="n">
        <v>0</v>
      </c>
      <c r="Q326" s="8"/>
      <c r="R326" s="33"/>
      <c r="S326" s="34" t="n">
        <f aca="false">IF(N326="","",IF(AND(R326="Y",P326&lt;&gt;0),MAX(1,MIN(5,N326+MAX(-Config!$C$27,MIN(Config!$C$27,P326)))),N326))</f>
        <v>1</v>
      </c>
      <c r="T326" s="35" t="str">
        <f aca="false">IF(F326="N/A","N/A",IF(S326="","Not assessed",INDEX(Config!$B$5:$B$9,S326)))</f>
        <v>Low</v>
      </c>
      <c r="U326" s="7" t="str">
        <f aca="false">IF(P326=0,"None",IF(R326="Y","Applied","Pending HO approval"))</f>
        <v>None</v>
      </c>
      <c r="V326" s="8"/>
    </row>
    <row r="327" customFormat="false" ht="15" hidden="false" customHeight="false" outlineLevel="0" collapsed="false">
      <c r="A327" s="26" t="str">
        <f aca="false">Entities!$A$29</f>
        <v>IT</v>
      </c>
      <c r="B327" s="12" t="str">
        <f aca="false">INDEX(Entities!$B$5:$B$34,MATCH(A327,Entities!$A$5:$A$34,0))</f>
        <v>Arab Bank – Italy</v>
      </c>
      <c r="C327" s="12" t="str">
        <f aca="false">INDEX(Entities!$D$5:$D$34,MATCH(A327,Entities!$A$5:$A$34,0))</f>
        <v>Europe</v>
      </c>
      <c r="D327" s="12" t="s">
        <v>289</v>
      </c>
      <c r="E327" s="12" t="str">
        <f aca="false">INDEX('Risk Taxonomy'!$B$5:$B$24,MATCH(D327,'Risk Taxonomy'!$A$5:$A$24,0))</f>
        <v>Legal and litigation</v>
      </c>
      <c r="F327" s="7" t="str">
        <f aca="false">IF(D327="RC-04",IF(INDEX(Entities!$G$5:$G$34,MATCH(A327,Entities!$A$5:$A$34,0))="Y","Yes","N/A"),"Yes")</f>
        <v>Yes</v>
      </c>
      <c r="G327" s="24" t="n">
        <v>2</v>
      </c>
      <c r="H327" s="24" t="n">
        <v>2</v>
      </c>
      <c r="I327" s="24" t="n">
        <v>1</v>
      </c>
      <c r="J327" s="24" t="n">
        <v>2</v>
      </c>
      <c r="K327" s="24" t="n">
        <v>2</v>
      </c>
      <c r="L327" s="37" t="n">
        <f aca="false">IF(F327="N/A","",IF(COUNT(H327:K327)=0,"",IF(Config!$C$19="Highest dimension",MAX(H327:K327),ROUND(H327*Config!$C$20+I327*Config!$C$21+J327*Config!$C$22+K327*Config!$C$23,1))))</f>
        <v>2</v>
      </c>
      <c r="M327" s="38" t="n">
        <f aca="false">IF(OR(L327="",G327=""),"",G327*L327)</f>
        <v>4</v>
      </c>
      <c r="N327" s="31" t="n">
        <f aca="false">IF(M327="","",MATCH(M327,Config!$E$5:$E$9,1))</f>
        <v>1</v>
      </c>
      <c r="O327" s="7" t="str">
        <f aca="false">IF(F327="N/A","N/A",IF(N327="","Not assessed",INDEX(Config!$B$5:$B$9,N327)))</f>
        <v>Low</v>
      </c>
      <c r="P327" s="32" t="n">
        <v>0</v>
      </c>
      <c r="Q327" s="8"/>
      <c r="R327" s="33"/>
      <c r="S327" s="34" t="n">
        <f aca="false">IF(N327="","",IF(AND(R327="Y",P327&lt;&gt;0),MAX(1,MIN(5,N327+MAX(-Config!$C$27,MIN(Config!$C$27,P327)))),N327))</f>
        <v>1</v>
      </c>
      <c r="T327" s="35" t="str">
        <f aca="false">IF(F327="N/A","N/A",IF(S327="","Not assessed",INDEX(Config!$B$5:$B$9,S327)))</f>
        <v>Low</v>
      </c>
      <c r="U327" s="7" t="str">
        <f aca="false">IF(P327=0,"None",IF(R327="Y","Applied","Pending HO approval"))</f>
        <v>None</v>
      </c>
      <c r="V327" s="8"/>
    </row>
    <row r="328" customFormat="false" ht="15" hidden="false" customHeight="false" outlineLevel="0" collapsed="false">
      <c r="A328" s="26" t="str">
        <f aca="false">Entities!$A$29</f>
        <v>IT</v>
      </c>
      <c r="B328" s="12" t="str">
        <f aca="false">INDEX(Entities!$B$5:$B$34,MATCH(A328,Entities!$A$5:$A$34,0))</f>
        <v>Arab Bank – Italy</v>
      </c>
      <c r="C328" s="12" t="str">
        <f aca="false">INDEX(Entities!$D$5:$D$34,MATCH(A328,Entities!$A$5:$A$34,0))</f>
        <v>Europe</v>
      </c>
      <c r="D328" s="12" t="s">
        <v>292</v>
      </c>
      <c r="E328" s="12" t="str">
        <f aca="false">INDEX('Risk Taxonomy'!$B$5:$B$24,MATCH(D328,'Risk Taxonomy'!$A$5:$A$24,0))</f>
        <v>Reputational</v>
      </c>
      <c r="F328" s="7" t="str">
        <f aca="false">IF(D328="RC-04",IF(INDEX(Entities!$G$5:$G$34,MATCH(A328,Entities!$A$5:$A$34,0))="Y","Yes","N/A"),"Yes")</f>
        <v>Yes</v>
      </c>
      <c r="G328" s="24" t="n">
        <v>3</v>
      </c>
      <c r="H328" s="24" t="n">
        <v>3</v>
      </c>
      <c r="I328" s="24" t="n">
        <v>2</v>
      </c>
      <c r="J328" s="24" t="n">
        <v>4</v>
      </c>
      <c r="K328" s="24" t="n">
        <v>2</v>
      </c>
      <c r="L328" s="37" t="n">
        <f aca="false">IF(F328="N/A","",IF(COUNT(H328:K328)=0,"",IF(Config!$C$19="Highest dimension",MAX(H328:K328),ROUND(H328*Config!$C$20+I328*Config!$C$21+J328*Config!$C$22+K328*Config!$C$23,1))))</f>
        <v>4</v>
      </c>
      <c r="M328" s="38" t="n">
        <f aca="false">IF(OR(L328="",G328=""),"",G328*L328)</f>
        <v>12</v>
      </c>
      <c r="N328" s="31" t="n">
        <f aca="false">IF(M328="","",MATCH(M328,Config!$E$5:$E$9,1))</f>
        <v>3</v>
      </c>
      <c r="O328" s="7" t="str">
        <f aca="false">IF(F328="N/A","N/A",IF(N328="","Not assessed",INDEX(Config!$B$5:$B$9,N328)))</f>
        <v>Medium</v>
      </c>
      <c r="P328" s="32" t="n">
        <v>0</v>
      </c>
      <c r="Q328" s="8"/>
      <c r="R328" s="33"/>
      <c r="S328" s="34" t="n">
        <f aca="false">IF(N328="","",IF(AND(R328="Y",P328&lt;&gt;0),MAX(1,MIN(5,N328+MAX(-Config!$C$27,MIN(Config!$C$27,P328)))),N328))</f>
        <v>3</v>
      </c>
      <c r="T328" s="35" t="str">
        <f aca="false">IF(F328="N/A","N/A",IF(S328="","Not assessed",INDEX(Config!$B$5:$B$9,S328)))</f>
        <v>Medium</v>
      </c>
      <c r="U328" s="7" t="str">
        <f aca="false">IF(P328=0,"None",IF(R328="Y","Applied","Pending HO approval"))</f>
        <v>None</v>
      </c>
      <c r="V328" s="8"/>
    </row>
    <row r="329" customFormat="false" ht="15" hidden="false" customHeight="false" outlineLevel="0" collapsed="false">
      <c r="A329" s="26" t="str">
        <f aca="false">Entities!$A$29</f>
        <v>IT</v>
      </c>
      <c r="B329" s="12" t="str">
        <f aca="false">INDEX(Entities!$B$5:$B$34,MATCH(A329,Entities!$A$5:$A$34,0))</f>
        <v>Arab Bank – Italy</v>
      </c>
      <c r="C329" s="12" t="str">
        <f aca="false">INDEX(Entities!$D$5:$D$34,MATCH(A329,Entities!$A$5:$A$34,0))</f>
        <v>Europe</v>
      </c>
      <c r="D329" s="12" t="s">
        <v>295</v>
      </c>
      <c r="E329" s="12" t="str">
        <f aca="false">INDEX('Risk Taxonomy'!$B$5:$B$24,MATCH(D329,'Risk Taxonomy'!$A$5:$A$24,0))</f>
        <v>Strategic, business model and ESG</v>
      </c>
      <c r="F329" s="7" t="str">
        <f aca="false">IF(D329="RC-04",IF(INDEX(Entities!$G$5:$G$34,MATCH(A329,Entities!$A$5:$A$34,0))="Y","Yes","N/A"),"Yes")</f>
        <v>Yes</v>
      </c>
      <c r="G329" s="24" t="n">
        <v>1</v>
      </c>
      <c r="H329" s="24" t="n">
        <v>2</v>
      </c>
      <c r="I329" s="24" t="n">
        <v>3</v>
      </c>
      <c r="J329" s="24" t="n">
        <v>3</v>
      </c>
      <c r="K329" s="24" t="n">
        <v>3</v>
      </c>
      <c r="L329" s="37" t="n">
        <f aca="false">IF(F329="N/A","",IF(COUNT(H329:K329)=0,"",IF(Config!$C$19="Highest dimension",MAX(H329:K329),ROUND(H329*Config!$C$20+I329*Config!$C$21+J329*Config!$C$22+K329*Config!$C$23,1))))</f>
        <v>3</v>
      </c>
      <c r="M329" s="38" t="n">
        <f aca="false">IF(OR(L329="",G329=""),"",G329*L329)</f>
        <v>3</v>
      </c>
      <c r="N329" s="31" t="n">
        <f aca="false">IF(M329="","",MATCH(M329,Config!$E$5:$E$9,1))</f>
        <v>1</v>
      </c>
      <c r="O329" s="7" t="str">
        <f aca="false">IF(F329="N/A","N/A",IF(N329="","Not assessed",INDEX(Config!$B$5:$B$9,N329)))</f>
        <v>Low</v>
      </c>
      <c r="P329" s="32" t="n">
        <v>0</v>
      </c>
      <c r="Q329" s="8"/>
      <c r="R329" s="33"/>
      <c r="S329" s="34" t="n">
        <f aca="false">IF(N329="","",IF(AND(R329="Y",P329&lt;&gt;0),MAX(1,MIN(5,N329+MAX(-Config!$C$27,MIN(Config!$C$27,P329)))),N329))</f>
        <v>1</v>
      </c>
      <c r="T329" s="35" t="str">
        <f aca="false">IF(F329="N/A","N/A",IF(S329="","Not assessed",INDEX(Config!$B$5:$B$9,S329)))</f>
        <v>Low</v>
      </c>
      <c r="U329" s="7" t="str">
        <f aca="false">IF(P329=0,"None",IF(R329="Y","Applied","Pending HO approval"))</f>
        <v>None</v>
      </c>
      <c r="V329" s="8"/>
    </row>
    <row r="330" customFormat="false" ht="15" hidden="false" customHeight="false" outlineLevel="0" collapsed="false">
      <c r="A330" s="26" t="str">
        <f aca="false">Entities!$A$30</f>
        <v>CH</v>
      </c>
      <c r="B330" s="12" t="str">
        <f aca="false">INDEX(Entities!$B$5:$B$34,MATCH(A330,Entities!$A$5:$A$34,0))</f>
        <v>Arab Bank (Switzerland) – sister company</v>
      </c>
      <c r="C330" s="12" t="str">
        <f aca="false">INDEX(Entities!$D$5:$D$34,MATCH(A330,Entities!$A$5:$A$34,0))</f>
        <v>Europe</v>
      </c>
      <c r="D330" s="12" t="s">
        <v>257</v>
      </c>
      <c r="E330" s="12" t="str">
        <f aca="false">INDEX('Risk Taxonomy'!$B$5:$B$24,MATCH(D330,'Risk Taxonomy'!$A$5:$A$24,0))</f>
        <v>Regulatory compliance</v>
      </c>
      <c r="F330" s="7" t="str">
        <f aca="false">IF(D330="RC-04",IF(INDEX(Entities!$G$5:$G$34,MATCH(A330,Entities!$A$5:$A$34,0))="Y","Yes","N/A"),"Yes")</f>
        <v>Yes</v>
      </c>
      <c r="G330" s="24" t="n">
        <v>3</v>
      </c>
      <c r="H330" s="24" t="n">
        <v>3</v>
      </c>
      <c r="I330" s="24" t="n">
        <v>4</v>
      </c>
      <c r="J330" s="24" t="n">
        <v>2</v>
      </c>
      <c r="K330" s="24" t="n">
        <v>2</v>
      </c>
      <c r="L330" s="37" t="n">
        <f aca="false">IF(F330="N/A","",IF(COUNT(H330:K330)=0,"",IF(Config!$C$19="Highest dimension",MAX(H330:K330),ROUND(H330*Config!$C$20+I330*Config!$C$21+J330*Config!$C$22+K330*Config!$C$23,1))))</f>
        <v>4</v>
      </c>
      <c r="M330" s="38" t="n">
        <f aca="false">IF(OR(L330="",G330=""),"",G330*L330)</f>
        <v>12</v>
      </c>
      <c r="N330" s="31" t="n">
        <f aca="false">IF(M330="","",MATCH(M330,Config!$E$5:$E$9,1))</f>
        <v>3</v>
      </c>
      <c r="O330" s="7" t="str">
        <f aca="false">IF(F330="N/A","N/A",IF(N330="","Not assessed",INDEX(Config!$B$5:$B$9,N330)))</f>
        <v>Medium</v>
      </c>
      <c r="P330" s="32" t="n">
        <v>0</v>
      </c>
      <c r="Q330" s="8"/>
      <c r="R330" s="33"/>
      <c r="S330" s="34" t="n">
        <f aca="false">IF(N330="","",IF(AND(R330="Y",P330&lt;&gt;0),MAX(1,MIN(5,N330+MAX(-Config!$C$27,MIN(Config!$C$27,P330)))),N330))</f>
        <v>3</v>
      </c>
      <c r="T330" s="35" t="str">
        <f aca="false">IF(F330="N/A","N/A",IF(S330="","Not assessed",INDEX(Config!$B$5:$B$9,S330)))</f>
        <v>Medium</v>
      </c>
      <c r="U330" s="7" t="str">
        <f aca="false">IF(P330=0,"None",IF(R330="Y","Applied","Pending HO approval"))</f>
        <v>None</v>
      </c>
      <c r="V330" s="8"/>
    </row>
    <row r="331" customFormat="false" ht="15" hidden="false" customHeight="false" outlineLevel="0" collapsed="false">
      <c r="A331" s="26" t="str">
        <f aca="false">Entities!$A$30</f>
        <v>CH</v>
      </c>
      <c r="B331" s="12" t="str">
        <f aca="false">INDEX(Entities!$B$5:$B$34,MATCH(A331,Entities!$A$5:$A$34,0))</f>
        <v>Arab Bank (Switzerland) – sister company</v>
      </c>
      <c r="C331" s="12" t="str">
        <f aca="false">INDEX(Entities!$D$5:$D$34,MATCH(A331,Entities!$A$5:$A$34,0))</f>
        <v>Europe</v>
      </c>
      <c r="D331" s="12" t="s">
        <v>261</v>
      </c>
      <c r="E331" s="12" t="str">
        <f aca="false">INDEX('Risk Taxonomy'!$B$5:$B$24,MATCH(D331,'Risk Taxonomy'!$A$5:$A$24,0))</f>
        <v>Conduct and consumer protection</v>
      </c>
      <c r="F331" s="7" t="str">
        <f aca="false">IF(D331="RC-04",IF(INDEX(Entities!$G$5:$G$34,MATCH(A331,Entities!$A$5:$A$34,0))="Y","Yes","N/A"),"Yes")</f>
        <v>Yes</v>
      </c>
      <c r="G331" s="24" t="n">
        <v>2</v>
      </c>
      <c r="H331" s="24" t="n">
        <v>2</v>
      </c>
      <c r="I331" s="24" t="n">
        <v>2</v>
      </c>
      <c r="J331" s="24" t="n">
        <v>1</v>
      </c>
      <c r="K331" s="24" t="n">
        <v>3</v>
      </c>
      <c r="L331" s="37" t="n">
        <f aca="false">IF(F331="N/A","",IF(COUNT(H331:K331)=0,"",IF(Config!$C$19="Highest dimension",MAX(H331:K331),ROUND(H331*Config!$C$20+I331*Config!$C$21+J331*Config!$C$22+K331*Config!$C$23,1))))</f>
        <v>3</v>
      </c>
      <c r="M331" s="38" t="n">
        <f aca="false">IF(OR(L331="",G331=""),"",G331*L331)</f>
        <v>6</v>
      </c>
      <c r="N331" s="31" t="n">
        <f aca="false">IF(M331="","",MATCH(M331,Config!$E$5:$E$9,1))</f>
        <v>2</v>
      </c>
      <c r="O331" s="7" t="str">
        <f aca="false">IF(F331="N/A","N/A",IF(N331="","Not assessed",INDEX(Config!$B$5:$B$9,N331)))</f>
        <v>Medium-Low</v>
      </c>
      <c r="P331" s="32" t="n">
        <v>0</v>
      </c>
      <c r="Q331" s="8"/>
      <c r="R331" s="33"/>
      <c r="S331" s="34" t="n">
        <f aca="false">IF(N331="","",IF(AND(R331="Y",P331&lt;&gt;0),MAX(1,MIN(5,N331+MAX(-Config!$C$27,MIN(Config!$C$27,P331)))),N331))</f>
        <v>2</v>
      </c>
      <c r="T331" s="35" t="str">
        <f aca="false">IF(F331="N/A","N/A",IF(S331="","Not assessed",INDEX(Config!$B$5:$B$9,S331)))</f>
        <v>Medium-Low</v>
      </c>
      <c r="U331" s="7" t="str">
        <f aca="false">IF(P331=0,"None",IF(R331="Y","Applied","Pending HO approval"))</f>
        <v>None</v>
      </c>
      <c r="V331" s="8"/>
    </row>
    <row r="332" customFormat="false" ht="15" hidden="false" customHeight="false" outlineLevel="0" collapsed="false">
      <c r="A332" s="26" t="str">
        <f aca="false">Entities!$A$30</f>
        <v>CH</v>
      </c>
      <c r="B332" s="12" t="str">
        <f aca="false">INDEX(Entities!$B$5:$B$34,MATCH(A332,Entities!$A$5:$A$34,0))</f>
        <v>Arab Bank (Switzerland) – sister company</v>
      </c>
      <c r="C332" s="12" t="str">
        <f aca="false">INDEX(Entities!$D$5:$D$34,MATCH(A332,Entities!$A$5:$A$34,0))</f>
        <v>Europe</v>
      </c>
      <c r="D332" s="12" t="s">
        <v>263</v>
      </c>
      <c r="E332" s="12" t="str">
        <f aca="false">INDEX('Risk Taxonomy'!$B$5:$B$24,MATCH(D332,'Risk Taxonomy'!$A$5:$A$24,0))</f>
        <v>Data protection and privacy</v>
      </c>
      <c r="F332" s="7" t="str">
        <f aca="false">IF(D332="RC-04",IF(INDEX(Entities!$G$5:$G$34,MATCH(A332,Entities!$A$5:$A$34,0))="Y","Yes","N/A"),"Yes")</f>
        <v>Yes</v>
      </c>
      <c r="G332" s="24" t="n">
        <v>2</v>
      </c>
      <c r="H332" s="24" t="n">
        <v>2</v>
      </c>
      <c r="I332" s="24" t="n">
        <v>2</v>
      </c>
      <c r="J332" s="24" t="n">
        <v>1</v>
      </c>
      <c r="K332" s="24" t="n">
        <v>2</v>
      </c>
      <c r="L332" s="37" t="n">
        <f aca="false">IF(F332="N/A","",IF(COUNT(H332:K332)=0,"",IF(Config!$C$19="Highest dimension",MAX(H332:K332),ROUND(H332*Config!$C$20+I332*Config!$C$21+J332*Config!$C$22+K332*Config!$C$23,1))))</f>
        <v>2</v>
      </c>
      <c r="M332" s="38" t="n">
        <f aca="false">IF(OR(L332="",G332=""),"",G332*L332)</f>
        <v>4</v>
      </c>
      <c r="N332" s="31" t="n">
        <f aca="false">IF(M332="","",MATCH(M332,Config!$E$5:$E$9,1))</f>
        <v>1</v>
      </c>
      <c r="O332" s="7" t="str">
        <f aca="false">IF(F332="N/A","N/A",IF(N332="","Not assessed",INDEX(Config!$B$5:$B$9,N332)))</f>
        <v>Low</v>
      </c>
      <c r="P332" s="32" t="n">
        <v>0</v>
      </c>
      <c r="Q332" s="8"/>
      <c r="R332" s="33"/>
      <c r="S332" s="34" t="n">
        <f aca="false">IF(N332="","",IF(AND(R332="Y",P332&lt;&gt;0),MAX(1,MIN(5,N332+MAX(-Config!$C$27,MIN(Config!$C$27,P332)))),N332))</f>
        <v>1</v>
      </c>
      <c r="T332" s="35" t="str">
        <f aca="false">IF(F332="N/A","N/A",IF(S332="","Not assessed",INDEX(Config!$B$5:$B$9,S332)))</f>
        <v>Low</v>
      </c>
      <c r="U332" s="7" t="str">
        <f aca="false">IF(P332=0,"None",IF(R332="Y","Applied","Pending HO approval"))</f>
        <v>None</v>
      </c>
      <c r="V332" s="8"/>
    </row>
    <row r="333" customFormat="false" ht="15" hidden="false" customHeight="false" outlineLevel="0" collapsed="false">
      <c r="A333" s="26" t="str">
        <f aca="false">Entities!$A$30</f>
        <v>CH</v>
      </c>
      <c r="B333" s="12" t="str">
        <f aca="false">INDEX(Entities!$B$5:$B$34,MATCH(A333,Entities!$A$5:$A$34,0))</f>
        <v>Arab Bank (Switzerland) – sister company</v>
      </c>
      <c r="C333" s="12" t="str">
        <f aca="false">INDEX(Entities!$D$5:$D$34,MATCH(A333,Entities!$A$5:$A$34,0))</f>
        <v>Europe</v>
      </c>
      <c r="D333" s="12" t="s">
        <v>266</v>
      </c>
      <c r="E333" s="12" t="str">
        <f aca="false">INDEX('Risk Taxonomy'!$B$5:$B$24,MATCH(D333,'Risk Taxonomy'!$A$5:$A$24,0))</f>
        <v>Shariah non-compliance</v>
      </c>
      <c r="F333" s="7" t="str">
        <f aca="false">IF(D333="RC-04",IF(INDEX(Entities!$G$5:$G$34,MATCH(A333,Entities!$A$5:$A$34,0))="Y","Yes","N/A"),"Yes")</f>
        <v>N/A</v>
      </c>
      <c r="G333" s="24"/>
      <c r="H333" s="24"/>
      <c r="I333" s="24"/>
      <c r="J333" s="24"/>
      <c r="K333" s="24"/>
      <c r="L333" s="37" t="str">
        <f aca="false">IF(F333="N/A","",IF(COUNT(H333:K333)=0,"",IF(Config!$C$19="Highest dimension",MAX(H333:K333),ROUND(H333*Config!$C$20+I333*Config!$C$21+J333*Config!$C$22+K333*Config!$C$23,1))))</f>
        <v/>
      </c>
      <c r="M333" s="38" t="str">
        <f aca="false">IF(OR(L333="",G333=""),"",G333*L333)</f>
        <v/>
      </c>
      <c r="N333" s="31" t="str">
        <f aca="false">IF(M333="","",MATCH(M333,Config!$E$5:$E$9,1))</f>
        <v/>
      </c>
      <c r="O333" s="7" t="str">
        <f aca="false">IF(F333="N/A","N/A",IF(N333="","Not assessed",INDEX(Config!$B$5:$B$9,N333)))</f>
        <v>N/A</v>
      </c>
      <c r="P333" s="32" t="n">
        <v>0</v>
      </c>
      <c r="Q333" s="8"/>
      <c r="R333" s="33"/>
      <c r="S333" s="34" t="str">
        <f aca="false">IF(N333="","",IF(AND(R333="Y",P333&lt;&gt;0),MAX(1,MIN(5,N333+MAX(-Config!$C$27,MIN(Config!$C$27,P333)))),N333))</f>
        <v/>
      </c>
      <c r="T333" s="35" t="str">
        <f aca="false">IF(F333="N/A","N/A",IF(S333="","Not assessed",INDEX(Config!$B$5:$B$9,S333)))</f>
        <v>N/A</v>
      </c>
      <c r="U333" s="7" t="str">
        <f aca="false">IF(P333=0,"None",IF(R333="Y","Applied","Pending HO approval"))</f>
        <v>None</v>
      </c>
      <c r="V333" s="8"/>
    </row>
    <row r="334" customFormat="false" ht="15" hidden="false" customHeight="false" outlineLevel="0" collapsed="false">
      <c r="A334" s="26" t="str">
        <f aca="false">Entities!$A$30</f>
        <v>CH</v>
      </c>
      <c r="B334" s="12" t="str">
        <f aca="false">INDEX(Entities!$B$5:$B$34,MATCH(A334,Entities!$A$5:$A$34,0))</f>
        <v>Arab Bank (Switzerland) – sister company</v>
      </c>
      <c r="C334" s="12" t="str">
        <f aca="false">INDEX(Entities!$D$5:$D$34,MATCH(A334,Entities!$A$5:$A$34,0))</f>
        <v>Europe</v>
      </c>
      <c r="D334" s="12" t="s">
        <v>270</v>
      </c>
      <c r="E334" s="12" t="str">
        <f aca="false">INDEX('Risk Taxonomy'!$B$5:$B$24,MATCH(D334,'Risk Taxonomy'!$A$5:$A$24,0))</f>
        <v>Credit risk</v>
      </c>
      <c r="F334" s="7" t="str">
        <f aca="false">IF(D334="RC-04",IF(INDEX(Entities!$G$5:$G$34,MATCH(A334,Entities!$A$5:$A$34,0))="Y","Yes","N/A"),"Yes")</f>
        <v>Yes</v>
      </c>
      <c r="G334" s="24" t="n">
        <v>3</v>
      </c>
      <c r="H334" s="24" t="n">
        <v>3</v>
      </c>
      <c r="I334" s="24" t="n">
        <v>1</v>
      </c>
      <c r="J334" s="24" t="n">
        <v>1</v>
      </c>
      <c r="K334" s="24" t="n">
        <v>4</v>
      </c>
      <c r="L334" s="37" t="n">
        <f aca="false">IF(F334="N/A","",IF(COUNT(H334:K334)=0,"",IF(Config!$C$19="Highest dimension",MAX(H334:K334),ROUND(H334*Config!$C$20+I334*Config!$C$21+J334*Config!$C$22+K334*Config!$C$23,1))))</f>
        <v>4</v>
      </c>
      <c r="M334" s="38" t="n">
        <f aca="false">IF(OR(L334="",G334=""),"",G334*L334)</f>
        <v>12</v>
      </c>
      <c r="N334" s="31" t="n">
        <f aca="false">IF(M334="","",MATCH(M334,Config!$E$5:$E$9,1))</f>
        <v>3</v>
      </c>
      <c r="O334" s="7" t="str">
        <f aca="false">IF(F334="N/A","N/A",IF(N334="","Not assessed",INDEX(Config!$B$5:$B$9,N334)))</f>
        <v>Medium</v>
      </c>
      <c r="P334" s="32" t="n">
        <v>0</v>
      </c>
      <c r="Q334" s="8"/>
      <c r="R334" s="33"/>
      <c r="S334" s="34" t="n">
        <f aca="false">IF(N334="","",IF(AND(R334="Y",P334&lt;&gt;0),MAX(1,MIN(5,N334+MAX(-Config!$C$27,MIN(Config!$C$27,P334)))),N334))</f>
        <v>3</v>
      </c>
      <c r="T334" s="35" t="str">
        <f aca="false">IF(F334="N/A","N/A",IF(S334="","Not assessed",INDEX(Config!$B$5:$B$9,S334)))</f>
        <v>Medium</v>
      </c>
      <c r="U334" s="7" t="str">
        <f aca="false">IF(P334=0,"None",IF(R334="Y","Applied","Pending HO approval"))</f>
        <v>None</v>
      </c>
      <c r="V334" s="8"/>
    </row>
    <row r="335" customFormat="false" ht="15" hidden="false" customHeight="false" outlineLevel="0" collapsed="false">
      <c r="A335" s="26" t="str">
        <f aca="false">Entities!$A$30</f>
        <v>CH</v>
      </c>
      <c r="B335" s="12" t="str">
        <f aca="false">INDEX(Entities!$B$5:$B$34,MATCH(A335,Entities!$A$5:$A$34,0))</f>
        <v>Arab Bank (Switzerland) – sister company</v>
      </c>
      <c r="C335" s="12" t="str">
        <f aca="false">INDEX(Entities!$D$5:$D$34,MATCH(A335,Entities!$A$5:$A$34,0))</f>
        <v>Europe</v>
      </c>
      <c r="D335" s="12" t="s">
        <v>275</v>
      </c>
      <c r="E335" s="12" t="str">
        <f aca="false">INDEX('Risk Taxonomy'!$B$5:$B$24,MATCH(D335,'Risk Taxonomy'!$A$5:$A$24,0))</f>
        <v>Market risk</v>
      </c>
      <c r="F335" s="7" t="str">
        <f aca="false">IF(D335="RC-04",IF(INDEX(Entities!$G$5:$G$34,MATCH(A335,Entities!$A$5:$A$34,0))="Y","Yes","N/A"),"Yes")</f>
        <v>Yes</v>
      </c>
      <c r="G335" s="24" t="n">
        <v>2</v>
      </c>
      <c r="H335" s="24" t="n">
        <v>2</v>
      </c>
      <c r="I335" s="24" t="n">
        <v>3</v>
      </c>
      <c r="J335" s="24" t="n">
        <v>2</v>
      </c>
      <c r="K335" s="24" t="n">
        <v>2</v>
      </c>
      <c r="L335" s="37" t="n">
        <f aca="false">IF(F335="N/A","",IF(COUNT(H335:K335)=0,"",IF(Config!$C$19="Highest dimension",MAX(H335:K335),ROUND(H335*Config!$C$20+I335*Config!$C$21+J335*Config!$C$22+K335*Config!$C$23,1))))</f>
        <v>3</v>
      </c>
      <c r="M335" s="38" t="n">
        <f aca="false">IF(OR(L335="",G335=""),"",G335*L335)</f>
        <v>6</v>
      </c>
      <c r="N335" s="31" t="n">
        <f aca="false">IF(M335="","",MATCH(M335,Config!$E$5:$E$9,1))</f>
        <v>2</v>
      </c>
      <c r="O335" s="7" t="str">
        <f aca="false">IF(F335="N/A","N/A",IF(N335="","Not assessed",INDEX(Config!$B$5:$B$9,N335)))</f>
        <v>Medium-Low</v>
      </c>
      <c r="P335" s="32" t="n">
        <v>0</v>
      </c>
      <c r="Q335" s="8"/>
      <c r="R335" s="33"/>
      <c r="S335" s="34" t="n">
        <f aca="false">IF(N335="","",IF(AND(R335="Y",P335&lt;&gt;0),MAX(1,MIN(5,N335+MAX(-Config!$C$27,MIN(Config!$C$27,P335)))),N335))</f>
        <v>2</v>
      </c>
      <c r="T335" s="35" t="str">
        <f aca="false">IF(F335="N/A","N/A",IF(S335="","Not assessed",INDEX(Config!$B$5:$B$9,S335)))</f>
        <v>Medium-Low</v>
      </c>
      <c r="U335" s="7" t="str">
        <f aca="false">IF(P335=0,"None",IF(R335="Y","Applied","Pending HO approval"))</f>
        <v>None</v>
      </c>
      <c r="V335" s="8"/>
    </row>
    <row r="336" customFormat="false" ht="15" hidden="false" customHeight="false" outlineLevel="0" collapsed="false">
      <c r="A336" s="26" t="str">
        <f aca="false">Entities!$A$30</f>
        <v>CH</v>
      </c>
      <c r="B336" s="12" t="str">
        <f aca="false">INDEX(Entities!$B$5:$B$34,MATCH(A336,Entities!$A$5:$A$34,0))</f>
        <v>Arab Bank (Switzerland) – sister company</v>
      </c>
      <c r="C336" s="12" t="str">
        <f aca="false">INDEX(Entities!$D$5:$D$34,MATCH(A336,Entities!$A$5:$A$34,0))</f>
        <v>Europe</v>
      </c>
      <c r="D336" s="12" t="s">
        <v>277</v>
      </c>
      <c r="E336" s="12" t="str">
        <f aca="false">INDEX('Risk Taxonomy'!$B$5:$B$24,MATCH(D336,'Risk Taxonomy'!$A$5:$A$24,0))</f>
        <v>Liquidity and funding risk</v>
      </c>
      <c r="F336" s="7" t="str">
        <f aca="false">IF(D336="RC-04",IF(INDEX(Entities!$G$5:$G$34,MATCH(A336,Entities!$A$5:$A$34,0))="Y","Yes","N/A"),"Yes")</f>
        <v>Yes</v>
      </c>
      <c r="G336" s="24" t="n">
        <v>3</v>
      </c>
      <c r="H336" s="24" t="n">
        <v>2</v>
      </c>
      <c r="I336" s="24" t="n">
        <v>3</v>
      </c>
      <c r="J336" s="24" t="n">
        <v>2</v>
      </c>
      <c r="K336" s="24" t="n">
        <v>2</v>
      </c>
      <c r="L336" s="37" t="n">
        <f aca="false">IF(F336="N/A","",IF(COUNT(H336:K336)=0,"",IF(Config!$C$19="Highest dimension",MAX(H336:K336),ROUND(H336*Config!$C$20+I336*Config!$C$21+J336*Config!$C$22+K336*Config!$C$23,1))))</f>
        <v>3</v>
      </c>
      <c r="M336" s="38" t="n">
        <f aca="false">IF(OR(L336="",G336=""),"",G336*L336)</f>
        <v>9</v>
      </c>
      <c r="N336" s="31" t="n">
        <f aca="false">IF(M336="","",MATCH(M336,Config!$E$5:$E$9,1))</f>
        <v>3</v>
      </c>
      <c r="O336" s="7" t="str">
        <f aca="false">IF(F336="N/A","N/A",IF(N336="","Not assessed",INDEX(Config!$B$5:$B$9,N336)))</f>
        <v>Medium</v>
      </c>
      <c r="P336" s="32" t="n">
        <v>0</v>
      </c>
      <c r="Q336" s="8"/>
      <c r="R336" s="33"/>
      <c r="S336" s="34" t="n">
        <f aca="false">IF(N336="","",IF(AND(R336="Y",P336&lt;&gt;0),MAX(1,MIN(5,N336+MAX(-Config!$C$27,MIN(Config!$C$27,P336)))),N336))</f>
        <v>3</v>
      </c>
      <c r="T336" s="35" t="str">
        <f aca="false">IF(F336="N/A","N/A",IF(S336="","Not assessed",INDEX(Config!$B$5:$B$9,S336)))</f>
        <v>Medium</v>
      </c>
      <c r="U336" s="7" t="str">
        <f aca="false">IF(P336=0,"None",IF(R336="Y","Applied","Pending HO approval"))</f>
        <v>None</v>
      </c>
      <c r="V336" s="8"/>
    </row>
    <row r="337" customFormat="false" ht="15" hidden="false" customHeight="false" outlineLevel="0" collapsed="false">
      <c r="A337" s="26" t="str">
        <f aca="false">Entities!$A$30</f>
        <v>CH</v>
      </c>
      <c r="B337" s="12" t="str">
        <f aca="false">INDEX(Entities!$B$5:$B$34,MATCH(A337,Entities!$A$5:$A$34,0))</f>
        <v>Arab Bank (Switzerland) – sister company</v>
      </c>
      <c r="C337" s="12" t="str">
        <f aca="false">INDEX(Entities!$D$5:$D$34,MATCH(A337,Entities!$A$5:$A$34,0))</f>
        <v>Europe</v>
      </c>
      <c r="D337" s="12" t="s">
        <v>280</v>
      </c>
      <c r="E337" s="12" t="str">
        <f aca="false">INDEX('Risk Taxonomy'!$B$5:$B$24,MATCH(D337,'Risk Taxonomy'!$A$5:$A$24,0))</f>
        <v>Operational risk</v>
      </c>
      <c r="F337" s="7" t="str">
        <f aca="false">IF(D337="RC-04",IF(INDEX(Entities!$G$5:$G$34,MATCH(A337,Entities!$A$5:$A$34,0))="Y","Yes","N/A"),"Yes")</f>
        <v>Yes</v>
      </c>
      <c r="G337" s="24" t="n">
        <v>2</v>
      </c>
      <c r="H337" s="24" t="n">
        <v>3</v>
      </c>
      <c r="I337" s="24" t="n">
        <v>4</v>
      </c>
      <c r="J337" s="24" t="n">
        <v>2</v>
      </c>
      <c r="K337" s="24" t="n">
        <v>3</v>
      </c>
      <c r="L337" s="37" t="n">
        <f aca="false">IF(F337="N/A","",IF(COUNT(H337:K337)=0,"",IF(Config!$C$19="Highest dimension",MAX(H337:K337),ROUND(H337*Config!$C$20+I337*Config!$C$21+J337*Config!$C$22+K337*Config!$C$23,1))))</f>
        <v>4</v>
      </c>
      <c r="M337" s="38" t="n">
        <f aca="false">IF(OR(L337="",G337=""),"",G337*L337)</f>
        <v>8</v>
      </c>
      <c r="N337" s="31" t="n">
        <f aca="false">IF(M337="","",MATCH(M337,Config!$E$5:$E$9,1))</f>
        <v>2</v>
      </c>
      <c r="O337" s="7" t="str">
        <f aca="false">IF(F337="N/A","N/A",IF(N337="","Not assessed",INDEX(Config!$B$5:$B$9,N337)))</f>
        <v>Medium-Low</v>
      </c>
      <c r="P337" s="32" t="n">
        <v>0</v>
      </c>
      <c r="Q337" s="8"/>
      <c r="R337" s="33"/>
      <c r="S337" s="34" t="n">
        <f aca="false">IF(N337="","",IF(AND(R337="Y",P337&lt;&gt;0),MAX(1,MIN(5,N337+MAX(-Config!$C$27,MIN(Config!$C$27,P337)))),N337))</f>
        <v>2</v>
      </c>
      <c r="T337" s="35" t="str">
        <f aca="false">IF(F337="N/A","N/A",IF(S337="","Not assessed",INDEX(Config!$B$5:$B$9,S337)))</f>
        <v>Medium-Low</v>
      </c>
      <c r="U337" s="7" t="str">
        <f aca="false">IF(P337=0,"None",IF(R337="Y","Applied","Pending HO approval"))</f>
        <v>None</v>
      </c>
      <c r="V337" s="8"/>
    </row>
    <row r="338" customFormat="false" ht="15" hidden="false" customHeight="false" outlineLevel="0" collapsed="false">
      <c r="A338" s="26" t="str">
        <f aca="false">Entities!$A$30</f>
        <v>CH</v>
      </c>
      <c r="B338" s="12" t="str">
        <f aca="false">INDEX(Entities!$B$5:$B$34,MATCH(A338,Entities!$A$5:$A$34,0))</f>
        <v>Arab Bank (Switzerland) – sister company</v>
      </c>
      <c r="C338" s="12" t="str">
        <f aca="false">INDEX(Entities!$D$5:$D$34,MATCH(A338,Entities!$A$5:$A$34,0))</f>
        <v>Europe</v>
      </c>
      <c r="D338" s="12" t="s">
        <v>283</v>
      </c>
      <c r="E338" s="12" t="str">
        <f aca="false">INDEX('Risk Taxonomy'!$B$5:$B$24,MATCH(D338,'Risk Taxonomy'!$A$5:$A$24,0))</f>
        <v>Cyber, information security and technology</v>
      </c>
      <c r="F338" s="7" t="str">
        <f aca="false">IF(D338="RC-04",IF(INDEX(Entities!$G$5:$G$34,MATCH(A338,Entities!$A$5:$A$34,0))="Y","Yes","N/A"),"Yes")</f>
        <v>Yes</v>
      </c>
      <c r="G338" s="24" t="n">
        <v>3</v>
      </c>
      <c r="H338" s="24" t="n">
        <v>3</v>
      </c>
      <c r="I338" s="24" t="n">
        <v>1</v>
      </c>
      <c r="J338" s="24" t="n">
        <v>2</v>
      </c>
      <c r="K338" s="24" t="n">
        <v>1</v>
      </c>
      <c r="L338" s="37" t="n">
        <f aca="false">IF(F338="N/A","",IF(COUNT(H338:K338)=0,"",IF(Config!$C$19="Highest dimension",MAX(H338:K338),ROUND(H338*Config!$C$20+I338*Config!$C$21+J338*Config!$C$22+K338*Config!$C$23,1))))</f>
        <v>3</v>
      </c>
      <c r="M338" s="38" t="n">
        <f aca="false">IF(OR(L338="",G338=""),"",G338*L338)</f>
        <v>9</v>
      </c>
      <c r="N338" s="31" t="n">
        <f aca="false">IF(M338="","",MATCH(M338,Config!$E$5:$E$9,1))</f>
        <v>3</v>
      </c>
      <c r="O338" s="7" t="str">
        <f aca="false">IF(F338="N/A","N/A",IF(N338="","Not assessed",INDEX(Config!$B$5:$B$9,N338)))</f>
        <v>Medium</v>
      </c>
      <c r="P338" s="32" t="n">
        <v>0</v>
      </c>
      <c r="Q338" s="8"/>
      <c r="R338" s="33"/>
      <c r="S338" s="34" t="n">
        <f aca="false">IF(N338="","",IF(AND(R338="Y",P338&lt;&gt;0),MAX(1,MIN(5,N338+MAX(-Config!$C$27,MIN(Config!$C$27,P338)))),N338))</f>
        <v>3</v>
      </c>
      <c r="T338" s="35" t="str">
        <f aca="false">IF(F338="N/A","N/A",IF(S338="","Not assessed",INDEX(Config!$B$5:$B$9,S338)))</f>
        <v>Medium</v>
      </c>
      <c r="U338" s="7" t="str">
        <f aca="false">IF(P338=0,"None",IF(R338="Y","Applied","Pending HO approval"))</f>
        <v>None</v>
      </c>
      <c r="V338" s="8"/>
    </row>
    <row r="339" customFormat="false" ht="15" hidden="false" customHeight="false" outlineLevel="0" collapsed="false">
      <c r="A339" s="26" t="str">
        <f aca="false">Entities!$A$30</f>
        <v>CH</v>
      </c>
      <c r="B339" s="12" t="str">
        <f aca="false">INDEX(Entities!$B$5:$B$34,MATCH(A339,Entities!$A$5:$A$34,0))</f>
        <v>Arab Bank (Switzerland) – sister company</v>
      </c>
      <c r="C339" s="12" t="str">
        <f aca="false">INDEX(Entities!$D$5:$D$34,MATCH(A339,Entities!$A$5:$A$34,0))</f>
        <v>Europe</v>
      </c>
      <c r="D339" s="12" t="s">
        <v>286</v>
      </c>
      <c r="E339" s="12" t="str">
        <f aca="false">INDEX('Risk Taxonomy'!$B$5:$B$24,MATCH(D339,'Risk Taxonomy'!$A$5:$A$24,0))</f>
        <v>Third-party and outsourcing</v>
      </c>
      <c r="F339" s="7" t="str">
        <f aca="false">IF(D339="RC-04",IF(INDEX(Entities!$G$5:$G$34,MATCH(A339,Entities!$A$5:$A$34,0))="Y","Yes","N/A"),"Yes")</f>
        <v>Yes</v>
      </c>
      <c r="G339" s="24" t="n">
        <v>2</v>
      </c>
      <c r="H339" s="24" t="n">
        <v>2</v>
      </c>
      <c r="I339" s="24" t="n">
        <v>2</v>
      </c>
      <c r="J339" s="24" t="n">
        <v>1</v>
      </c>
      <c r="K339" s="24" t="n">
        <v>2</v>
      </c>
      <c r="L339" s="37" t="n">
        <f aca="false">IF(F339="N/A","",IF(COUNT(H339:K339)=0,"",IF(Config!$C$19="Highest dimension",MAX(H339:K339),ROUND(H339*Config!$C$20+I339*Config!$C$21+J339*Config!$C$22+K339*Config!$C$23,1))))</f>
        <v>2</v>
      </c>
      <c r="M339" s="38" t="n">
        <f aca="false">IF(OR(L339="",G339=""),"",G339*L339)</f>
        <v>4</v>
      </c>
      <c r="N339" s="31" t="n">
        <f aca="false">IF(M339="","",MATCH(M339,Config!$E$5:$E$9,1))</f>
        <v>1</v>
      </c>
      <c r="O339" s="7" t="str">
        <f aca="false">IF(F339="N/A","N/A",IF(N339="","Not assessed",INDEX(Config!$B$5:$B$9,N339)))</f>
        <v>Low</v>
      </c>
      <c r="P339" s="32" t="n">
        <v>0</v>
      </c>
      <c r="Q339" s="8"/>
      <c r="R339" s="33"/>
      <c r="S339" s="34" t="n">
        <f aca="false">IF(N339="","",IF(AND(R339="Y",P339&lt;&gt;0),MAX(1,MIN(5,N339+MAX(-Config!$C$27,MIN(Config!$C$27,P339)))),N339))</f>
        <v>1</v>
      </c>
      <c r="T339" s="35" t="str">
        <f aca="false">IF(F339="N/A","N/A",IF(S339="","Not assessed",INDEX(Config!$B$5:$B$9,S339)))</f>
        <v>Low</v>
      </c>
      <c r="U339" s="7" t="str">
        <f aca="false">IF(P339=0,"None",IF(R339="Y","Applied","Pending HO approval"))</f>
        <v>None</v>
      </c>
      <c r="V339" s="8"/>
    </row>
    <row r="340" customFormat="false" ht="15" hidden="false" customHeight="false" outlineLevel="0" collapsed="false">
      <c r="A340" s="26" t="str">
        <f aca="false">Entities!$A$30</f>
        <v>CH</v>
      </c>
      <c r="B340" s="12" t="str">
        <f aca="false">INDEX(Entities!$B$5:$B$34,MATCH(A340,Entities!$A$5:$A$34,0))</f>
        <v>Arab Bank (Switzerland) – sister company</v>
      </c>
      <c r="C340" s="12" t="str">
        <f aca="false">INDEX(Entities!$D$5:$D$34,MATCH(A340,Entities!$A$5:$A$34,0))</f>
        <v>Europe</v>
      </c>
      <c r="D340" s="12" t="s">
        <v>289</v>
      </c>
      <c r="E340" s="12" t="str">
        <f aca="false">INDEX('Risk Taxonomy'!$B$5:$B$24,MATCH(D340,'Risk Taxonomy'!$A$5:$A$24,0))</f>
        <v>Legal and litigation</v>
      </c>
      <c r="F340" s="7" t="str">
        <f aca="false">IF(D340="RC-04",IF(INDEX(Entities!$G$5:$G$34,MATCH(A340,Entities!$A$5:$A$34,0))="Y","Yes","N/A"),"Yes")</f>
        <v>Yes</v>
      </c>
      <c r="G340" s="24" t="n">
        <v>2</v>
      </c>
      <c r="H340" s="24" t="n">
        <v>1</v>
      </c>
      <c r="I340" s="24" t="n">
        <v>2</v>
      </c>
      <c r="J340" s="24" t="n">
        <v>3</v>
      </c>
      <c r="K340" s="24" t="n">
        <v>3</v>
      </c>
      <c r="L340" s="37" t="n">
        <f aca="false">IF(F340="N/A","",IF(COUNT(H340:K340)=0,"",IF(Config!$C$19="Highest dimension",MAX(H340:K340),ROUND(H340*Config!$C$20+I340*Config!$C$21+J340*Config!$C$22+K340*Config!$C$23,1))))</f>
        <v>3</v>
      </c>
      <c r="M340" s="38" t="n">
        <f aca="false">IF(OR(L340="",G340=""),"",G340*L340)</f>
        <v>6</v>
      </c>
      <c r="N340" s="31" t="n">
        <f aca="false">IF(M340="","",MATCH(M340,Config!$E$5:$E$9,1))</f>
        <v>2</v>
      </c>
      <c r="O340" s="7" t="str">
        <f aca="false">IF(F340="N/A","N/A",IF(N340="","Not assessed",INDEX(Config!$B$5:$B$9,N340)))</f>
        <v>Medium-Low</v>
      </c>
      <c r="P340" s="32" t="n">
        <v>0</v>
      </c>
      <c r="Q340" s="8"/>
      <c r="R340" s="33"/>
      <c r="S340" s="34" t="n">
        <f aca="false">IF(N340="","",IF(AND(R340="Y",P340&lt;&gt;0),MAX(1,MIN(5,N340+MAX(-Config!$C$27,MIN(Config!$C$27,P340)))),N340))</f>
        <v>2</v>
      </c>
      <c r="T340" s="35" t="str">
        <f aca="false">IF(F340="N/A","N/A",IF(S340="","Not assessed",INDEX(Config!$B$5:$B$9,S340)))</f>
        <v>Medium-Low</v>
      </c>
      <c r="U340" s="7" t="str">
        <f aca="false">IF(P340=0,"None",IF(R340="Y","Applied","Pending HO approval"))</f>
        <v>None</v>
      </c>
      <c r="V340" s="8"/>
    </row>
    <row r="341" customFormat="false" ht="15" hidden="false" customHeight="false" outlineLevel="0" collapsed="false">
      <c r="A341" s="26" t="str">
        <f aca="false">Entities!$A$30</f>
        <v>CH</v>
      </c>
      <c r="B341" s="12" t="str">
        <f aca="false">INDEX(Entities!$B$5:$B$34,MATCH(A341,Entities!$A$5:$A$34,0))</f>
        <v>Arab Bank (Switzerland) – sister company</v>
      </c>
      <c r="C341" s="12" t="str">
        <f aca="false">INDEX(Entities!$D$5:$D$34,MATCH(A341,Entities!$A$5:$A$34,0))</f>
        <v>Europe</v>
      </c>
      <c r="D341" s="12" t="s">
        <v>292</v>
      </c>
      <c r="E341" s="12" t="str">
        <f aca="false">INDEX('Risk Taxonomy'!$B$5:$B$24,MATCH(D341,'Risk Taxonomy'!$A$5:$A$24,0))</f>
        <v>Reputational</v>
      </c>
      <c r="F341" s="7" t="str">
        <f aca="false">IF(D341="RC-04",IF(INDEX(Entities!$G$5:$G$34,MATCH(A341,Entities!$A$5:$A$34,0))="Y","Yes","N/A"),"Yes")</f>
        <v>Yes</v>
      </c>
      <c r="G341" s="24" t="n">
        <v>3</v>
      </c>
      <c r="H341" s="24" t="n">
        <v>1</v>
      </c>
      <c r="I341" s="24" t="n">
        <v>1</v>
      </c>
      <c r="J341" s="24" t="n">
        <v>2</v>
      </c>
      <c r="K341" s="24" t="n">
        <v>2</v>
      </c>
      <c r="L341" s="37" t="n">
        <f aca="false">IF(F341="N/A","",IF(COUNT(H341:K341)=0,"",IF(Config!$C$19="Highest dimension",MAX(H341:K341),ROUND(H341*Config!$C$20+I341*Config!$C$21+J341*Config!$C$22+K341*Config!$C$23,1))))</f>
        <v>2</v>
      </c>
      <c r="M341" s="38" t="n">
        <f aca="false">IF(OR(L341="",G341=""),"",G341*L341)</f>
        <v>6</v>
      </c>
      <c r="N341" s="31" t="n">
        <f aca="false">IF(M341="","",MATCH(M341,Config!$E$5:$E$9,1))</f>
        <v>2</v>
      </c>
      <c r="O341" s="7" t="str">
        <f aca="false">IF(F341="N/A","N/A",IF(N341="","Not assessed",INDEX(Config!$B$5:$B$9,N341)))</f>
        <v>Medium-Low</v>
      </c>
      <c r="P341" s="32" t="n">
        <v>0</v>
      </c>
      <c r="Q341" s="8"/>
      <c r="R341" s="33"/>
      <c r="S341" s="34" t="n">
        <f aca="false">IF(N341="","",IF(AND(R341="Y",P341&lt;&gt;0),MAX(1,MIN(5,N341+MAX(-Config!$C$27,MIN(Config!$C$27,P341)))),N341))</f>
        <v>2</v>
      </c>
      <c r="T341" s="35" t="str">
        <f aca="false">IF(F341="N/A","N/A",IF(S341="","Not assessed",INDEX(Config!$B$5:$B$9,S341)))</f>
        <v>Medium-Low</v>
      </c>
      <c r="U341" s="7" t="str">
        <f aca="false">IF(P341=0,"None",IF(R341="Y","Applied","Pending HO approval"))</f>
        <v>None</v>
      </c>
      <c r="V341" s="8"/>
    </row>
    <row r="342" customFormat="false" ht="15" hidden="false" customHeight="false" outlineLevel="0" collapsed="false">
      <c r="A342" s="26" t="str">
        <f aca="false">Entities!$A$30</f>
        <v>CH</v>
      </c>
      <c r="B342" s="12" t="str">
        <f aca="false">INDEX(Entities!$B$5:$B$34,MATCH(A342,Entities!$A$5:$A$34,0))</f>
        <v>Arab Bank (Switzerland) – sister company</v>
      </c>
      <c r="C342" s="12" t="str">
        <f aca="false">INDEX(Entities!$D$5:$D$34,MATCH(A342,Entities!$A$5:$A$34,0))</f>
        <v>Europe</v>
      </c>
      <c r="D342" s="12" t="s">
        <v>295</v>
      </c>
      <c r="E342" s="12" t="str">
        <f aca="false">INDEX('Risk Taxonomy'!$B$5:$B$24,MATCH(D342,'Risk Taxonomy'!$A$5:$A$24,0))</f>
        <v>Strategic, business model and ESG</v>
      </c>
      <c r="F342" s="7" t="str">
        <f aca="false">IF(D342="RC-04",IF(INDEX(Entities!$G$5:$G$34,MATCH(A342,Entities!$A$5:$A$34,0))="Y","Yes","N/A"),"Yes")</f>
        <v>Yes</v>
      </c>
      <c r="G342" s="24" t="n">
        <v>2</v>
      </c>
      <c r="H342" s="24" t="n">
        <v>2</v>
      </c>
      <c r="I342" s="24" t="n">
        <v>2</v>
      </c>
      <c r="J342" s="24" t="n">
        <v>2</v>
      </c>
      <c r="K342" s="24" t="n">
        <v>2</v>
      </c>
      <c r="L342" s="37" t="n">
        <f aca="false">IF(F342="N/A","",IF(COUNT(H342:K342)=0,"",IF(Config!$C$19="Highest dimension",MAX(H342:K342),ROUND(H342*Config!$C$20+I342*Config!$C$21+J342*Config!$C$22+K342*Config!$C$23,1))))</f>
        <v>2</v>
      </c>
      <c r="M342" s="38" t="n">
        <f aca="false">IF(OR(L342="",G342=""),"",G342*L342)</f>
        <v>4</v>
      </c>
      <c r="N342" s="31" t="n">
        <f aca="false">IF(M342="","",MATCH(M342,Config!$E$5:$E$9,1))</f>
        <v>1</v>
      </c>
      <c r="O342" s="7" t="str">
        <f aca="false">IF(F342="N/A","N/A",IF(N342="","Not assessed",INDEX(Config!$B$5:$B$9,N342)))</f>
        <v>Low</v>
      </c>
      <c r="P342" s="32" t="n">
        <v>0</v>
      </c>
      <c r="Q342" s="8"/>
      <c r="R342" s="33"/>
      <c r="S342" s="34" t="n">
        <f aca="false">IF(N342="","",IF(AND(R342="Y",P342&lt;&gt;0),MAX(1,MIN(5,N342+MAX(-Config!$C$27,MIN(Config!$C$27,P342)))),N342))</f>
        <v>1</v>
      </c>
      <c r="T342" s="35" t="str">
        <f aca="false">IF(F342="N/A","N/A",IF(S342="","Not assessed",INDEX(Config!$B$5:$B$9,S342)))</f>
        <v>Low</v>
      </c>
      <c r="U342" s="7" t="str">
        <f aca="false">IF(P342=0,"None",IF(R342="Y","Applied","Pending HO approval"))</f>
        <v>None</v>
      </c>
      <c r="V342" s="8"/>
    </row>
    <row r="343" customFormat="false" ht="15" hidden="false" customHeight="false" outlineLevel="0" collapsed="false">
      <c r="A343" s="26" t="str">
        <f aca="false">Entities!$A$31</f>
        <v>SG</v>
      </c>
      <c r="B343" s="12" t="str">
        <f aca="false">INDEX(Entities!$B$5:$B$34,MATCH(A343,Entities!$A$5:$A$34,0))</f>
        <v>Arab Bank – Singapore</v>
      </c>
      <c r="C343" s="12" t="str">
        <f aca="false">INDEX(Entities!$D$5:$D$34,MATCH(A343,Entities!$A$5:$A$34,0))</f>
        <v>Asia-Pacific</v>
      </c>
      <c r="D343" s="12" t="s">
        <v>257</v>
      </c>
      <c r="E343" s="12" t="str">
        <f aca="false">INDEX('Risk Taxonomy'!$B$5:$B$24,MATCH(D343,'Risk Taxonomy'!$A$5:$A$24,0))</f>
        <v>Regulatory compliance</v>
      </c>
      <c r="F343" s="7" t="str">
        <f aca="false">IF(D343="RC-04",IF(INDEX(Entities!$G$5:$G$34,MATCH(A343,Entities!$A$5:$A$34,0))="Y","Yes","N/A"),"Yes")</f>
        <v>Yes</v>
      </c>
      <c r="G343" s="24" t="n">
        <v>2</v>
      </c>
      <c r="H343" s="24" t="n">
        <v>2</v>
      </c>
      <c r="I343" s="24" t="n">
        <v>1</v>
      </c>
      <c r="J343" s="24" t="n">
        <v>1</v>
      </c>
      <c r="K343" s="24" t="n">
        <v>3</v>
      </c>
      <c r="L343" s="37" t="n">
        <f aca="false">IF(F343="N/A","",IF(COUNT(H343:K343)=0,"",IF(Config!$C$19="Highest dimension",MAX(H343:K343),ROUND(H343*Config!$C$20+I343*Config!$C$21+J343*Config!$C$22+K343*Config!$C$23,1))))</f>
        <v>3</v>
      </c>
      <c r="M343" s="38" t="n">
        <f aca="false">IF(OR(L343="",G343=""),"",G343*L343)</f>
        <v>6</v>
      </c>
      <c r="N343" s="31" t="n">
        <f aca="false">IF(M343="","",MATCH(M343,Config!$E$5:$E$9,1))</f>
        <v>2</v>
      </c>
      <c r="O343" s="7" t="str">
        <f aca="false">IF(F343="N/A","N/A",IF(N343="","Not assessed",INDEX(Config!$B$5:$B$9,N343)))</f>
        <v>Medium-Low</v>
      </c>
      <c r="P343" s="32" t="n">
        <v>0</v>
      </c>
      <c r="Q343" s="8"/>
      <c r="R343" s="33"/>
      <c r="S343" s="34" t="n">
        <f aca="false">IF(N343="","",IF(AND(R343="Y",P343&lt;&gt;0),MAX(1,MIN(5,N343+MAX(-Config!$C$27,MIN(Config!$C$27,P343)))),N343))</f>
        <v>2</v>
      </c>
      <c r="T343" s="35" t="str">
        <f aca="false">IF(F343="N/A","N/A",IF(S343="","Not assessed",INDEX(Config!$B$5:$B$9,S343)))</f>
        <v>Medium-Low</v>
      </c>
      <c r="U343" s="7" t="str">
        <f aca="false">IF(P343=0,"None",IF(R343="Y","Applied","Pending HO approval"))</f>
        <v>None</v>
      </c>
      <c r="V343" s="8"/>
    </row>
    <row r="344" customFormat="false" ht="15" hidden="false" customHeight="false" outlineLevel="0" collapsed="false">
      <c r="A344" s="26" t="str">
        <f aca="false">Entities!$A$31</f>
        <v>SG</v>
      </c>
      <c r="B344" s="12" t="str">
        <f aca="false">INDEX(Entities!$B$5:$B$34,MATCH(A344,Entities!$A$5:$A$34,0))</f>
        <v>Arab Bank – Singapore</v>
      </c>
      <c r="C344" s="12" t="str">
        <f aca="false">INDEX(Entities!$D$5:$D$34,MATCH(A344,Entities!$A$5:$A$34,0))</f>
        <v>Asia-Pacific</v>
      </c>
      <c r="D344" s="12" t="s">
        <v>261</v>
      </c>
      <c r="E344" s="12" t="str">
        <f aca="false">INDEX('Risk Taxonomy'!$B$5:$B$24,MATCH(D344,'Risk Taxonomy'!$A$5:$A$24,0))</f>
        <v>Conduct and consumer protection</v>
      </c>
      <c r="F344" s="7" t="str">
        <f aca="false">IF(D344="RC-04",IF(INDEX(Entities!$G$5:$G$34,MATCH(A344,Entities!$A$5:$A$34,0))="Y","Yes","N/A"),"Yes")</f>
        <v>Yes</v>
      </c>
      <c r="G344" s="24" t="n">
        <v>2</v>
      </c>
      <c r="H344" s="24" t="n">
        <v>3</v>
      </c>
      <c r="I344" s="24" t="n">
        <v>1</v>
      </c>
      <c r="J344" s="24" t="n">
        <v>3</v>
      </c>
      <c r="K344" s="24" t="n">
        <v>4</v>
      </c>
      <c r="L344" s="37" t="n">
        <f aca="false">IF(F344="N/A","",IF(COUNT(H344:K344)=0,"",IF(Config!$C$19="Highest dimension",MAX(H344:K344),ROUND(H344*Config!$C$20+I344*Config!$C$21+J344*Config!$C$22+K344*Config!$C$23,1))))</f>
        <v>4</v>
      </c>
      <c r="M344" s="38" t="n">
        <f aca="false">IF(OR(L344="",G344=""),"",G344*L344)</f>
        <v>8</v>
      </c>
      <c r="N344" s="31" t="n">
        <f aca="false">IF(M344="","",MATCH(M344,Config!$E$5:$E$9,1))</f>
        <v>2</v>
      </c>
      <c r="O344" s="7" t="str">
        <f aca="false">IF(F344="N/A","N/A",IF(N344="","Not assessed",INDEX(Config!$B$5:$B$9,N344)))</f>
        <v>Medium-Low</v>
      </c>
      <c r="P344" s="32" t="n">
        <v>0</v>
      </c>
      <c r="Q344" s="8"/>
      <c r="R344" s="33"/>
      <c r="S344" s="34" t="n">
        <f aca="false">IF(N344="","",IF(AND(R344="Y",P344&lt;&gt;0),MAX(1,MIN(5,N344+MAX(-Config!$C$27,MIN(Config!$C$27,P344)))),N344))</f>
        <v>2</v>
      </c>
      <c r="T344" s="35" t="str">
        <f aca="false">IF(F344="N/A","N/A",IF(S344="","Not assessed",INDEX(Config!$B$5:$B$9,S344)))</f>
        <v>Medium-Low</v>
      </c>
      <c r="U344" s="7" t="str">
        <f aca="false">IF(P344=0,"None",IF(R344="Y","Applied","Pending HO approval"))</f>
        <v>None</v>
      </c>
      <c r="V344" s="8"/>
    </row>
    <row r="345" customFormat="false" ht="15" hidden="false" customHeight="false" outlineLevel="0" collapsed="false">
      <c r="A345" s="26" t="str">
        <f aca="false">Entities!$A$31</f>
        <v>SG</v>
      </c>
      <c r="B345" s="12" t="str">
        <f aca="false">INDEX(Entities!$B$5:$B$34,MATCH(A345,Entities!$A$5:$A$34,0))</f>
        <v>Arab Bank – Singapore</v>
      </c>
      <c r="C345" s="12" t="str">
        <f aca="false">INDEX(Entities!$D$5:$D$34,MATCH(A345,Entities!$A$5:$A$34,0))</f>
        <v>Asia-Pacific</v>
      </c>
      <c r="D345" s="12" t="s">
        <v>263</v>
      </c>
      <c r="E345" s="12" t="str">
        <f aca="false">INDEX('Risk Taxonomy'!$B$5:$B$24,MATCH(D345,'Risk Taxonomy'!$A$5:$A$24,0))</f>
        <v>Data protection and privacy</v>
      </c>
      <c r="F345" s="7" t="str">
        <f aca="false">IF(D345="RC-04",IF(INDEX(Entities!$G$5:$G$34,MATCH(A345,Entities!$A$5:$A$34,0))="Y","Yes","N/A"),"Yes")</f>
        <v>Yes</v>
      </c>
      <c r="G345" s="24" t="n">
        <v>2</v>
      </c>
      <c r="H345" s="24" t="n">
        <v>3</v>
      </c>
      <c r="I345" s="24" t="n">
        <v>1</v>
      </c>
      <c r="J345" s="24" t="n">
        <v>2</v>
      </c>
      <c r="K345" s="24" t="n">
        <v>1</v>
      </c>
      <c r="L345" s="37" t="n">
        <f aca="false">IF(F345="N/A","",IF(COUNT(H345:K345)=0,"",IF(Config!$C$19="Highest dimension",MAX(H345:K345),ROUND(H345*Config!$C$20+I345*Config!$C$21+J345*Config!$C$22+K345*Config!$C$23,1))))</f>
        <v>3</v>
      </c>
      <c r="M345" s="38" t="n">
        <f aca="false">IF(OR(L345="",G345=""),"",G345*L345)</f>
        <v>6</v>
      </c>
      <c r="N345" s="31" t="n">
        <f aca="false">IF(M345="","",MATCH(M345,Config!$E$5:$E$9,1))</f>
        <v>2</v>
      </c>
      <c r="O345" s="7" t="str">
        <f aca="false">IF(F345="N/A","N/A",IF(N345="","Not assessed",INDEX(Config!$B$5:$B$9,N345)))</f>
        <v>Medium-Low</v>
      </c>
      <c r="P345" s="32" t="n">
        <v>0</v>
      </c>
      <c r="Q345" s="8"/>
      <c r="R345" s="33"/>
      <c r="S345" s="34" t="n">
        <f aca="false">IF(N345="","",IF(AND(R345="Y",P345&lt;&gt;0),MAX(1,MIN(5,N345+MAX(-Config!$C$27,MIN(Config!$C$27,P345)))),N345))</f>
        <v>2</v>
      </c>
      <c r="T345" s="35" t="str">
        <f aca="false">IF(F345="N/A","N/A",IF(S345="","Not assessed",INDEX(Config!$B$5:$B$9,S345)))</f>
        <v>Medium-Low</v>
      </c>
      <c r="U345" s="7" t="str">
        <f aca="false">IF(P345=0,"None",IF(R345="Y","Applied","Pending HO approval"))</f>
        <v>None</v>
      </c>
      <c r="V345" s="8"/>
    </row>
    <row r="346" customFormat="false" ht="15" hidden="false" customHeight="false" outlineLevel="0" collapsed="false">
      <c r="A346" s="26" t="str">
        <f aca="false">Entities!$A$31</f>
        <v>SG</v>
      </c>
      <c r="B346" s="12" t="str">
        <f aca="false">INDEX(Entities!$B$5:$B$34,MATCH(A346,Entities!$A$5:$A$34,0))</f>
        <v>Arab Bank – Singapore</v>
      </c>
      <c r="C346" s="12" t="str">
        <f aca="false">INDEX(Entities!$D$5:$D$34,MATCH(A346,Entities!$A$5:$A$34,0))</f>
        <v>Asia-Pacific</v>
      </c>
      <c r="D346" s="12" t="s">
        <v>266</v>
      </c>
      <c r="E346" s="12" t="str">
        <f aca="false">INDEX('Risk Taxonomy'!$B$5:$B$24,MATCH(D346,'Risk Taxonomy'!$A$5:$A$24,0))</f>
        <v>Shariah non-compliance</v>
      </c>
      <c r="F346" s="7" t="str">
        <f aca="false">IF(D346="RC-04",IF(INDEX(Entities!$G$5:$G$34,MATCH(A346,Entities!$A$5:$A$34,0))="Y","Yes","N/A"),"Yes")</f>
        <v>N/A</v>
      </c>
      <c r="G346" s="24"/>
      <c r="H346" s="24"/>
      <c r="I346" s="24"/>
      <c r="J346" s="24"/>
      <c r="K346" s="24"/>
      <c r="L346" s="37" t="str">
        <f aca="false">IF(F346="N/A","",IF(COUNT(H346:K346)=0,"",IF(Config!$C$19="Highest dimension",MAX(H346:K346),ROUND(H346*Config!$C$20+I346*Config!$C$21+J346*Config!$C$22+K346*Config!$C$23,1))))</f>
        <v/>
      </c>
      <c r="M346" s="38" t="str">
        <f aca="false">IF(OR(L346="",G346=""),"",G346*L346)</f>
        <v/>
      </c>
      <c r="N346" s="31" t="str">
        <f aca="false">IF(M346="","",MATCH(M346,Config!$E$5:$E$9,1))</f>
        <v/>
      </c>
      <c r="O346" s="7" t="str">
        <f aca="false">IF(F346="N/A","N/A",IF(N346="","Not assessed",INDEX(Config!$B$5:$B$9,N346)))</f>
        <v>N/A</v>
      </c>
      <c r="P346" s="32" t="n">
        <v>0</v>
      </c>
      <c r="Q346" s="8"/>
      <c r="R346" s="33"/>
      <c r="S346" s="34" t="str">
        <f aca="false">IF(N346="","",IF(AND(R346="Y",P346&lt;&gt;0),MAX(1,MIN(5,N346+MAX(-Config!$C$27,MIN(Config!$C$27,P346)))),N346))</f>
        <v/>
      </c>
      <c r="T346" s="35" t="str">
        <f aca="false">IF(F346="N/A","N/A",IF(S346="","Not assessed",INDEX(Config!$B$5:$B$9,S346)))</f>
        <v>N/A</v>
      </c>
      <c r="U346" s="7" t="str">
        <f aca="false">IF(P346=0,"None",IF(R346="Y","Applied","Pending HO approval"))</f>
        <v>None</v>
      </c>
      <c r="V346" s="8"/>
    </row>
    <row r="347" customFormat="false" ht="15" hidden="false" customHeight="false" outlineLevel="0" collapsed="false">
      <c r="A347" s="26" t="str">
        <f aca="false">Entities!$A$31</f>
        <v>SG</v>
      </c>
      <c r="B347" s="12" t="str">
        <f aca="false">INDEX(Entities!$B$5:$B$34,MATCH(A347,Entities!$A$5:$A$34,0))</f>
        <v>Arab Bank – Singapore</v>
      </c>
      <c r="C347" s="12" t="str">
        <f aca="false">INDEX(Entities!$D$5:$D$34,MATCH(A347,Entities!$A$5:$A$34,0))</f>
        <v>Asia-Pacific</v>
      </c>
      <c r="D347" s="12" t="s">
        <v>270</v>
      </c>
      <c r="E347" s="12" t="str">
        <f aca="false">INDEX('Risk Taxonomy'!$B$5:$B$24,MATCH(D347,'Risk Taxonomy'!$A$5:$A$24,0))</f>
        <v>Credit risk</v>
      </c>
      <c r="F347" s="7" t="str">
        <f aca="false">IF(D347="RC-04",IF(INDEX(Entities!$G$5:$G$34,MATCH(A347,Entities!$A$5:$A$34,0))="Y","Yes","N/A"),"Yes")</f>
        <v>Yes</v>
      </c>
      <c r="G347" s="24" t="n">
        <v>2</v>
      </c>
      <c r="H347" s="24" t="n">
        <v>1</v>
      </c>
      <c r="I347" s="24" t="n">
        <v>3</v>
      </c>
      <c r="J347" s="24" t="n">
        <v>4</v>
      </c>
      <c r="K347" s="24" t="n">
        <v>2</v>
      </c>
      <c r="L347" s="37" t="n">
        <f aca="false">IF(F347="N/A","",IF(COUNT(H347:K347)=0,"",IF(Config!$C$19="Highest dimension",MAX(H347:K347),ROUND(H347*Config!$C$20+I347*Config!$C$21+J347*Config!$C$22+K347*Config!$C$23,1))))</f>
        <v>4</v>
      </c>
      <c r="M347" s="38" t="n">
        <f aca="false">IF(OR(L347="",G347=""),"",G347*L347)</f>
        <v>8</v>
      </c>
      <c r="N347" s="31" t="n">
        <f aca="false">IF(M347="","",MATCH(M347,Config!$E$5:$E$9,1))</f>
        <v>2</v>
      </c>
      <c r="O347" s="7" t="str">
        <f aca="false">IF(F347="N/A","N/A",IF(N347="","Not assessed",INDEX(Config!$B$5:$B$9,N347)))</f>
        <v>Medium-Low</v>
      </c>
      <c r="P347" s="32" t="n">
        <v>0</v>
      </c>
      <c r="Q347" s="8"/>
      <c r="R347" s="33"/>
      <c r="S347" s="34" t="n">
        <f aca="false">IF(N347="","",IF(AND(R347="Y",P347&lt;&gt;0),MAX(1,MIN(5,N347+MAX(-Config!$C$27,MIN(Config!$C$27,P347)))),N347))</f>
        <v>2</v>
      </c>
      <c r="T347" s="35" t="str">
        <f aca="false">IF(F347="N/A","N/A",IF(S347="","Not assessed",INDEX(Config!$B$5:$B$9,S347)))</f>
        <v>Medium-Low</v>
      </c>
      <c r="U347" s="7" t="str">
        <f aca="false">IF(P347=0,"None",IF(R347="Y","Applied","Pending HO approval"))</f>
        <v>None</v>
      </c>
      <c r="V347" s="8"/>
    </row>
    <row r="348" customFormat="false" ht="15" hidden="false" customHeight="false" outlineLevel="0" collapsed="false">
      <c r="A348" s="26" t="str">
        <f aca="false">Entities!$A$31</f>
        <v>SG</v>
      </c>
      <c r="B348" s="12" t="str">
        <f aca="false">INDEX(Entities!$B$5:$B$34,MATCH(A348,Entities!$A$5:$A$34,0))</f>
        <v>Arab Bank – Singapore</v>
      </c>
      <c r="C348" s="12" t="str">
        <f aca="false">INDEX(Entities!$D$5:$D$34,MATCH(A348,Entities!$A$5:$A$34,0))</f>
        <v>Asia-Pacific</v>
      </c>
      <c r="D348" s="12" t="s">
        <v>275</v>
      </c>
      <c r="E348" s="12" t="str">
        <f aca="false">INDEX('Risk Taxonomy'!$B$5:$B$24,MATCH(D348,'Risk Taxonomy'!$A$5:$A$24,0))</f>
        <v>Market risk</v>
      </c>
      <c r="F348" s="7" t="str">
        <f aca="false">IF(D348="RC-04",IF(INDEX(Entities!$G$5:$G$34,MATCH(A348,Entities!$A$5:$A$34,0))="Y","Yes","N/A"),"Yes")</f>
        <v>Yes</v>
      </c>
      <c r="G348" s="24" t="n">
        <v>3</v>
      </c>
      <c r="H348" s="24" t="n">
        <v>2</v>
      </c>
      <c r="I348" s="24" t="n">
        <v>2</v>
      </c>
      <c r="J348" s="24" t="n">
        <v>2</v>
      </c>
      <c r="K348" s="24" t="n">
        <v>3</v>
      </c>
      <c r="L348" s="37" t="n">
        <f aca="false">IF(F348="N/A","",IF(COUNT(H348:K348)=0,"",IF(Config!$C$19="Highest dimension",MAX(H348:K348),ROUND(H348*Config!$C$20+I348*Config!$C$21+J348*Config!$C$22+K348*Config!$C$23,1))))</f>
        <v>3</v>
      </c>
      <c r="M348" s="38" t="n">
        <f aca="false">IF(OR(L348="",G348=""),"",G348*L348)</f>
        <v>9</v>
      </c>
      <c r="N348" s="31" t="n">
        <f aca="false">IF(M348="","",MATCH(M348,Config!$E$5:$E$9,1))</f>
        <v>3</v>
      </c>
      <c r="O348" s="7" t="str">
        <f aca="false">IF(F348="N/A","N/A",IF(N348="","Not assessed",INDEX(Config!$B$5:$B$9,N348)))</f>
        <v>Medium</v>
      </c>
      <c r="P348" s="32" t="n">
        <v>0</v>
      </c>
      <c r="Q348" s="8"/>
      <c r="R348" s="33"/>
      <c r="S348" s="34" t="n">
        <f aca="false">IF(N348="","",IF(AND(R348="Y",P348&lt;&gt;0),MAX(1,MIN(5,N348+MAX(-Config!$C$27,MIN(Config!$C$27,P348)))),N348))</f>
        <v>3</v>
      </c>
      <c r="T348" s="35" t="str">
        <f aca="false">IF(F348="N/A","N/A",IF(S348="","Not assessed",INDEX(Config!$B$5:$B$9,S348)))</f>
        <v>Medium</v>
      </c>
      <c r="U348" s="7" t="str">
        <f aca="false">IF(P348=0,"None",IF(R348="Y","Applied","Pending HO approval"))</f>
        <v>None</v>
      </c>
      <c r="V348" s="8"/>
    </row>
    <row r="349" customFormat="false" ht="15" hidden="false" customHeight="false" outlineLevel="0" collapsed="false">
      <c r="A349" s="26" t="str">
        <f aca="false">Entities!$A$31</f>
        <v>SG</v>
      </c>
      <c r="B349" s="12" t="str">
        <f aca="false">INDEX(Entities!$B$5:$B$34,MATCH(A349,Entities!$A$5:$A$34,0))</f>
        <v>Arab Bank – Singapore</v>
      </c>
      <c r="C349" s="12" t="str">
        <f aca="false">INDEX(Entities!$D$5:$D$34,MATCH(A349,Entities!$A$5:$A$34,0))</f>
        <v>Asia-Pacific</v>
      </c>
      <c r="D349" s="12" t="s">
        <v>277</v>
      </c>
      <c r="E349" s="12" t="str">
        <f aca="false">INDEX('Risk Taxonomy'!$B$5:$B$24,MATCH(D349,'Risk Taxonomy'!$A$5:$A$24,0))</f>
        <v>Liquidity and funding risk</v>
      </c>
      <c r="F349" s="7" t="str">
        <f aca="false">IF(D349="RC-04",IF(INDEX(Entities!$G$5:$G$34,MATCH(A349,Entities!$A$5:$A$34,0))="Y","Yes","N/A"),"Yes")</f>
        <v>Yes</v>
      </c>
      <c r="G349" s="24" t="n">
        <v>2</v>
      </c>
      <c r="H349" s="24" t="n">
        <v>3</v>
      </c>
      <c r="I349" s="24" t="n">
        <v>4</v>
      </c>
      <c r="J349" s="24" t="n">
        <v>3</v>
      </c>
      <c r="K349" s="24" t="n">
        <v>4</v>
      </c>
      <c r="L349" s="37" t="n">
        <f aca="false">IF(F349="N/A","",IF(COUNT(H349:K349)=0,"",IF(Config!$C$19="Highest dimension",MAX(H349:K349),ROUND(H349*Config!$C$20+I349*Config!$C$21+J349*Config!$C$22+K349*Config!$C$23,1))))</f>
        <v>4</v>
      </c>
      <c r="M349" s="38" t="n">
        <f aca="false">IF(OR(L349="",G349=""),"",G349*L349)</f>
        <v>8</v>
      </c>
      <c r="N349" s="31" t="n">
        <f aca="false">IF(M349="","",MATCH(M349,Config!$E$5:$E$9,1))</f>
        <v>2</v>
      </c>
      <c r="O349" s="7" t="str">
        <f aca="false">IF(F349="N/A","N/A",IF(N349="","Not assessed",INDEX(Config!$B$5:$B$9,N349)))</f>
        <v>Medium-Low</v>
      </c>
      <c r="P349" s="32" t="n">
        <v>0</v>
      </c>
      <c r="Q349" s="8"/>
      <c r="R349" s="33"/>
      <c r="S349" s="34" t="n">
        <f aca="false">IF(N349="","",IF(AND(R349="Y",P349&lt;&gt;0),MAX(1,MIN(5,N349+MAX(-Config!$C$27,MIN(Config!$C$27,P349)))),N349))</f>
        <v>2</v>
      </c>
      <c r="T349" s="35" t="str">
        <f aca="false">IF(F349="N/A","N/A",IF(S349="","Not assessed",INDEX(Config!$B$5:$B$9,S349)))</f>
        <v>Medium-Low</v>
      </c>
      <c r="U349" s="7" t="str">
        <f aca="false">IF(P349=0,"None",IF(R349="Y","Applied","Pending HO approval"))</f>
        <v>None</v>
      </c>
      <c r="V349" s="8"/>
    </row>
    <row r="350" customFormat="false" ht="15" hidden="false" customHeight="false" outlineLevel="0" collapsed="false">
      <c r="A350" s="26" t="str">
        <f aca="false">Entities!$A$31</f>
        <v>SG</v>
      </c>
      <c r="B350" s="12" t="str">
        <f aca="false">INDEX(Entities!$B$5:$B$34,MATCH(A350,Entities!$A$5:$A$34,0))</f>
        <v>Arab Bank – Singapore</v>
      </c>
      <c r="C350" s="12" t="str">
        <f aca="false">INDEX(Entities!$D$5:$D$34,MATCH(A350,Entities!$A$5:$A$34,0))</f>
        <v>Asia-Pacific</v>
      </c>
      <c r="D350" s="12" t="s">
        <v>280</v>
      </c>
      <c r="E350" s="12" t="str">
        <f aca="false">INDEX('Risk Taxonomy'!$B$5:$B$24,MATCH(D350,'Risk Taxonomy'!$A$5:$A$24,0))</f>
        <v>Operational risk</v>
      </c>
      <c r="F350" s="7" t="str">
        <f aca="false">IF(D350="RC-04",IF(INDEX(Entities!$G$5:$G$34,MATCH(A350,Entities!$A$5:$A$34,0))="Y","Yes","N/A"),"Yes")</f>
        <v>Yes</v>
      </c>
      <c r="G350" s="24" t="n">
        <v>2</v>
      </c>
      <c r="H350" s="24" t="n">
        <v>2</v>
      </c>
      <c r="I350" s="24" t="n">
        <v>1</v>
      </c>
      <c r="J350" s="24" t="n">
        <v>3</v>
      </c>
      <c r="K350" s="24" t="n">
        <v>3</v>
      </c>
      <c r="L350" s="37" t="n">
        <f aca="false">IF(F350="N/A","",IF(COUNT(H350:K350)=0,"",IF(Config!$C$19="Highest dimension",MAX(H350:K350),ROUND(H350*Config!$C$20+I350*Config!$C$21+J350*Config!$C$22+K350*Config!$C$23,1))))</f>
        <v>3</v>
      </c>
      <c r="M350" s="38" t="n">
        <f aca="false">IF(OR(L350="",G350=""),"",G350*L350)</f>
        <v>6</v>
      </c>
      <c r="N350" s="31" t="n">
        <f aca="false">IF(M350="","",MATCH(M350,Config!$E$5:$E$9,1))</f>
        <v>2</v>
      </c>
      <c r="O350" s="7" t="str">
        <f aca="false">IF(F350="N/A","N/A",IF(N350="","Not assessed",INDEX(Config!$B$5:$B$9,N350)))</f>
        <v>Medium-Low</v>
      </c>
      <c r="P350" s="32" t="n">
        <v>0</v>
      </c>
      <c r="Q350" s="8"/>
      <c r="R350" s="33"/>
      <c r="S350" s="34" t="n">
        <f aca="false">IF(N350="","",IF(AND(R350="Y",P350&lt;&gt;0),MAX(1,MIN(5,N350+MAX(-Config!$C$27,MIN(Config!$C$27,P350)))),N350))</f>
        <v>2</v>
      </c>
      <c r="T350" s="35" t="str">
        <f aca="false">IF(F350="N/A","N/A",IF(S350="","Not assessed",INDEX(Config!$B$5:$B$9,S350)))</f>
        <v>Medium-Low</v>
      </c>
      <c r="U350" s="7" t="str">
        <f aca="false">IF(P350=0,"None",IF(R350="Y","Applied","Pending HO approval"))</f>
        <v>None</v>
      </c>
      <c r="V350" s="8"/>
    </row>
    <row r="351" customFormat="false" ht="15" hidden="false" customHeight="false" outlineLevel="0" collapsed="false">
      <c r="A351" s="26" t="str">
        <f aca="false">Entities!$A$31</f>
        <v>SG</v>
      </c>
      <c r="B351" s="12" t="str">
        <f aca="false">INDEX(Entities!$B$5:$B$34,MATCH(A351,Entities!$A$5:$A$34,0))</f>
        <v>Arab Bank – Singapore</v>
      </c>
      <c r="C351" s="12" t="str">
        <f aca="false">INDEX(Entities!$D$5:$D$34,MATCH(A351,Entities!$A$5:$A$34,0))</f>
        <v>Asia-Pacific</v>
      </c>
      <c r="D351" s="12" t="s">
        <v>283</v>
      </c>
      <c r="E351" s="12" t="str">
        <f aca="false">INDEX('Risk Taxonomy'!$B$5:$B$24,MATCH(D351,'Risk Taxonomy'!$A$5:$A$24,0))</f>
        <v>Cyber, information security and technology</v>
      </c>
      <c r="F351" s="7" t="str">
        <f aca="false">IF(D351="RC-04",IF(INDEX(Entities!$G$5:$G$34,MATCH(A351,Entities!$A$5:$A$34,0))="Y","Yes","N/A"),"Yes")</f>
        <v>Yes</v>
      </c>
      <c r="G351" s="24" t="n">
        <v>3</v>
      </c>
      <c r="H351" s="24" t="n">
        <v>3</v>
      </c>
      <c r="I351" s="24" t="n">
        <v>2</v>
      </c>
      <c r="J351" s="24" t="n">
        <v>1</v>
      </c>
      <c r="K351" s="24" t="n">
        <v>2</v>
      </c>
      <c r="L351" s="37" t="n">
        <f aca="false">IF(F351="N/A","",IF(COUNT(H351:K351)=0,"",IF(Config!$C$19="Highest dimension",MAX(H351:K351),ROUND(H351*Config!$C$20+I351*Config!$C$21+J351*Config!$C$22+K351*Config!$C$23,1))))</f>
        <v>3</v>
      </c>
      <c r="M351" s="38" t="n">
        <f aca="false">IF(OR(L351="",G351=""),"",G351*L351)</f>
        <v>9</v>
      </c>
      <c r="N351" s="31" t="n">
        <f aca="false">IF(M351="","",MATCH(M351,Config!$E$5:$E$9,1))</f>
        <v>3</v>
      </c>
      <c r="O351" s="7" t="str">
        <f aca="false">IF(F351="N/A","N/A",IF(N351="","Not assessed",INDEX(Config!$B$5:$B$9,N351)))</f>
        <v>Medium</v>
      </c>
      <c r="P351" s="32" t="n">
        <v>0</v>
      </c>
      <c r="Q351" s="8"/>
      <c r="R351" s="33"/>
      <c r="S351" s="34" t="n">
        <f aca="false">IF(N351="","",IF(AND(R351="Y",P351&lt;&gt;0),MAX(1,MIN(5,N351+MAX(-Config!$C$27,MIN(Config!$C$27,P351)))),N351))</f>
        <v>3</v>
      </c>
      <c r="T351" s="35" t="str">
        <f aca="false">IF(F351="N/A","N/A",IF(S351="","Not assessed",INDEX(Config!$B$5:$B$9,S351)))</f>
        <v>Medium</v>
      </c>
      <c r="U351" s="7" t="str">
        <f aca="false">IF(P351=0,"None",IF(R351="Y","Applied","Pending HO approval"))</f>
        <v>None</v>
      </c>
      <c r="V351" s="8"/>
    </row>
    <row r="352" customFormat="false" ht="15" hidden="false" customHeight="false" outlineLevel="0" collapsed="false">
      <c r="A352" s="26" t="str">
        <f aca="false">Entities!$A$31</f>
        <v>SG</v>
      </c>
      <c r="B352" s="12" t="str">
        <f aca="false">INDEX(Entities!$B$5:$B$34,MATCH(A352,Entities!$A$5:$A$34,0))</f>
        <v>Arab Bank – Singapore</v>
      </c>
      <c r="C352" s="12" t="str">
        <f aca="false">INDEX(Entities!$D$5:$D$34,MATCH(A352,Entities!$A$5:$A$34,0))</f>
        <v>Asia-Pacific</v>
      </c>
      <c r="D352" s="12" t="s">
        <v>286</v>
      </c>
      <c r="E352" s="12" t="str">
        <f aca="false">INDEX('Risk Taxonomy'!$B$5:$B$24,MATCH(D352,'Risk Taxonomy'!$A$5:$A$24,0))</f>
        <v>Third-party and outsourcing</v>
      </c>
      <c r="F352" s="7" t="str">
        <f aca="false">IF(D352="RC-04",IF(INDEX(Entities!$G$5:$G$34,MATCH(A352,Entities!$A$5:$A$34,0))="Y","Yes","N/A"),"Yes")</f>
        <v>Yes</v>
      </c>
      <c r="G352" s="24" t="n">
        <v>1</v>
      </c>
      <c r="H352" s="24" t="n">
        <v>2</v>
      </c>
      <c r="I352" s="24" t="n">
        <v>2</v>
      </c>
      <c r="J352" s="24" t="n">
        <v>1</v>
      </c>
      <c r="K352" s="24" t="n">
        <v>1</v>
      </c>
      <c r="L352" s="37" t="n">
        <f aca="false">IF(F352="N/A","",IF(COUNT(H352:K352)=0,"",IF(Config!$C$19="Highest dimension",MAX(H352:K352),ROUND(H352*Config!$C$20+I352*Config!$C$21+J352*Config!$C$22+K352*Config!$C$23,1))))</f>
        <v>2</v>
      </c>
      <c r="M352" s="38" t="n">
        <f aca="false">IF(OR(L352="",G352=""),"",G352*L352)</f>
        <v>2</v>
      </c>
      <c r="N352" s="31" t="n">
        <f aca="false">IF(M352="","",MATCH(M352,Config!$E$5:$E$9,1))</f>
        <v>1</v>
      </c>
      <c r="O352" s="7" t="str">
        <f aca="false">IF(F352="N/A","N/A",IF(N352="","Not assessed",INDEX(Config!$B$5:$B$9,N352)))</f>
        <v>Low</v>
      </c>
      <c r="P352" s="32" t="n">
        <v>0</v>
      </c>
      <c r="Q352" s="8"/>
      <c r="R352" s="33"/>
      <c r="S352" s="34" t="n">
        <f aca="false">IF(N352="","",IF(AND(R352="Y",P352&lt;&gt;0),MAX(1,MIN(5,N352+MAX(-Config!$C$27,MIN(Config!$C$27,P352)))),N352))</f>
        <v>1</v>
      </c>
      <c r="T352" s="35" t="str">
        <f aca="false">IF(F352="N/A","N/A",IF(S352="","Not assessed",INDEX(Config!$B$5:$B$9,S352)))</f>
        <v>Low</v>
      </c>
      <c r="U352" s="7" t="str">
        <f aca="false">IF(P352=0,"None",IF(R352="Y","Applied","Pending HO approval"))</f>
        <v>None</v>
      </c>
      <c r="V352" s="8"/>
    </row>
    <row r="353" customFormat="false" ht="15" hidden="false" customHeight="false" outlineLevel="0" collapsed="false">
      <c r="A353" s="26" t="str">
        <f aca="false">Entities!$A$31</f>
        <v>SG</v>
      </c>
      <c r="B353" s="12" t="str">
        <f aca="false">INDEX(Entities!$B$5:$B$34,MATCH(A353,Entities!$A$5:$A$34,0))</f>
        <v>Arab Bank – Singapore</v>
      </c>
      <c r="C353" s="12" t="str">
        <f aca="false">INDEX(Entities!$D$5:$D$34,MATCH(A353,Entities!$A$5:$A$34,0))</f>
        <v>Asia-Pacific</v>
      </c>
      <c r="D353" s="12" t="s">
        <v>289</v>
      </c>
      <c r="E353" s="12" t="str">
        <f aca="false">INDEX('Risk Taxonomy'!$B$5:$B$24,MATCH(D353,'Risk Taxonomy'!$A$5:$A$24,0))</f>
        <v>Legal and litigation</v>
      </c>
      <c r="F353" s="7" t="str">
        <f aca="false">IF(D353="RC-04",IF(INDEX(Entities!$G$5:$G$34,MATCH(A353,Entities!$A$5:$A$34,0))="Y","Yes","N/A"),"Yes")</f>
        <v>Yes</v>
      </c>
      <c r="G353" s="24" t="n">
        <v>2</v>
      </c>
      <c r="H353" s="24" t="n">
        <v>3</v>
      </c>
      <c r="I353" s="24" t="n">
        <v>3</v>
      </c>
      <c r="J353" s="24" t="n">
        <v>4</v>
      </c>
      <c r="K353" s="24" t="n">
        <v>3</v>
      </c>
      <c r="L353" s="37" t="n">
        <f aca="false">IF(F353="N/A","",IF(COUNT(H353:K353)=0,"",IF(Config!$C$19="Highest dimension",MAX(H353:K353),ROUND(H353*Config!$C$20+I353*Config!$C$21+J353*Config!$C$22+K353*Config!$C$23,1))))</f>
        <v>4</v>
      </c>
      <c r="M353" s="38" t="n">
        <f aca="false">IF(OR(L353="",G353=""),"",G353*L353)</f>
        <v>8</v>
      </c>
      <c r="N353" s="31" t="n">
        <f aca="false">IF(M353="","",MATCH(M353,Config!$E$5:$E$9,1))</f>
        <v>2</v>
      </c>
      <c r="O353" s="7" t="str">
        <f aca="false">IF(F353="N/A","N/A",IF(N353="","Not assessed",INDEX(Config!$B$5:$B$9,N353)))</f>
        <v>Medium-Low</v>
      </c>
      <c r="P353" s="32" t="n">
        <v>0</v>
      </c>
      <c r="Q353" s="8"/>
      <c r="R353" s="33"/>
      <c r="S353" s="34" t="n">
        <f aca="false">IF(N353="","",IF(AND(R353="Y",P353&lt;&gt;0),MAX(1,MIN(5,N353+MAX(-Config!$C$27,MIN(Config!$C$27,P353)))),N353))</f>
        <v>2</v>
      </c>
      <c r="T353" s="35" t="str">
        <f aca="false">IF(F353="N/A","N/A",IF(S353="","Not assessed",INDEX(Config!$B$5:$B$9,S353)))</f>
        <v>Medium-Low</v>
      </c>
      <c r="U353" s="7" t="str">
        <f aca="false">IF(P353=0,"None",IF(R353="Y","Applied","Pending HO approval"))</f>
        <v>None</v>
      </c>
      <c r="V353" s="8"/>
    </row>
    <row r="354" customFormat="false" ht="15" hidden="false" customHeight="false" outlineLevel="0" collapsed="false">
      <c r="A354" s="26" t="str">
        <f aca="false">Entities!$A$31</f>
        <v>SG</v>
      </c>
      <c r="B354" s="12" t="str">
        <f aca="false">INDEX(Entities!$B$5:$B$34,MATCH(A354,Entities!$A$5:$A$34,0))</f>
        <v>Arab Bank – Singapore</v>
      </c>
      <c r="C354" s="12" t="str">
        <f aca="false">INDEX(Entities!$D$5:$D$34,MATCH(A354,Entities!$A$5:$A$34,0))</f>
        <v>Asia-Pacific</v>
      </c>
      <c r="D354" s="12" t="s">
        <v>292</v>
      </c>
      <c r="E354" s="12" t="str">
        <f aca="false">INDEX('Risk Taxonomy'!$B$5:$B$24,MATCH(D354,'Risk Taxonomy'!$A$5:$A$24,0))</f>
        <v>Reputational</v>
      </c>
      <c r="F354" s="7" t="str">
        <f aca="false">IF(D354="RC-04",IF(INDEX(Entities!$G$5:$G$34,MATCH(A354,Entities!$A$5:$A$34,0))="Y","Yes","N/A"),"Yes")</f>
        <v>Yes</v>
      </c>
      <c r="G354" s="24" t="n">
        <v>2</v>
      </c>
      <c r="H354" s="24" t="n">
        <v>1</v>
      </c>
      <c r="I354" s="24" t="n">
        <v>4</v>
      </c>
      <c r="J354" s="24" t="n">
        <v>1</v>
      </c>
      <c r="K354" s="24" t="n">
        <v>3</v>
      </c>
      <c r="L354" s="37" t="n">
        <f aca="false">IF(F354="N/A","",IF(COUNT(H354:K354)=0,"",IF(Config!$C$19="Highest dimension",MAX(H354:K354),ROUND(H354*Config!$C$20+I354*Config!$C$21+J354*Config!$C$22+K354*Config!$C$23,1))))</f>
        <v>4</v>
      </c>
      <c r="M354" s="38" t="n">
        <f aca="false">IF(OR(L354="",G354=""),"",G354*L354)</f>
        <v>8</v>
      </c>
      <c r="N354" s="31" t="n">
        <f aca="false">IF(M354="","",MATCH(M354,Config!$E$5:$E$9,1))</f>
        <v>2</v>
      </c>
      <c r="O354" s="7" t="str">
        <f aca="false">IF(F354="N/A","N/A",IF(N354="","Not assessed",INDEX(Config!$B$5:$B$9,N354)))</f>
        <v>Medium-Low</v>
      </c>
      <c r="P354" s="32" t="n">
        <v>0</v>
      </c>
      <c r="Q354" s="8"/>
      <c r="R354" s="33"/>
      <c r="S354" s="34" t="n">
        <f aca="false">IF(N354="","",IF(AND(R354="Y",P354&lt;&gt;0),MAX(1,MIN(5,N354+MAX(-Config!$C$27,MIN(Config!$C$27,P354)))),N354))</f>
        <v>2</v>
      </c>
      <c r="T354" s="35" t="str">
        <f aca="false">IF(F354="N/A","N/A",IF(S354="","Not assessed",INDEX(Config!$B$5:$B$9,S354)))</f>
        <v>Medium-Low</v>
      </c>
      <c r="U354" s="7" t="str">
        <f aca="false">IF(P354=0,"None",IF(R354="Y","Applied","Pending HO approval"))</f>
        <v>None</v>
      </c>
      <c r="V354" s="8"/>
    </row>
    <row r="355" customFormat="false" ht="15" hidden="false" customHeight="false" outlineLevel="0" collapsed="false">
      <c r="A355" s="26" t="str">
        <f aca="false">Entities!$A$31</f>
        <v>SG</v>
      </c>
      <c r="B355" s="12" t="str">
        <f aca="false">INDEX(Entities!$B$5:$B$34,MATCH(A355,Entities!$A$5:$A$34,0))</f>
        <v>Arab Bank – Singapore</v>
      </c>
      <c r="C355" s="12" t="str">
        <f aca="false">INDEX(Entities!$D$5:$D$34,MATCH(A355,Entities!$A$5:$A$34,0))</f>
        <v>Asia-Pacific</v>
      </c>
      <c r="D355" s="12" t="s">
        <v>295</v>
      </c>
      <c r="E355" s="12" t="str">
        <f aca="false">INDEX('Risk Taxonomy'!$B$5:$B$24,MATCH(D355,'Risk Taxonomy'!$A$5:$A$24,0))</f>
        <v>Strategic, business model and ESG</v>
      </c>
      <c r="F355" s="7" t="str">
        <f aca="false">IF(D355="RC-04",IF(INDEX(Entities!$G$5:$G$34,MATCH(A355,Entities!$A$5:$A$34,0))="Y","Yes","N/A"),"Yes")</f>
        <v>Yes</v>
      </c>
      <c r="G355" s="24" t="n">
        <v>2</v>
      </c>
      <c r="H355" s="24" t="n">
        <v>3</v>
      </c>
      <c r="I355" s="24" t="n">
        <v>3</v>
      </c>
      <c r="J355" s="24" t="n">
        <v>3</v>
      </c>
      <c r="K355" s="24" t="n">
        <v>2</v>
      </c>
      <c r="L355" s="37" t="n">
        <f aca="false">IF(F355="N/A","",IF(COUNT(H355:K355)=0,"",IF(Config!$C$19="Highest dimension",MAX(H355:K355),ROUND(H355*Config!$C$20+I355*Config!$C$21+J355*Config!$C$22+K355*Config!$C$23,1))))</f>
        <v>3</v>
      </c>
      <c r="M355" s="38" t="n">
        <f aca="false">IF(OR(L355="",G355=""),"",G355*L355)</f>
        <v>6</v>
      </c>
      <c r="N355" s="31" t="n">
        <f aca="false">IF(M355="","",MATCH(M355,Config!$E$5:$E$9,1))</f>
        <v>2</v>
      </c>
      <c r="O355" s="7" t="str">
        <f aca="false">IF(F355="N/A","N/A",IF(N355="","Not assessed",INDEX(Config!$B$5:$B$9,N355)))</f>
        <v>Medium-Low</v>
      </c>
      <c r="P355" s="32" t="n">
        <v>0</v>
      </c>
      <c r="Q355" s="8"/>
      <c r="R355" s="33"/>
      <c r="S355" s="34" t="n">
        <f aca="false">IF(N355="","",IF(AND(R355="Y",P355&lt;&gt;0),MAX(1,MIN(5,N355+MAX(-Config!$C$27,MIN(Config!$C$27,P355)))),N355))</f>
        <v>2</v>
      </c>
      <c r="T355" s="35" t="str">
        <f aca="false">IF(F355="N/A","N/A",IF(S355="","Not assessed",INDEX(Config!$B$5:$B$9,S355)))</f>
        <v>Medium-Low</v>
      </c>
      <c r="U355" s="7" t="str">
        <f aca="false">IF(P355=0,"None",IF(R355="Y","Applied","Pending HO approval"))</f>
        <v>None</v>
      </c>
      <c r="V355" s="8"/>
    </row>
    <row r="356" customFormat="false" ht="15" hidden="false" customHeight="false" outlineLevel="0" collapsed="false">
      <c r="A356" s="26" t="str">
        <f aca="false">Entities!$A$32</f>
        <v>CN</v>
      </c>
      <c r="B356" s="12" t="str">
        <f aca="false">INDEX(Entities!$B$5:$B$34,MATCH(A356,Entities!$A$5:$A$34,0))</f>
        <v>Arab Bank – China</v>
      </c>
      <c r="C356" s="12" t="str">
        <f aca="false">INDEX(Entities!$D$5:$D$34,MATCH(A356,Entities!$A$5:$A$34,0))</f>
        <v>Asia-Pacific</v>
      </c>
      <c r="D356" s="12" t="s">
        <v>257</v>
      </c>
      <c r="E356" s="12" t="str">
        <f aca="false">INDEX('Risk Taxonomy'!$B$5:$B$24,MATCH(D356,'Risk Taxonomy'!$A$5:$A$24,0))</f>
        <v>Regulatory compliance</v>
      </c>
      <c r="F356" s="7" t="str">
        <f aca="false">IF(D356="RC-04",IF(INDEX(Entities!$G$5:$G$34,MATCH(A356,Entities!$A$5:$A$34,0))="Y","Yes","N/A"),"Yes")</f>
        <v>Yes</v>
      </c>
      <c r="G356" s="24" t="n">
        <v>3</v>
      </c>
      <c r="H356" s="24" t="n">
        <v>1</v>
      </c>
      <c r="I356" s="24" t="n">
        <v>3</v>
      </c>
      <c r="J356" s="24" t="n">
        <v>4</v>
      </c>
      <c r="K356" s="24" t="n">
        <v>2</v>
      </c>
      <c r="L356" s="37" t="n">
        <f aca="false">IF(F356="N/A","",IF(COUNT(H356:K356)=0,"",IF(Config!$C$19="Highest dimension",MAX(H356:K356),ROUND(H356*Config!$C$20+I356*Config!$C$21+J356*Config!$C$22+K356*Config!$C$23,1))))</f>
        <v>4</v>
      </c>
      <c r="M356" s="38" t="n">
        <f aca="false">IF(OR(L356="",G356=""),"",G356*L356)</f>
        <v>12</v>
      </c>
      <c r="N356" s="31" t="n">
        <f aca="false">IF(M356="","",MATCH(M356,Config!$E$5:$E$9,1))</f>
        <v>3</v>
      </c>
      <c r="O356" s="7" t="str">
        <f aca="false">IF(F356="N/A","N/A",IF(N356="","Not assessed",INDEX(Config!$B$5:$B$9,N356)))</f>
        <v>Medium</v>
      </c>
      <c r="P356" s="32" t="n">
        <v>0</v>
      </c>
      <c r="Q356" s="8"/>
      <c r="R356" s="33"/>
      <c r="S356" s="34" t="n">
        <f aca="false">IF(N356="","",IF(AND(R356="Y",P356&lt;&gt;0),MAX(1,MIN(5,N356+MAX(-Config!$C$27,MIN(Config!$C$27,P356)))),N356))</f>
        <v>3</v>
      </c>
      <c r="T356" s="35" t="str">
        <f aca="false">IF(F356="N/A","N/A",IF(S356="","Not assessed",INDEX(Config!$B$5:$B$9,S356)))</f>
        <v>Medium</v>
      </c>
      <c r="U356" s="7" t="str">
        <f aca="false">IF(P356=0,"None",IF(R356="Y","Applied","Pending HO approval"))</f>
        <v>None</v>
      </c>
      <c r="V356" s="8"/>
    </row>
    <row r="357" customFormat="false" ht="15" hidden="false" customHeight="false" outlineLevel="0" collapsed="false">
      <c r="A357" s="26" t="str">
        <f aca="false">Entities!$A$32</f>
        <v>CN</v>
      </c>
      <c r="B357" s="12" t="str">
        <f aca="false">INDEX(Entities!$B$5:$B$34,MATCH(A357,Entities!$A$5:$A$34,0))</f>
        <v>Arab Bank – China</v>
      </c>
      <c r="C357" s="12" t="str">
        <f aca="false">INDEX(Entities!$D$5:$D$34,MATCH(A357,Entities!$A$5:$A$34,0))</f>
        <v>Asia-Pacific</v>
      </c>
      <c r="D357" s="12" t="s">
        <v>261</v>
      </c>
      <c r="E357" s="12" t="str">
        <f aca="false">INDEX('Risk Taxonomy'!$B$5:$B$24,MATCH(D357,'Risk Taxonomy'!$A$5:$A$24,0))</f>
        <v>Conduct and consumer protection</v>
      </c>
      <c r="F357" s="7" t="str">
        <f aca="false">IF(D357="RC-04",IF(INDEX(Entities!$G$5:$G$34,MATCH(A357,Entities!$A$5:$A$34,0))="Y","Yes","N/A"),"Yes")</f>
        <v>Yes</v>
      </c>
      <c r="G357" s="24" t="n">
        <v>2</v>
      </c>
      <c r="H357" s="24" t="n">
        <v>1</v>
      </c>
      <c r="I357" s="24" t="n">
        <v>2</v>
      </c>
      <c r="J357" s="24" t="n">
        <v>2</v>
      </c>
      <c r="K357" s="24" t="n">
        <v>2</v>
      </c>
      <c r="L357" s="37" t="n">
        <f aca="false">IF(F357="N/A","",IF(COUNT(H357:K357)=0,"",IF(Config!$C$19="Highest dimension",MAX(H357:K357),ROUND(H357*Config!$C$20+I357*Config!$C$21+J357*Config!$C$22+K357*Config!$C$23,1))))</f>
        <v>2</v>
      </c>
      <c r="M357" s="38" t="n">
        <f aca="false">IF(OR(L357="",G357=""),"",G357*L357)</f>
        <v>4</v>
      </c>
      <c r="N357" s="31" t="n">
        <f aca="false">IF(M357="","",MATCH(M357,Config!$E$5:$E$9,1))</f>
        <v>1</v>
      </c>
      <c r="O357" s="7" t="str">
        <f aca="false">IF(F357="N/A","N/A",IF(N357="","Not assessed",INDEX(Config!$B$5:$B$9,N357)))</f>
        <v>Low</v>
      </c>
      <c r="P357" s="32" t="n">
        <v>0</v>
      </c>
      <c r="Q357" s="8"/>
      <c r="R357" s="33"/>
      <c r="S357" s="34" t="n">
        <f aca="false">IF(N357="","",IF(AND(R357="Y",P357&lt;&gt;0),MAX(1,MIN(5,N357+MAX(-Config!$C$27,MIN(Config!$C$27,P357)))),N357))</f>
        <v>1</v>
      </c>
      <c r="T357" s="35" t="str">
        <f aca="false">IF(F357="N/A","N/A",IF(S357="","Not assessed",INDEX(Config!$B$5:$B$9,S357)))</f>
        <v>Low</v>
      </c>
      <c r="U357" s="7" t="str">
        <f aca="false">IF(P357=0,"None",IF(R357="Y","Applied","Pending HO approval"))</f>
        <v>None</v>
      </c>
      <c r="V357" s="8"/>
    </row>
    <row r="358" customFormat="false" ht="15" hidden="false" customHeight="false" outlineLevel="0" collapsed="false">
      <c r="A358" s="26" t="str">
        <f aca="false">Entities!$A$32</f>
        <v>CN</v>
      </c>
      <c r="B358" s="12" t="str">
        <f aca="false">INDEX(Entities!$B$5:$B$34,MATCH(A358,Entities!$A$5:$A$34,0))</f>
        <v>Arab Bank – China</v>
      </c>
      <c r="C358" s="12" t="str">
        <f aca="false">INDEX(Entities!$D$5:$D$34,MATCH(A358,Entities!$A$5:$A$34,0))</f>
        <v>Asia-Pacific</v>
      </c>
      <c r="D358" s="12" t="s">
        <v>263</v>
      </c>
      <c r="E358" s="12" t="str">
        <f aca="false">INDEX('Risk Taxonomy'!$B$5:$B$24,MATCH(D358,'Risk Taxonomy'!$A$5:$A$24,0))</f>
        <v>Data protection and privacy</v>
      </c>
      <c r="F358" s="7" t="str">
        <f aca="false">IF(D358="RC-04",IF(INDEX(Entities!$G$5:$G$34,MATCH(A358,Entities!$A$5:$A$34,0))="Y","Yes","N/A"),"Yes")</f>
        <v>Yes</v>
      </c>
      <c r="G358" s="24" t="n">
        <v>3</v>
      </c>
      <c r="H358" s="24" t="n">
        <v>2</v>
      </c>
      <c r="I358" s="24" t="n">
        <v>2</v>
      </c>
      <c r="J358" s="24" t="n">
        <v>2</v>
      </c>
      <c r="K358" s="24" t="n">
        <v>1</v>
      </c>
      <c r="L358" s="37" t="n">
        <f aca="false">IF(F358="N/A","",IF(COUNT(H358:K358)=0,"",IF(Config!$C$19="Highest dimension",MAX(H358:K358),ROUND(H358*Config!$C$20+I358*Config!$C$21+J358*Config!$C$22+K358*Config!$C$23,1))))</f>
        <v>2</v>
      </c>
      <c r="M358" s="38" t="n">
        <f aca="false">IF(OR(L358="",G358=""),"",G358*L358)</f>
        <v>6</v>
      </c>
      <c r="N358" s="31" t="n">
        <f aca="false">IF(M358="","",MATCH(M358,Config!$E$5:$E$9,1))</f>
        <v>2</v>
      </c>
      <c r="O358" s="7" t="str">
        <f aca="false">IF(F358="N/A","N/A",IF(N358="","Not assessed",INDEX(Config!$B$5:$B$9,N358)))</f>
        <v>Medium-Low</v>
      </c>
      <c r="P358" s="32" t="n">
        <v>0</v>
      </c>
      <c r="Q358" s="8"/>
      <c r="R358" s="33"/>
      <c r="S358" s="34" t="n">
        <f aca="false">IF(N358="","",IF(AND(R358="Y",P358&lt;&gt;0),MAX(1,MIN(5,N358+MAX(-Config!$C$27,MIN(Config!$C$27,P358)))),N358))</f>
        <v>2</v>
      </c>
      <c r="T358" s="35" t="str">
        <f aca="false">IF(F358="N/A","N/A",IF(S358="","Not assessed",INDEX(Config!$B$5:$B$9,S358)))</f>
        <v>Medium-Low</v>
      </c>
      <c r="U358" s="7" t="str">
        <f aca="false">IF(P358=0,"None",IF(R358="Y","Applied","Pending HO approval"))</f>
        <v>None</v>
      </c>
      <c r="V358" s="8"/>
    </row>
    <row r="359" customFormat="false" ht="15" hidden="false" customHeight="false" outlineLevel="0" collapsed="false">
      <c r="A359" s="26" t="str">
        <f aca="false">Entities!$A$32</f>
        <v>CN</v>
      </c>
      <c r="B359" s="12" t="str">
        <f aca="false">INDEX(Entities!$B$5:$B$34,MATCH(A359,Entities!$A$5:$A$34,0))</f>
        <v>Arab Bank – China</v>
      </c>
      <c r="C359" s="12" t="str">
        <f aca="false">INDEX(Entities!$D$5:$D$34,MATCH(A359,Entities!$A$5:$A$34,0))</f>
        <v>Asia-Pacific</v>
      </c>
      <c r="D359" s="12" t="s">
        <v>266</v>
      </c>
      <c r="E359" s="12" t="str">
        <f aca="false">INDEX('Risk Taxonomy'!$B$5:$B$24,MATCH(D359,'Risk Taxonomy'!$A$5:$A$24,0))</f>
        <v>Shariah non-compliance</v>
      </c>
      <c r="F359" s="7" t="str">
        <f aca="false">IF(D359="RC-04",IF(INDEX(Entities!$G$5:$G$34,MATCH(A359,Entities!$A$5:$A$34,0))="Y","Yes","N/A"),"Yes")</f>
        <v>N/A</v>
      </c>
      <c r="G359" s="24"/>
      <c r="H359" s="24"/>
      <c r="I359" s="24"/>
      <c r="J359" s="24"/>
      <c r="K359" s="24"/>
      <c r="L359" s="37" t="str">
        <f aca="false">IF(F359="N/A","",IF(COUNT(H359:K359)=0,"",IF(Config!$C$19="Highest dimension",MAX(H359:K359),ROUND(H359*Config!$C$20+I359*Config!$C$21+J359*Config!$C$22+K359*Config!$C$23,1))))</f>
        <v/>
      </c>
      <c r="M359" s="38" t="str">
        <f aca="false">IF(OR(L359="",G359=""),"",G359*L359)</f>
        <v/>
      </c>
      <c r="N359" s="31" t="str">
        <f aca="false">IF(M359="","",MATCH(M359,Config!$E$5:$E$9,1))</f>
        <v/>
      </c>
      <c r="O359" s="7" t="str">
        <f aca="false">IF(F359="N/A","N/A",IF(N359="","Not assessed",INDEX(Config!$B$5:$B$9,N359)))</f>
        <v>N/A</v>
      </c>
      <c r="P359" s="32" t="n">
        <v>0</v>
      </c>
      <c r="Q359" s="8"/>
      <c r="R359" s="33"/>
      <c r="S359" s="34" t="str">
        <f aca="false">IF(N359="","",IF(AND(R359="Y",P359&lt;&gt;0),MAX(1,MIN(5,N359+MAX(-Config!$C$27,MIN(Config!$C$27,P359)))),N359))</f>
        <v/>
      </c>
      <c r="T359" s="35" t="str">
        <f aca="false">IF(F359="N/A","N/A",IF(S359="","Not assessed",INDEX(Config!$B$5:$B$9,S359)))</f>
        <v>N/A</v>
      </c>
      <c r="U359" s="7" t="str">
        <f aca="false">IF(P359=0,"None",IF(R359="Y","Applied","Pending HO approval"))</f>
        <v>None</v>
      </c>
      <c r="V359" s="8"/>
    </row>
    <row r="360" customFormat="false" ht="15" hidden="false" customHeight="false" outlineLevel="0" collapsed="false">
      <c r="A360" s="26" t="str">
        <f aca="false">Entities!$A$32</f>
        <v>CN</v>
      </c>
      <c r="B360" s="12" t="str">
        <f aca="false">INDEX(Entities!$B$5:$B$34,MATCH(A360,Entities!$A$5:$A$34,0))</f>
        <v>Arab Bank – China</v>
      </c>
      <c r="C360" s="12" t="str">
        <f aca="false">INDEX(Entities!$D$5:$D$34,MATCH(A360,Entities!$A$5:$A$34,0))</f>
        <v>Asia-Pacific</v>
      </c>
      <c r="D360" s="12" t="s">
        <v>270</v>
      </c>
      <c r="E360" s="12" t="str">
        <f aca="false">INDEX('Risk Taxonomy'!$B$5:$B$24,MATCH(D360,'Risk Taxonomy'!$A$5:$A$24,0))</f>
        <v>Credit risk</v>
      </c>
      <c r="F360" s="7" t="str">
        <f aca="false">IF(D360="RC-04",IF(INDEX(Entities!$G$5:$G$34,MATCH(A360,Entities!$A$5:$A$34,0))="Y","Yes","N/A"),"Yes")</f>
        <v>Yes</v>
      </c>
      <c r="G360" s="24" t="n">
        <v>3</v>
      </c>
      <c r="H360" s="24" t="n">
        <v>2</v>
      </c>
      <c r="I360" s="24" t="n">
        <v>2</v>
      </c>
      <c r="J360" s="24" t="n">
        <v>2</v>
      </c>
      <c r="K360" s="24" t="n">
        <v>1</v>
      </c>
      <c r="L360" s="37" t="n">
        <f aca="false">IF(F360="N/A","",IF(COUNT(H360:K360)=0,"",IF(Config!$C$19="Highest dimension",MAX(H360:K360),ROUND(H360*Config!$C$20+I360*Config!$C$21+J360*Config!$C$22+K360*Config!$C$23,1))))</f>
        <v>2</v>
      </c>
      <c r="M360" s="38" t="n">
        <f aca="false">IF(OR(L360="",G360=""),"",G360*L360)</f>
        <v>6</v>
      </c>
      <c r="N360" s="31" t="n">
        <f aca="false">IF(M360="","",MATCH(M360,Config!$E$5:$E$9,1))</f>
        <v>2</v>
      </c>
      <c r="O360" s="7" t="str">
        <f aca="false">IF(F360="N/A","N/A",IF(N360="","Not assessed",INDEX(Config!$B$5:$B$9,N360)))</f>
        <v>Medium-Low</v>
      </c>
      <c r="P360" s="32" t="n">
        <v>0</v>
      </c>
      <c r="Q360" s="8"/>
      <c r="R360" s="33"/>
      <c r="S360" s="34" t="n">
        <f aca="false">IF(N360="","",IF(AND(R360="Y",P360&lt;&gt;0),MAX(1,MIN(5,N360+MAX(-Config!$C$27,MIN(Config!$C$27,P360)))),N360))</f>
        <v>2</v>
      </c>
      <c r="T360" s="35" t="str">
        <f aca="false">IF(F360="N/A","N/A",IF(S360="","Not assessed",INDEX(Config!$B$5:$B$9,S360)))</f>
        <v>Medium-Low</v>
      </c>
      <c r="U360" s="7" t="str">
        <f aca="false">IF(P360=0,"None",IF(R360="Y","Applied","Pending HO approval"))</f>
        <v>None</v>
      </c>
      <c r="V360" s="8"/>
    </row>
    <row r="361" customFormat="false" ht="15" hidden="false" customHeight="false" outlineLevel="0" collapsed="false">
      <c r="A361" s="26" t="str">
        <f aca="false">Entities!$A$32</f>
        <v>CN</v>
      </c>
      <c r="B361" s="12" t="str">
        <f aca="false">INDEX(Entities!$B$5:$B$34,MATCH(A361,Entities!$A$5:$A$34,0))</f>
        <v>Arab Bank – China</v>
      </c>
      <c r="C361" s="12" t="str">
        <f aca="false">INDEX(Entities!$D$5:$D$34,MATCH(A361,Entities!$A$5:$A$34,0))</f>
        <v>Asia-Pacific</v>
      </c>
      <c r="D361" s="12" t="s">
        <v>275</v>
      </c>
      <c r="E361" s="12" t="str">
        <f aca="false">INDEX('Risk Taxonomy'!$B$5:$B$24,MATCH(D361,'Risk Taxonomy'!$A$5:$A$24,0))</f>
        <v>Market risk</v>
      </c>
      <c r="F361" s="7" t="str">
        <f aca="false">IF(D361="RC-04",IF(INDEX(Entities!$G$5:$G$34,MATCH(A361,Entities!$A$5:$A$34,0))="Y","Yes","N/A"),"Yes")</f>
        <v>Yes</v>
      </c>
      <c r="G361" s="24" t="n">
        <v>1</v>
      </c>
      <c r="H361" s="24" t="n">
        <v>2</v>
      </c>
      <c r="I361" s="24" t="n">
        <v>2</v>
      </c>
      <c r="J361" s="24" t="n">
        <v>2</v>
      </c>
      <c r="K361" s="24" t="n">
        <v>2</v>
      </c>
      <c r="L361" s="37" t="n">
        <f aca="false">IF(F361="N/A","",IF(COUNT(H361:K361)=0,"",IF(Config!$C$19="Highest dimension",MAX(H361:K361),ROUND(H361*Config!$C$20+I361*Config!$C$21+J361*Config!$C$22+K361*Config!$C$23,1))))</f>
        <v>2</v>
      </c>
      <c r="M361" s="38" t="n">
        <f aca="false">IF(OR(L361="",G361=""),"",G361*L361)</f>
        <v>2</v>
      </c>
      <c r="N361" s="31" t="n">
        <f aca="false">IF(M361="","",MATCH(M361,Config!$E$5:$E$9,1))</f>
        <v>1</v>
      </c>
      <c r="O361" s="7" t="str">
        <f aca="false">IF(F361="N/A","N/A",IF(N361="","Not assessed",INDEX(Config!$B$5:$B$9,N361)))</f>
        <v>Low</v>
      </c>
      <c r="P361" s="32" t="n">
        <v>0</v>
      </c>
      <c r="Q361" s="8"/>
      <c r="R361" s="33"/>
      <c r="S361" s="34" t="n">
        <f aca="false">IF(N361="","",IF(AND(R361="Y",P361&lt;&gt;0),MAX(1,MIN(5,N361+MAX(-Config!$C$27,MIN(Config!$C$27,P361)))),N361))</f>
        <v>1</v>
      </c>
      <c r="T361" s="35" t="str">
        <f aca="false">IF(F361="N/A","N/A",IF(S361="","Not assessed",INDEX(Config!$B$5:$B$9,S361)))</f>
        <v>Low</v>
      </c>
      <c r="U361" s="7" t="str">
        <f aca="false">IF(P361=0,"None",IF(R361="Y","Applied","Pending HO approval"))</f>
        <v>None</v>
      </c>
      <c r="V361" s="8"/>
    </row>
    <row r="362" customFormat="false" ht="15" hidden="false" customHeight="false" outlineLevel="0" collapsed="false">
      <c r="A362" s="26" t="str">
        <f aca="false">Entities!$A$32</f>
        <v>CN</v>
      </c>
      <c r="B362" s="12" t="str">
        <f aca="false">INDEX(Entities!$B$5:$B$34,MATCH(A362,Entities!$A$5:$A$34,0))</f>
        <v>Arab Bank – China</v>
      </c>
      <c r="C362" s="12" t="str">
        <f aca="false">INDEX(Entities!$D$5:$D$34,MATCH(A362,Entities!$A$5:$A$34,0))</f>
        <v>Asia-Pacific</v>
      </c>
      <c r="D362" s="12" t="s">
        <v>277</v>
      </c>
      <c r="E362" s="12" t="str">
        <f aca="false">INDEX('Risk Taxonomy'!$B$5:$B$24,MATCH(D362,'Risk Taxonomy'!$A$5:$A$24,0))</f>
        <v>Liquidity and funding risk</v>
      </c>
      <c r="F362" s="7" t="str">
        <f aca="false">IF(D362="RC-04",IF(INDEX(Entities!$G$5:$G$34,MATCH(A362,Entities!$A$5:$A$34,0))="Y","Yes","N/A"),"Yes")</f>
        <v>Yes</v>
      </c>
      <c r="G362" s="24" t="n">
        <v>1</v>
      </c>
      <c r="H362" s="24" t="n">
        <v>3</v>
      </c>
      <c r="I362" s="24" t="n">
        <v>3</v>
      </c>
      <c r="J362" s="24" t="n">
        <v>2</v>
      </c>
      <c r="K362" s="24" t="n">
        <v>2</v>
      </c>
      <c r="L362" s="37" t="n">
        <f aca="false">IF(F362="N/A","",IF(COUNT(H362:K362)=0,"",IF(Config!$C$19="Highest dimension",MAX(H362:K362),ROUND(H362*Config!$C$20+I362*Config!$C$21+J362*Config!$C$22+K362*Config!$C$23,1))))</f>
        <v>3</v>
      </c>
      <c r="M362" s="38" t="n">
        <f aca="false">IF(OR(L362="",G362=""),"",G362*L362)</f>
        <v>3</v>
      </c>
      <c r="N362" s="31" t="n">
        <f aca="false">IF(M362="","",MATCH(M362,Config!$E$5:$E$9,1))</f>
        <v>1</v>
      </c>
      <c r="O362" s="7" t="str">
        <f aca="false">IF(F362="N/A","N/A",IF(N362="","Not assessed",INDEX(Config!$B$5:$B$9,N362)))</f>
        <v>Low</v>
      </c>
      <c r="P362" s="32" t="n">
        <v>0</v>
      </c>
      <c r="Q362" s="8"/>
      <c r="R362" s="33"/>
      <c r="S362" s="34" t="n">
        <f aca="false">IF(N362="","",IF(AND(R362="Y",P362&lt;&gt;0),MAX(1,MIN(5,N362+MAX(-Config!$C$27,MIN(Config!$C$27,P362)))),N362))</f>
        <v>1</v>
      </c>
      <c r="T362" s="35" t="str">
        <f aca="false">IF(F362="N/A","N/A",IF(S362="","Not assessed",INDEX(Config!$B$5:$B$9,S362)))</f>
        <v>Low</v>
      </c>
      <c r="U362" s="7" t="str">
        <f aca="false">IF(P362=0,"None",IF(R362="Y","Applied","Pending HO approval"))</f>
        <v>None</v>
      </c>
      <c r="V362" s="8"/>
    </row>
    <row r="363" customFormat="false" ht="15" hidden="false" customHeight="false" outlineLevel="0" collapsed="false">
      <c r="A363" s="26" t="str">
        <f aca="false">Entities!$A$32</f>
        <v>CN</v>
      </c>
      <c r="B363" s="12" t="str">
        <f aca="false">INDEX(Entities!$B$5:$B$34,MATCH(A363,Entities!$A$5:$A$34,0))</f>
        <v>Arab Bank – China</v>
      </c>
      <c r="C363" s="12" t="str">
        <f aca="false">INDEX(Entities!$D$5:$D$34,MATCH(A363,Entities!$A$5:$A$34,0))</f>
        <v>Asia-Pacific</v>
      </c>
      <c r="D363" s="12" t="s">
        <v>280</v>
      </c>
      <c r="E363" s="12" t="str">
        <f aca="false">INDEX('Risk Taxonomy'!$B$5:$B$24,MATCH(D363,'Risk Taxonomy'!$A$5:$A$24,0))</f>
        <v>Operational risk</v>
      </c>
      <c r="F363" s="7" t="str">
        <f aca="false">IF(D363="RC-04",IF(INDEX(Entities!$G$5:$G$34,MATCH(A363,Entities!$A$5:$A$34,0))="Y","Yes","N/A"),"Yes")</f>
        <v>Yes</v>
      </c>
      <c r="G363" s="24" t="n">
        <v>1</v>
      </c>
      <c r="H363" s="24" t="n">
        <v>3</v>
      </c>
      <c r="I363" s="24" t="n">
        <v>2</v>
      </c>
      <c r="J363" s="24" t="n">
        <v>1</v>
      </c>
      <c r="K363" s="24" t="n">
        <v>1</v>
      </c>
      <c r="L363" s="37" t="n">
        <f aca="false">IF(F363="N/A","",IF(COUNT(H363:K363)=0,"",IF(Config!$C$19="Highest dimension",MAX(H363:K363),ROUND(H363*Config!$C$20+I363*Config!$C$21+J363*Config!$C$22+K363*Config!$C$23,1))))</f>
        <v>3</v>
      </c>
      <c r="M363" s="38" t="n">
        <f aca="false">IF(OR(L363="",G363=""),"",G363*L363)</f>
        <v>3</v>
      </c>
      <c r="N363" s="31" t="n">
        <f aca="false">IF(M363="","",MATCH(M363,Config!$E$5:$E$9,1))</f>
        <v>1</v>
      </c>
      <c r="O363" s="7" t="str">
        <f aca="false">IF(F363="N/A","N/A",IF(N363="","Not assessed",INDEX(Config!$B$5:$B$9,N363)))</f>
        <v>Low</v>
      </c>
      <c r="P363" s="32" t="n">
        <v>0</v>
      </c>
      <c r="Q363" s="8"/>
      <c r="R363" s="33"/>
      <c r="S363" s="34" t="n">
        <f aca="false">IF(N363="","",IF(AND(R363="Y",P363&lt;&gt;0),MAX(1,MIN(5,N363+MAX(-Config!$C$27,MIN(Config!$C$27,P363)))),N363))</f>
        <v>1</v>
      </c>
      <c r="T363" s="35" t="str">
        <f aca="false">IF(F363="N/A","N/A",IF(S363="","Not assessed",INDEX(Config!$B$5:$B$9,S363)))</f>
        <v>Low</v>
      </c>
      <c r="U363" s="7" t="str">
        <f aca="false">IF(P363=0,"None",IF(R363="Y","Applied","Pending HO approval"))</f>
        <v>None</v>
      </c>
      <c r="V363" s="8"/>
    </row>
    <row r="364" customFormat="false" ht="15" hidden="false" customHeight="false" outlineLevel="0" collapsed="false">
      <c r="A364" s="26" t="str">
        <f aca="false">Entities!$A$32</f>
        <v>CN</v>
      </c>
      <c r="B364" s="12" t="str">
        <f aca="false">INDEX(Entities!$B$5:$B$34,MATCH(A364,Entities!$A$5:$A$34,0))</f>
        <v>Arab Bank – China</v>
      </c>
      <c r="C364" s="12" t="str">
        <f aca="false">INDEX(Entities!$D$5:$D$34,MATCH(A364,Entities!$A$5:$A$34,0))</f>
        <v>Asia-Pacific</v>
      </c>
      <c r="D364" s="12" t="s">
        <v>283</v>
      </c>
      <c r="E364" s="12" t="str">
        <f aca="false">INDEX('Risk Taxonomy'!$B$5:$B$24,MATCH(D364,'Risk Taxonomy'!$A$5:$A$24,0))</f>
        <v>Cyber, information security and technology</v>
      </c>
      <c r="F364" s="7" t="str">
        <f aca="false">IF(D364="RC-04",IF(INDEX(Entities!$G$5:$G$34,MATCH(A364,Entities!$A$5:$A$34,0))="Y","Yes","N/A"),"Yes")</f>
        <v>Yes</v>
      </c>
      <c r="G364" s="24" t="n">
        <v>2</v>
      </c>
      <c r="H364" s="24" t="n">
        <v>2</v>
      </c>
      <c r="I364" s="24" t="n">
        <v>1</v>
      </c>
      <c r="J364" s="24" t="n">
        <v>2</v>
      </c>
      <c r="K364" s="24" t="n">
        <v>2</v>
      </c>
      <c r="L364" s="37" t="n">
        <f aca="false">IF(F364="N/A","",IF(COUNT(H364:K364)=0,"",IF(Config!$C$19="Highest dimension",MAX(H364:K364),ROUND(H364*Config!$C$20+I364*Config!$C$21+J364*Config!$C$22+K364*Config!$C$23,1))))</f>
        <v>2</v>
      </c>
      <c r="M364" s="38" t="n">
        <f aca="false">IF(OR(L364="",G364=""),"",G364*L364)</f>
        <v>4</v>
      </c>
      <c r="N364" s="31" t="n">
        <f aca="false">IF(M364="","",MATCH(M364,Config!$E$5:$E$9,1))</f>
        <v>1</v>
      </c>
      <c r="O364" s="7" t="str">
        <f aca="false">IF(F364="N/A","N/A",IF(N364="","Not assessed",INDEX(Config!$B$5:$B$9,N364)))</f>
        <v>Low</v>
      </c>
      <c r="P364" s="32" t="n">
        <v>0</v>
      </c>
      <c r="Q364" s="8"/>
      <c r="R364" s="33"/>
      <c r="S364" s="34" t="n">
        <f aca="false">IF(N364="","",IF(AND(R364="Y",P364&lt;&gt;0),MAX(1,MIN(5,N364+MAX(-Config!$C$27,MIN(Config!$C$27,P364)))),N364))</f>
        <v>1</v>
      </c>
      <c r="T364" s="35" t="str">
        <f aca="false">IF(F364="N/A","N/A",IF(S364="","Not assessed",INDEX(Config!$B$5:$B$9,S364)))</f>
        <v>Low</v>
      </c>
      <c r="U364" s="7" t="str">
        <f aca="false">IF(P364=0,"None",IF(R364="Y","Applied","Pending HO approval"))</f>
        <v>None</v>
      </c>
      <c r="V364" s="8"/>
    </row>
    <row r="365" customFormat="false" ht="15" hidden="false" customHeight="false" outlineLevel="0" collapsed="false">
      <c r="A365" s="26" t="str">
        <f aca="false">Entities!$A$32</f>
        <v>CN</v>
      </c>
      <c r="B365" s="12" t="str">
        <f aca="false">INDEX(Entities!$B$5:$B$34,MATCH(A365,Entities!$A$5:$A$34,0))</f>
        <v>Arab Bank – China</v>
      </c>
      <c r="C365" s="12" t="str">
        <f aca="false">INDEX(Entities!$D$5:$D$34,MATCH(A365,Entities!$A$5:$A$34,0))</f>
        <v>Asia-Pacific</v>
      </c>
      <c r="D365" s="12" t="s">
        <v>286</v>
      </c>
      <c r="E365" s="12" t="str">
        <f aca="false">INDEX('Risk Taxonomy'!$B$5:$B$24,MATCH(D365,'Risk Taxonomy'!$A$5:$A$24,0))</f>
        <v>Third-party and outsourcing</v>
      </c>
      <c r="F365" s="7" t="str">
        <f aca="false">IF(D365="RC-04",IF(INDEX(Entities!$G$5:$G$34,MATCH(A365,Entities!$A$5:$A$34,0))="Y","Yes","N/A"),"Yes")</f>
        <v>Yes</v>
      </c>
      <c r="G365" s="24" t="n">
        <v>2</v>
      </c>
      <c r="H365" s="24" t="n">
        <v>2</v>
      </c>
      <c r="I365" s="24" t="n">
        <v>1</v>
      </c>
      <c r="J365" s="24" t="n">
        <v>2</v>
      </c>
      <c r="K365" s="24" t="n">
        <v>1</v>
      </c>
      <c r="L365" s="37" t="n">
        <f aca="false">IF(F365="N/A","",IF(COUNT(H365:K365)=0,"",IF(Config!$C$19="Highest dimension",MAX(H365:K365),ROUND(H365*Config!$C$20+I365*Config!$C$21+J365*Config!$C$22+K365*Config!$C$23,1))))</f>
        <v>2</v>
      </c>
      <c r="M365" s="38" t="n">
        <f aca="false">IF(OR(L365="",G365=""),"",G365*L365)</f>
        <v>4</v>
      </c>
      <c r="N365" s="31" t="n">
        <f aca="false">IF(M365="","",MATCH(M365,Config!$E$5:$E$9,1))</f>
        <v>1</v>
      </c>
      <c r="O365" s="7" t="str">
        <f aca="false">IF(F365="N/A","N/A",IF(N365="","Not assessed",INDEX(Config!$B$5:$B$9,N365)))</f>
        <v>Low</v>
      </c>
      <c r="P365" s="32" t="n">
        <v>0</v>
      </c>
      <c r="Q365" s="8"/>
      <c r="R365" s="33"/>
      <c r="S365" s="34" t="n">
        <f aca="false">IF(N365="","",IF(AND(R365="Y",P365&lt;&gt;0),MAX(1,MIN(5,N365+MAX(-Config!$C$27,MIN(Config!$C$27,P365)))),N365))</f>
        <v>1</v>
      </c>
      <c r="T365" s="35" t="str">
        <f aca="false">IF(F365="N/A","N/A",IF(S365="","Not assessed",INDEX(Config!$B$5:$B$9,S365)))</f>
        <v>Low</v>
      </c>
      <c r="U365" s="7" t="str">
        <f aca="false">IF(P365=0,"None",IF(R365="Y","Applied","Pending HO approval"))</f>
        <v>None</v>
      </c>
      <c r="V365" s="8"/>
    </row>
    <row r="366" customFormat="false" ht="15" hidden="false" customHeight="false" outlineLevel="0" collapsed="false">
      <c r="A366" s="26" t="str">
        <f aca="false">Entities!$A$32</f>
        <v>CN</v>
      </c>
      <c r="B366" s="12" t="str">
        <f aca="false">INDEX(Entities!$B$5:$B$34,MATCH(A366,Entities!$A$5:$A$34,0))</f>
        <v>Arab Bank – China</v>
      </c>
      <c r="C366" s="12" t="str">
        <f aca="false">INDEX(Entities!$D$5:$D$34,MATCH(A366,Entities!$A$5:$A$34,0))</f>
        <v>Asia-Pacific</v>
      </c>
      <c r="D366" s="12" t="s">
        <v>289</v>
      </c>
      <c r="E366" s="12" t="str">
        <f aca="false">INDEX('Risk Taxonomy'!$B$5:$B$24,MATCH(D366,'Risk Taxonomy'!$A$5:$A$24,0))</f>
        <v>Legal and litigation</v>
      </c>
      <c r="F366" s="7" t="str">
        <f aca="false">IF(D366="RC-04",IF(INDEX(Entities!$G$5:$G$34,MATCH(A366,Entities!$A$5:$A$34,0))="Y","Yes","N/A"),"Yes")</f>
        <v>Yes</v>
      </c>
      <c r="G366" s="24" t="n">
        <v>3</v>
      </c>
      <c r="H366" s="24" t="n">
        <v>3</v>
      </c>
      <c r="I366" s="24" t="n">
        <v>1</v>
      </c>
      <c r="J366" s="24" t="n">
        <v>3</v>
      </c>
      <c r="K366" s="24" t="n">
        <v>2</v>
      </c>
      <c r="L366" s="37" t="n">
        <f aca="false">IF(F366="N/A","",IF(COUNT(H366:K366)=0,"",IF(Config!$C$19="Highest dimension",MAX(H366:K366),ROUND(H366*Config!$C$20+I366*Config!$C$21+J366*Config!$C$22+K366*Config!$C$23,1))))</f>
        <v>3</v>
      </c>
      <c r="M366" s="38" t="n">
        <f aca="false">IF(OR(L366="",G366=""),"",G366*L366)</f>
        <v>9</v>
      </c>
      <c r="N366" s="31" t="n">
        <f aca="false">IF(M366="","",MATCH(M366,Config!$E$5:$E$9,1))</f>
        <v>3</v>
      </c>
      <c r="O366" s="7" t="str">
        <f aca="false">IF(F366="N/A","N/A",IF(N366="","Not assessed",INDEX(Config!$B$5:$B$9,N366)))</f>
        <v>Medium</v>
      </c>
      <c r="P366" s="32" t="n">
        <v>0</v>
      </c>
      <c r="Q366" s="8"/>
      <c r="R366" s="33"/>
      <c r="S366" s="34" t="n">
        <f aca="false">IF(N366="","",IF(AND(R366="Y",P366&lt;&gt;0),MAX(1,MIN(5,N366+MAX(-Config!$C$27,MIN(Config!$C$27,P366)))),N366))</f>
        <v>3</v>
      </c>
      <c r="T366" s="35" t="str">
        <f aca="false">IF(F366="N/A","N/A",IF(S366="","Not assessed",INDEX(Config!$B$5:$B$9,S366)))</f>
        <v>Medium</v>
      </c>
      <c r="U366" s="7" t="str">
        <f aca="false">IF(P366=0,"None",IF(R366="Y","Applied","Pending HO approval"))</f>
        <v>None</v>
      </c>
      <c r="V366" s="8"/>
    </row>
    <row r="367" customFormat="false" ht="15" hidden="false" customHeight="false" outlineLevel="0" collapsed="false">
      <c r="A367" s="26" t="str">
        <f aca="false">Entities!$A$32</f>
        <v>CN</v>
      </c>
      <c r="B367" s="12" t="str">
        <f aca="false">INDEX(Entities!$B$5:$B$34,MATCH(A367,Entities!$A$5:$A$34,0))</f>
        <v>Arab Bank – China</v>
      </c>
      <c r="C367" s="12" t="str">
        <f aca="false">INDEX(Entities!$D$5:$D$34,MATCH(A367,Entities!$A$5:$A$34,0))</f>
        <v>Asia-Pacific</v>
      </c>
      <c r="D367" s="12" t="s">
        <v>292</v>
      </c>
      <c r="E367" s="12" t="str">
        <f aca="false">INDEX('Risk Taxonomy'!$B$5:$B$24,MATCH(D367,'Risk Taxonomy'!$A$5:$A$24,0))</f>
        <v>Reputational</v>
      </c>
      <c r="F367" s="7" t="str">
        <f aca="false">IF(D367="RC-04",IF(INDEX(Entities!$G$5:$G$34,MATCH(A367,Entities!$A$5:$A$34,0))="Y","Yes","N/A"),"Yes")</f>
        <v>Yes</v>
      </c>
      <c r="G367" s="24" t="n">
        <v>2</v>
      </c>
      <c r="H367" s="24" t="n">
        <v>1</v>
      </c>
      <c r="I367" s="24" t="n">
        <v>2</v>
      </c>
      <c r="J367" s="24" t="n">
        <v>2</v>
      </c>
      <c r="K367" s="24" t="n">
        <v>3</v>
      </c>
      <c r="L367" s="37" t="n">
        <f aca="false">IF(F367="N/A","",IF(COUNT(H367:K367)=0,"",IF(Config!$C$19="Highest dimension",MAX(H367:K367),ROUND(H367*Config!$C$20+I367*Config!$C$21+J367*Config!$C$22+K367*Config!$C$23,1))))</f>
        <v>3</v>
      </c>
      <c r="M367" s="38" t="n">
        <f aca="false">IF(OR(L367="",G367=""),"",G367*L367)</f>
        <v>6</v>
      </c>
      <c r="N367" s="31" t="n">
        <f aca="false">IF(M367="","",MATCH(M367,Config!$E$5:$E$9,1))</f>
        <v>2</v>
      </c>
      <c r="O367" s="7" t="str">
        <f aca="false">IF(F367="N/A","N/A",IF(N367="","Not assessed",INDEX(Config!$B$5:$B$9,N367)))</f>
        <v>Medium-Low</v>
      </c>
      <c r="P367" s="32" t="n">
        <v>0</v>
      </c>
      <c r="Q367" s="8"/>
      <c r="R367" s="33"/>
      <c r="S367" s="34" t="n">
        <f aca="false">IF(N367="","",IF(AND(R367="Y",P367&lt;&gt;0),MAX(1,MIN(5,N367+MAX(-Config!$C$27,MIN(Config!$C$27,P367)))),N367))</f>
        <v>2</v>
      </c>
      <c r="T367" s="35" t="str">
        <f aca="false">IF(F367="N/A","N/A",IF(S367="","Not assessed",INDEX(Config!$B$5:$B$9,S367)))</f>
        <v>Medium-Low</v>
      </c>
      <c r="U367" s="7" t="str">
        <f aca="false">IF(P367=0,"None",IF(R367="Y","Applied","Pending HO approval"))</f>
        <v>None</v>
      </c>
      <c r="V367" s="8"/>
    </row>
    <row r="368" customFormat="false" ht="15" hidden="false" customHeight="false" outlineLevel="0" collapsed="false">
      <c r="A368" s="26" t="str">
        <f aca="false">Entities!$A$32</f>
        <v>CN</v>
      </c>
      <c r="B368" s="12" t="str">
        <f aca="false">INDEX(Entities!$B$5:$B$34,MATCH(A368,Entities!$A$5:$A$34,0))</f>
        <v>Arab Bank – China</v>
      </c>
      <c r="C368" s="12" t="str">
        <f aca="false">INDEX(Entities!$D$5:$D$34,MATCH(A368,Entities!$A$5:$A$34,0))</f>
        <v>Asia-Pacific</v>
      </c>
      <c r="D368" s="12" t="s">
        <v>295</v>
      </c>
      <c r="E368" s="12" t="str">
        <f aca="false">INDEX('Risk Taxonomy'!$B$5:$B$24,MATCH(D368,'Risk Taxonomy'!$A$5:$A$24,0))</f>
        <v>Strategic, business model and ESG</v>
      </c>
      <c r="F368" s="7" t="str">
        <f aca="false">IF(D368="RC-04",IF(INDEX(Entities!$G$5:$G$34,MATCH(A368,Entities!$A$5:$A$34,0))="Y","Yes","N/A"),"Yes")</f>
        <v>Yes</v>
      </c>
      <c r="G368" s="24" t="n">
        <v>2</v>
      </c>
      <c r="H368" s="24" t="n">
        <v>1</v>
      </c>
      <c r="I368" s="24" t="n">
        <v>2</v>
      </c>
      <c r="J368" s="24" t="n">
        <v>1</v>
      </c>
      <c r="K368" s="24" t="n">
        <v>2</v>
      </c>
      <c r="L368" s="37" t="n">
        <f aca="false">IF(F368="N/A","",IF(COUNT(H368:K368)=0,"",IF(Config!$C$19="Highest dimension",MAX(H368:K368),ROUND(H368*Config!$C$20+I368*Config!$C$21+J368*Config!$C$22+K368*Config!$C$23,1))))</f>
        <v>2</v>
      </c>
      <c r="M368" s="38" t="n">
        <f aca="false">IF(OR(L368="",G368=""),"",G368*L368)</f>
        <v>4</v>
      </c>
      <c r="N368" s="31" t="n">
        <f aca="false">IF(M368="","",MATCH(M368,Config!$E$5:$E$9,1))</f>
        <v>1</v>
      </c>
      <c r="O368" s="7" t="str">
        <f aca="false">IF(F368="N/A","N/A",IF(N368="","Not assessed",INDEX(Config!$B$5:$B$9,N368)))</f>
        <v>Low</v>
      </c>
      <c r="P368" s="32" t="n">
        <v>0</v>
      </c>
      <c r="Q368" s="8"/>
      <c r="R368" s="33"/>
      <c r="S368" s="34" t="n">
        <f aca="false">IF(N368="","",IF(AND(R368="Y",P368&lt;&gt;0),MAX(1,MIN(5,N368+MAX(-Config!$C$27,MIN(Config!$C$27,P368)))),N368))</f>
        <v>1</v>
      </c>
      <c r="T368" s="35" t="str">
        <f aca="false">IF(F368="N/A","N/A",IF(S368="","Not assessed",INDEX(Config!$B$5:$B$9,S368)))</f>
        <v>Low</v>
      </c>
      <c r="U368" s="7" t="str">
        <f aca="false">IF(P368=0,"None",IF(R368="Y","Applied","Pending HO approval"))</f>
        <v>None</v>
      </c>
      <c r="V368" s="8"/>
    </row>
    <row r="369" customFormat="false" ht="15" hidden="false" customHeight="false" outlineLevel="0" collapsed="false">
      <c r="A369" s="26" t="str">
        <f aca="false">Entities!$A$33</f>
        <v>AU</v>
      </c>
      <c r="B369" s="12" t="str">
        <f aca="false">INDEX(Entities!$B$5:$B$34,MATCH(A369,Entities!$A$5:$A$34,0))</f>
        <v>Arab Bank Australia</v>
      </c>
      <c r="C369" s="12" t="str">
        <f aca="false">INDEX(Entities!$D$5:$D$34,MATCH(A369,Entities!$A$5:$A$34,0))</f>
        <v>Asia-Pacific</v>
      </c>
      <c r="D369" s="12" t="s">
        <v>257</v>
      </c>
      <c r="E369" s="12" t="str">
        <f aca="false">INDEX('Risk Taxonomy'!$B$5:$B$24,MATCH(D369,'Risk Taxonomy'!$A$5:$A$24,0))</f>
        <v>Regulatory compliance</v>
      </c>
      <c r="F369" s="7" t="str">
        <f aca="false">IF(D369="RC-04",IF(INDEX(Entities!$G$5:$G$34,MATCH(A369,Entities!$A$5:$A$34,0))="Y","Yes","N/A"),"Yes")</f>
        <v>Yes</v>
      </c>
      <c r="G369" s="24" t="n">
        <v>2</v>
      </c>
      <c r="H369" s="24" t="n">
        <v>2</v>
      </c>
      <c r="I369" s="24" t="n">
        <v>2</v>
      </c>
      <c r="J369" s="24" t="n">
        <v>1</v>
      </c>
      <c r="K369" s="24" t="n">
        <v>1</v>
      </c>
      <c r="L369" s="37" t="n">
        <f aca="false">IF(F369="N/A","",IF(COUNT(H369:K369)=0,"",IF(Config!$C$19="Highest dimension",MAX(H369:K369),ROUND(H369*Config!$C$20+I369*Config!$C$21+J369*Config!$C$22+K369*Config!$C$23,1))))</f>
        <v>2</v>
      </c>
      <c r="M369" s="38" t="n">
        <f aca="false">IF(OR(L369="",G369=""),"",G369*L369)</f>
        <v>4</v>
      </c>
      <c r="N369" s="31" t="n">
        <f aca="false">IF(M369="","",MATCH(M369,Config!$E$5:$E$9,1))</f>
        <v>1</v>
      </c>
      <c r="O369" s="7" t="str">
        <f aca="false">IF(F369="N/A","N/A",IF(N369="","Not assessed",INDEX(Config!$B$5:$B$9,N369)))</f>
        <v>Low</v>
      </c>
      <c r="P369" s="32" t="n">
        <v>0</v>
      </c>
      <c r="Q369" s="8"/>
      <c r="R369" s="33"/>
      <c r="S369" s="34" t="n">
        <f aca="false">IF(N369="","",IF(AND(R369="Y",P369&lt;&gt;0),MAX(1,MIN(5,N369+MAX(-Config!$C$27,MIN(Config!$C$27,P369)))),N369))</f>
        <v>1</v>
      </c>
      <c r="T369" s="35" t="str">
        <f aca="false">IF(F369="N/A","N/A",IF(S369="","Not assessed",INDEX(Config!$B$5:$B$9,S369)))</f>
        <v>Low</v>
      </c>
      <c r="U369" s="7" t="str">
        <f aca="false">IF(P369=0,"None",IF(R369="Y","Applied","Pending HO approval"))</f>
        <v>None</v>
      </c>
      <c r="V369" s="8"/>
    </row>
    <row r="370" customFormat="false" ht="15" hidden="false" customHeight="false" outlineLevel="0" collapsed="false">
      <c r="A370" s="26" t="str">
        <f aca="false">Entities!$A$33</f>
        <v>AU</v>
      </c>
      <c r="B370" s="12" t="str">
        <f aca="false">INDEX(Entities!$B$5:$B$34,MATCH(A370,Entities!$A$5:$A$34,0))</f>
        <v>Arab Bank Australia</v>
      </c>
      <c r="C370" s="12" t="str">
        <f aca="false">INDEX(Entities!$D$5:$D$34,MATCH(A370,Entities!$A$5:$A$34,0))</f>
        <v>Asia-Pacific</v>
      </c>
      <c r="D370" s="12" t="s">
        <v>261</v>
      </c>
      <c r="E370" s="12" t="str">
        <f aca="false">INDEX('Risk Taxonomy'!$B$5:$B$24,MATCH(D370,'Risk Taxonomy'!$A$5:$A$24,0))</f>
        <v>Conduct and consumer protection</v>
      </c>
      <c r="F370" s="7" t="str">
        <f aca="false">IF(D370="RC-04",IF(INDEX(Entities!$G$5:$G$34,MATCH(A370,Entities!$A$5:$A$34,0))="Y","Yes","N/A"),"Yes")</f>
        <v>Yes</v>
      </c>
      <c r="G370" s="24" t="n">
        <v>3</v>
      </c>
      <c r="H370" s="24" t="n">
        <v>3</v>
      </c>
      <c r="I370" s="24" t="n">
        <v>2</v>
      </c>
      <c r="J370" s="24" t="n">
        <v>2</v>
      </c>
      <c r="K370" s="24" t="n">
        <v>3</v>
      </c>
      <c r="L370" s="37" t="n">
        <f aca="false">IF(F370="N/A","",IF(COUNT(H370:K370)=0,"",IF(Config!$C$19="Highest dimension",MAX(H370:K370),ROUND(H370*Config!$C$20+I370*Config!$C$21+J370*Config!$C$22+K370*Config!$C$23,1))))</f>
        <v>3</v>
      </c>
      <c r="M370" s="38" t="n">
        <f aca="false">IF(OR(L370="",G370=""),"",G370*L370)</f>
        <v>9</v>
      </c>
      <c r="N370" s="31" t="n">
        <f aca="false">IF(M370="","",MATCH(M370,Config!$E$5:$E$9,1))</f>
        <v>3</v>
      </c>
      <c r="O370" s="7" t="str">
        <f aca="false">IF(F370="N/A","N/A",IF(N370="","Not assessed",INDEX(Config!$B$5:$B$9,N370)))</f>
        <v>Medium</v>
      </c>
      <c r="P370" s="32" t="n">
        <v>0</v>
      </c>
      <c r="Q370" s="8"/>
      <c r="R370" s="33"/>
      <c r="S370" s="34" t="n">
        <f aca="false">IF(N370="","",IF(AND(R370="Y",P370&lt;&gt;0),MAX(1,MIN(5,N370+MAX(-Config!$C$27,MIN(Config!$C$27,P370)))),N370))</f>
        <v>3</v>
      </c>
      <c r="T370" s="35" t="str">
        <f aca="false">IF(F370="N/A","N/A",IF(S370="","Not assessed",INDEX(Config!$B$5:$B$9,S370)))</f>
        <v>Medium</v>
      </c>
      <c r="U370" s="7" t="str">
        <f aca="false">IF(P370=0,"None",IF(R370="Y","Applied","Pending HO approval"))</f>
        <v>None</v>
      </c>
      <c r="V370" s="8"/>
    </row>
    <row r="371" customFormat="false" ht="15" hidden="false" customHeight="false" outlineLevel="0" collapsed="false">
      <c r="A371" s="26" t="str">
        <f aca="false">Entities!$A$33</f>
        <v>AU</v>
      </c>
      <c r="B371" s="12" t="str">
        <f aca="false">INDEX(Entities!$B$5:$B$34,MATCH(A371,Entities!$A$5:$A$34,0))</f>
        <v>Arab Bank Australia</v>
      </c>
      <c r="C371" s="12" t="str">
        <f aca="false">INDEX(Entities!$D$5:$D$34,MATCH(A371,Entities!$A$5:$A$34,0))</f>
        <v>Asia-Pacific</v>
      </c>
      <c r="D371" s="12" t="s">
        <v>263</v>
      </c>
      <c r="E371" s="12" t="str">
        <f aca="false">INDEX('Risk Taxonomy'!$B$5:$B$24,MATCH(D371,'Risk Taxonomy'!$A$5:$A$24,0))</f>
        <v>Data protection and privacy</v>
      </c>
      <c r="F371" s="7" t="str">
        <f aca="false">IF(D371="RC-04",IF(INDEX(Entities!$G$5:$G$34,MATCH(A371,Entities!$A$5:$A$34,0))="Y","Yes","N/A"),"Yes")</f>
        <v>Yes</v>
      </c>
      <c r="G371" s="24" t="n">
        <v>2</v>
      </c>
      <c r="H371" s="24" t="n">
        <v>1</v>
      </c>
      <c r="I371" s="24" t="n">
        <v>2</v>
      </c>
      <c r="J371" s="24" t="n">
        <v>2</v>
      </c>
      <c r="K371" s="24" t="n">
        <v>3</v>
      </c>
      <c r="L371" s="37" t="n">
        <f aca="false">IF(F371="N/A","",IF(COUNT(H371:K371)=0,"",IF(Config!$C$19="Highest dimension",MAX(H371:K371),ROUND(H371*Config!$C$20+I371*Config!$C$21+J371*Config!$C$22+K371*Config!$C$23,1))))</f>
        <v>3</v>
      </c>
      <c r="M371" s="38" t="n">
        <f aca="false">IF(OR(L371="",G371=""),"",G371*L371)</f>
        <v>6</v>
      </c>
      <c r="N371" s="31" t="n">
        <f aca="false">IF(M371="","",MATCH(M371,Config!$E$5:$E$9,1))</f>
        <v>2</v>
      </c>
      <c r="O371" s="7" t="str">
        <f aca="false">IF(F371="N/A","N/A",IF(N371="","Not assessed",INDEX(Config!$B$5:$B$9,N371)))</f>
        <v>Medium-Low</v>
      </c>
      <c r="P371" s="32" t="n">
        <v>0</v>
      </c>
      <c r="Q371" s="8"/>
      <c r="R371" s="33"/>
      <c r="S371" s="34" t="n">
        <f aca="false">IF(N371="","",IF(AND(R371="Y",P371&lt;&gt;0),MAX(1,MIN(5,N371+MAX(-Config!$C$27,MIN(Config!$C$27,P371)))),N371))</f>
        <v>2</v>
      </c>
      <c r="T371" s="35" t="str">
        <f aca="false">IF(F371="N/A","N/A",IF(S371="","Not assessed",INDEX(Config!$B$5:$B$9,S371)))</f>
        <v>Medium-Low</v>
      </c>
      <c r="U371" s="7" t="str">
        <f aca="false">IF(P371=0,"None",IF(R371="Y","Applied","Pending HO approval"))</f>
        <v>None</v>
      </c>
      <c r="V371" s="8"/>
    </row>
    <row r="372" customFormat="false" ht="15" hidden="false" customHeight="false" outlineLevel="0" collapsed="false">
      <c r="A372" s="26" t="str">
        <f aca="false">Entities!$A$33</f>
        <v>AU</v>
      </c>
      <c r="B372" s="12" t="str">
        <f aca="false">INDEX(Entities!$B$5:$B$34,MATCH(A372,Entities!$A$5:$A$34,0))</f>
        <v>Arab Bank Australia</v>
      </c>
      <c r="C372" s="12" t="str">
        <f aca="false">INDEX(Entities!$D$5:$D$34,MATCH(A372,Entities!$A$5:$A$34,0))</f>
        <v>Asia-Pacific</v>
      </c>
      <c r="D372" s="12" t="s">
        <v>266</v>
      </c>
      <c r="E372" s="12" t="str">
        <f aca="false">INDEX('Risk Taxonomy'!$B$5:$B$24,MATCH(D372,'Risk Taxonomy'!$A$5:$A$24,0))</f>
        <v>Shariah non-compliance</v>
      </c>
      <c r="F372" s="7" t="str">
        <f aca="false">IF(D372="RC-04",IF(INDEX(Entities!$G$5:$G$34,MATCH(A372,Entities!$A$5:$A$34,0))="Y","Yes","N/A"),"Yes")</f>
        <v>N/A</v>
      </c>
      <c r="G372" s="24"/>
      <c r="H372" s="24"/>
      <c r="I372" s="24"/>
      <c r="J372" s="24"/>
      <c r="K372" s="24"/>
      <c r="L372" s="37" t="str">
        <f aca="false">IF(F372="N/A","",IF(COUNT(H372:K372)=0,"",IF(Config!$C$19="Highest dimension",MAX(H372:K372),ROUND(H372*Config!$C$20+I372*Config!$C$21+J372*Config!$C$22+K372*Config!$C$23,1))))</f>
        <v/>
      </c>
      <c r="M372" s="38" t="str">
        <f aca="false">IF(OR(L372="",G372=""),"",G372*L372)</f>
        <v/>
      </c>
      <c r="N372" s="31" t="str">
        <f aca="false">IF(M372="","",MATCH(M372,Config!$E$5:$E$9,1))</f>
        <v/>
      </c>
      <c r="O372" s="7" t="str">
        <f aca="false">IF(F372="N/A","N/A",IF(N372="","Not assessed",INDEX(Config!$B$5:$B$9,N372)))</f>
        <v>N/A</v>
      </c>
      <c r="P372" s="32" t="n">
        <v>0</v>
      </c>
      <c r="Q372" s="8"/>
      <c r="R372" s="33"/>
      <c r="S372" s="34" t="str">
        <f aca="false">IF(N372="","",IF(AND(R372="Y",P372&lt;&gt;0),MAX(1,MIN(5,N372+MAX(-Config!$C$27,MIN(Config!$C$27,P372)))),N372))</f>
        <v/>
      </c>
      <c r="T372" s="35" t="str">
        <f aca="false">IF(F372="N/A","N/A",IF(S372="","Not assessed",INDEX(Config!$B$5:$B$9,S372)))</f>
        <v>N/A</v>
      </c>
      <c r="U372" s="7" t="str">
        <f aca="false">IF(P372=0,"None",IF(R372="Y","Applied","Pending HO approval"))</f>
        <v>None</v>
      </c>
      <c r="V372" s="8"/>
    </row>
    <row r="373" customFormat="false" ht="15" hidden="false" customHeight="false" outlineLevel="0" collapsed="false">
      <c r="A373" s="26" t="str">
        <f aca="false">Entities!$A$33</f>
        <v>AU</v>
      </c>
      <c r="B373" s="12" t="str">
        <f aca="false">INDEX(Entities!$B$5:$B$34,MATCH(A373,Entities!$A$5:$A$34,0))</f>
        <v>Arab Bank Australia</v>
      </c>
      <c r="C373" s="12" t="str">
        <f aca="false">INDEX(Entities!$D$5:$D$34,MATCH(A373,Entities!$A$5:$A$34,0))</f>
        <v>Asia-Pacific</v>
      </c>
      <c r="D373" s="12" t="s">
        <v>270</v>
      </c>
      <c r="E373" s="12" t="str">
        <f aca="false">INDEX('Risk Taxonomy'!$B$5:$B$24,MATCH(D373,'Risk Taxonomy'!$A$5:$A$24,0))</f>
        <v>Credit risk</v>
      </c>
      <c r="F373" s="7" t="str">
        <f aca="false">IF(D373="RC-04",IF(INDEX(Entities!$G$5:$G$34,MATCH(A373,Entities!$A$5:$A$34,0))="Y","Yes","N/A"),"Yes")</f>
        <v>Yes</v>
      </c>
      <c r="G373" s="24" t="n">
        <v>2</v>
      </c>
      <c r="H373" s="24" t="n">
        <v>1</v>
      </c>
      <c r="I373" s="24" t="n">
        <v>1</v>
      </c>
      <c r="J373" s="24" t="n">
        <v>2</v>
      </c>
      <c r="K373" s="24" t="n">
        <v>1</v>
      </c>
      <c r="L373" s="37" t="n">
        <f aca="false">IF(F373="N/A","",IF(COUNT(H373:K373)=0,"",IF(Config!$C$19="Highest dimension",MAX(H373:K373),ROUND(H373*Config!$C$20+I373*Config!$C$21+J373*Config!$C$22+K373*Config!$C$23,1))))</f>
        <v>2</v>
      </c>
      <c r="M373" s="38" t="n">
        <f aca="false">IF(OR(L373="",G373=""),"",G373*L373)</f>
        <v>4</v>
      </c>
      <c r="N373" s="31" t="n">
        <f aca="false">IF(M373="","",MATCH(M373,Config!$E$5:$E$9,1))</f>
        <v>1</v>
      </c>
      <c r="O373" s="7" t="str">
        <f aca="false">IF(F373="N/A","N/A",IF(N373="","Not assessed",INDEX(Config!$B$5:$B$9,N373)))</f>
        <v>Low</v>
      </c>
      <c r="P373" s="32" t="n">
        <v>0</v>
      </c>
      <c r="Q373" s="8"/>
      <c r="R373" s="33"/>
      <c r="S373" s="34" t="n">
        <f aca="false">IF(N373="","",IF(AND(R373="Y",P373&lt;&gt;0),MAX(1,MIN(5,N373+MAX(-Config!$C$27,MIN(Config!$C$27,P373)))),N373))</f>
        <v>1</v>
      </c>
      <c r="T373" s="35" t="str">
        <f aca="false">IF(F373="N/A","N/A",IF(S373="","Not assessed",INDEX(Config!$B$5:$B$9,S373)))</f>
        <v>Low</v>
      </c>
      <c r="U373" s="7" t="str">
        <f aca="false">IF(P373=0,"None",IF(R373="Y","Applied","Pending HO approval"))</f>
        <v>None</v>
      </c>
      <c r="V373" s="8"/>
    </row>
    <row r="374" customFormat="false" ht="15" hidden="false" customHeight="false" outlineLevel="0" collapsed="false">
      <c r="A374" s="26" t="str">
        <f aca="false">Entities!$A$33</f>
        <v>AU</v>
      </c>
      <c r="B374" s="12" t="str">
        <f aca="false">INDEX(Entities!$B$5:$B$34,MATCH(A374,Entities!$A$5:$A$34,0))</f>
        <v>Arab Bank Australia</v>
      </c>
      <c r="C374" s="12" t="str">
        <f aca="false">INDEX(Entities!$D$5:$D$34,MATCH(A374,Entities!$A$5:$A$34,0))</f>
        <v>Asia-Pacific</v>
      </c>
      <c r="D374" s="12" t="s">
        <v>275</v>
      </c>
      <c r="E374" s="12" t="str">
        <f aca="false">INDEX('Risk Taxonomy'!$B$5:$B$24,MATCH(D374,'Risk Taxonomy'!$A$5:$A$24,0))</f>
        <v>Market risk</v>
      </c>
      <c r="F374" s="7" t="str">
        <f aca="false">IF(D374="RC-04",IF(INDEX(Entities!$G$5:$G$34,MATCH(A374,Entities!$A$5:$A$34,0))="Y","Yes","N/A"),"Yes")</f>
        <v>Yes</v>
      </c>
      <c r="G374" s="24" t="n">
        <v>2</v>
      </c>
      <c r="H374" s="24" t="n">
        <v>3</v>
      </c>
      <c r="I374" s="24" t="n">
        <v>2</v>
      </c>
      <c r="J374" s="24" t="n">
        <v>2</v>
      </c>
      <c r="K374" s="24" t="n">
        <v>2</v>
      </c>
      <c r="L374" s="37" t="n">
        <f aca="false">IF(F374="N/A","",IF(COUNT(H374:K374)=0,"",IF(Config!$C$19="Highest dimension",MAX(H374:K374),ROUND(H374*Config!$C$20+I374*Config!$C$21+J374*Config!$C$22+K374*Config!$C$23,1))))</f>
        <v>3</v>
      </c>
      <c r="M374" s="38" t="n">
        <f aca="false">IF(OR(L374="",G374=""),"",G374*L374)</f>
        <v>6</v>
      </c>
      <c r="N374" s="31" t="n">
        <f aca="false">IF(M374="","",MATCH(M374,Config!$E$5:$E$9,1))</f>
        <v>2</v>
      </c>
      <c r="O374" s="7" t="str">
        <f aca="false">IF(F374="N/A","N/A",IF(N374="","Not assessed",INDEX(Config!$B$5:$B$9,N374)))</f>
        <v>Medium-Low</v>
      </c>
      <c r="P374" s="32" t="n">
        <v>0</v>
      </c>
      <c r="Q374" s="8"/>
      <c r="R374" s="33"/>
      <c r="S374" s="34" t="n">
        <f aca="false">IF(N374="","",IF(AND(R374="Y",P374&lt;&gt;0),MAX(1,MIN(5,N374+MAX(-Config!$C$27,MIN(Config!$C$27,P374)))),N374))</f>
        <v>2</v>
      </c>
      <c r="T374" s="35" t="str">
        <f aca="false">IF(F374="N/A","N/A",IF(S374="","Not assessed",INDEX(Config!$B$5:$B$9,S374)))</f>
        <v>Medium-Low</v>
      </c>
      <c r="U374" s="7" t="str">
        <f aca="false">IF(P374=0,"None",IF(R374="Y","Applied","Pending HO approval"))</f>
        <v>None</v>
      </c>
      <c r="V374" s="8"/>
    </row>
    <row r="375" customFormat="false" ht="15" hidden="false" customHeight="false" outlineLevel="0" collapsed="false">
      <c r="A375" s="26" t="str">
        <f aca="false">Entities!$A$33</f>
        <v>AU</v>
      </c>
      <c r="B375" s="12" t="str">
        <f aca="false">INDEX(Entities!$B$5:$B$34,MATCH(A375,Entities!$A$5:$A$34,0))</f>
        <v>Arab Bank Australia</v>
      </c>
      <c r="C375" s="12" t="str">
        <f aca="false">INDEX(Entities!$D$5:$D$34,MATCH(A375,Entities!$A$5:$A$34,0))</f>
        <v>Asia-Pacific</v>
      </c>
      <c r="D375" s="12" t="s">
        <v>277</v>
      </c>
      <c r="E375" s="12" t="str">
        <f aca="false">INDEX('Risk Taxonomy'!$B$5:$B$24,MATCH(D375,'Risk Taxonomy'!$A$5:$A$24,0))</f>
        <v>Liquidity and funding risk</v>
      </c>
      <c r="F375" s="7" t="str">
        <f aca="false">IF(D375="RC-04",IF(INDEX(Entities!$G$5:$G$34,MATCH(A375,Entities!$A$5:$A$34,0))="Y","Yes","N/A"),"Yes")</f>
        <v>Yes</v>
      </c>
      <c r="G375" s="24" t="n">
        <v>3</v>
      </c>
      <c r="H375" s="24" t="n">
        <v>3</v>
      </c>
      <c r="I375" s="24" t="n">
        <v>2</v>
      </c>
      <c r="J375" s="24" t="n">
        <v>3</v>
      </c>
      <c r="K375" s="24" t="n">
        <v>1</v>
      </c>
      <c r="L375" s="37" t="n">
        <f aca="false">IF(F375="N/A","",IF(COUNT(H375:K375)=0,"",IF(Config!$C$19="Highest dimension",MAX(H375:K375),ROUND(H375*Config!$C$20+I375*Config!$C$21+J375*Config!$C$22+K375*Config!$C$23,1))))</f>
        <v>3</v>
      </c>
      <c r="M375" s="38" t="n">
        <f aca="false">IF(OR(L375="",G375=""),"",G375*L375)</f>
        <v>9</v>
      </c>
      <c r="N375" s="31" t="n">
        <f aca="false">IF(M375="","",MATCH(M375,Config!$E$5:$E$9,1))</f>
        <v>3</v>
      </c>
      <c r="O375" s="7" t="str">
        <f aca="false">IF(F375="N/A","N/A",IF(N375="","Not assessed",INDEX(Config!$B$5:$B$9,N375)))</f>
        <v>Medium</v>
      </c>
      <c r="P375" s="32" t="n">
        <v>0</v>
      </c>
      <c r="Q375" s="8"/>
      <c r="R375" s="33"/>
      <c r="S375" s="34" t="n">
        <f aca="false">IF(N375="","",IF(AND(R375="Y",P375&lt;&gt;0),MAX(1,MIN(5,N375+MAX(-Config!$C$27,MIN(Config!$C$27,P375)))),N375))</f>
        <v>3</v>
      </c>
      <c r="T375" s="35" t="str">
        <f aca="false">IF(F375="N/A","N/A",IF(S375="","Not assessed",INDEX(Config!$B$5:$B$9,S375)))</f>
        <v>Medium</v>
      </c>
      <c r="U375" s="7" t="str">
        <f aca="false">IF(P375=0,"None",IF(R375="Y","Applied","Pending HO approval"))</f>
        <v>None</v>
      </c>
      <c r="V375" s="8"/>
    </row>
    <row r="376" customFormat="false" ht="15" hidden="false" customHeight="false" outlineLevel="0" collapsed="false">
      <c r="A376" s="26" t="str">
        <f aca="false">Entities!$A$33</f>
        <v>AU</v>
      </c>
      <c r="B376" s="12" t="str">
        <f aca="false">INDEX(Entities!$B$5:$B$34,MATCH(A376,Entities!$A$5:$A$34,0))</f>
        <v>Arab Bank Australia</v>
      </c>
      <c r="C376" s="12" t="str">
        <f aca="false">INDEX(Entities!$D$5:$D$34,MATCH(A376,Entities!$A$5:$A$34,0))</f>
        <v>Asia-Pacific</v>
      </c>
      <c r="D376" s="12" t="s">
        <v>280</v>
      </c>
      <c r="E376" s="12" t="str">
        <f aca="false">INDEX('Risk Taxonomy'!$B$5:$B$24,MATCH(D376,'Risk Taxonomy'!$A$5:$A$24,0))</f>
        <v>Operational risk</v>
      </c>
      <c r="F376" s="7" t="str">
        <f aca="false">IF(D376="RC-04",IF(INDEX(Entities!$G$5:$G$34,MATCH(A376,Entities!$A$5:$A$34,0))="Y","Yes","N/A"),"Yes")</f>
        <v>Yes</v>
      </c>
      <c r="G376" s="24" t="n">
        <v>4</v>
      </c>
      <c r="H376" s="24" t="n">
        <v>1</v>
      </c>
      <c r="I376" s="24" t="n">
        <v>2</v>
      </c>
      <c r="J376" s="24" t="n">
        <v>4</v>
      </c>
      <c r="K376" s="24" t="n">
        <v>2</v>
      </c>
      <c r="L376" s="37" t="n">
        <f aca="false">IF(F376="N/A","",IF(COUNT(H376:K376)=0,"",IF(Config!$C$19="Highest dimension",MAX(H376:K376),ROUND(H376*Config!$C$20+I376*Config!$C$21+J376*Config!$C$22+K376*Config!$C$23,1))))</f>
        <v>4</v>
      </c>
      <c r="M376" s="38" t="n">
        <f aca="false">IF(OR(L376="",G376=""),"",G376*L376)</f>
        <v>16</v>
      </c>
      <c r="N376" s="31" t="n">
        <f aca="false">IF(M376="","",MATCH(M376,Config!$E$5:$E$9,1))</f>
        <v>4</v>
      </c>
      <c r="O376" s="7" t="str">
        <f aca="false">IF(F376="N/A","N/A",IF(N376="","Not assessed",INDEX(Config!$B$5:$B$9,N376)))</f>
        <v>Medium-High</v>
      </c>
      <c r="P376" s="32" t="n">
        <v>0</v>
      </c>
      <c r="Q376" s="8"/>
      <c r="R376" s="33"/>
      <c r="S376" s="34" t="n">
        <f aca="false">IF(N376="","",IF(AND(R376="Y",P376&lt;&gt;0),MAX(1,MIN(5,N376+MAX(-Config!$C$27,MIN(Config!$C$27,P376)))),N376))</f>
        <v>4</v>
      </c>
      <c r="T376" s="35" t="str">
        <f aca="false">IF(F376="N/A","N/A",IF(S376="","Not assessed",INDEX(Config!$B$5:$B$9,S376)))</f>
        <v>Medium-High</v>
      </c>
      <c r="U376" s="7" t="str">
        <f aca="false">IF(P376=0,"None",IF(R376="Y","Applied","Pending HO approval"))</f>
        <v>None</v>
      </c>
      <c r="V376" s="8"/>
    </row>
    <row r="377" customFormat="false" ht="15" hidden="false" customHeight="false" outlineLevel="0" collapsed="false">
      <c r="A377" s="26" t="str">
        <f aca="false">Entities!$A$33</f>
        <v>AU</v>
      </c>
      <c r="B377" s="12" t="str">
        <f aca="false">INDEX(Entities!$B$5:$B$34,MATCH(A377,Entities!$A$5:$A$34,0))</f>
        <v>Arab Bank Australia</v>
      </c>
      <c r="C377" s="12" t="str">
        <f aca="false">INDEX(Entities!$D$5:$D$34,MATCH(A377,Entities!$A$5:$A$34,0))</f>
        <v>Asia-Pacific</v>
      </c>
      <c r="D377" s="12" t="s">
        <v>283</v>
      </c>
      <c r="E377" s="12" t="str">
        <f aca="false">INDEX('Risk Taxonomy'!$B$5:$B$24,MATCH(D377,'Risk Taxonomy'!$A$5:$A$24,0))</f>
        <v>Cyber, information security and technology</v>
      </c>
      <c r="F377" s="7" t="str">
        <f aca="false">IF(D377="RC-04",IF(INDEX(Entities!$G$5:$G$34,MATCH(A377,Entities!$A$5:$A$34,0))="Y","Yes","N/A"),"Yes")</f>
        <v>Yes</v>
      </c>
      <c r="G377" s="24" t="n">
        <v>3</v>
      </c>
      <c r="H377" s="24" t="n">
        <v>4</v>
      </c>
      <c r="I377" s="24" t="n">
        <v>3</v>
      </c>
      <c r="J377" s="24" t="n">
        <v>2</v>
      </c>
      <c r="K377" s="24" t="n">
        <v>2</v>
      </c>
      <c r="L377" s="37" t="n">
        <f aca="false">IF(F377="N/A","",IF(COUNT(H377:K377)=0,"",IF(Config!$C$19="Highest dimension",MAX(H377:K377),ROUND(H377*Config!$C$20+I377*Config!$C$21+J377*Config!$C$22+K377*Config!$C$23,1))))</f>
        <v>4</v>
      </c>
      <c r="M377" s="38" t="n">
        <f aca="false">IF(OR(L377="",G377=""),"",G377*L377)</f>
        <v>12</v>
      </c>
      <c r="N377" s="31" t="n">
        <f aca="false">IF(M377="","",MATCH(M377,Config!$E$5:$E$9,1))</f>
        <v>3</v>
      </c>
      <c r="O377" s="7" t="str">
        <f aca="false">IF(F377="N/A","N/A",IF(N377="","Not assessed",INDEX(Config!$B$5:$B$9,N377)))</f>
        <v>Medium</v>
      </c>
      <c r="P377" s="32" t="n">
        <v>0</v>
      </c>
      <c r="Q377" s="8"/>
      <c r="R377" s="33"/>
      <c r="S377" s="34" t="n">
        <f aca="false">IF(N377="","",IF(AND(R377="Y",P377&lt;&gt;0),MAX(1,MIN(5,N377+MAX(-Config!$C$27,MIN(Config!$C$27,P377)))),N377))</f>
        <v>3</v>
      </c>
      <c r="T377" s="35" t="str">
        <f aca="false">IF(F377="N/A","N/A",IF(S377="","Not assessed",INDEX(Config!$B$5:$B$9,S377)))</f>
        <v>Medium</v>
      </c>
      <c r="U377" s="7" t="str">
        <f aca="false">IF(P377=0,"None",IF(R377="Y","Applied","Pending HO approval"))</f>
        <v>None</v>
      </c>
      <c r="V377" s="8"/>
    </row>
    <row r="378" customFormat="false" ht="15" hidden="false" customHeight="false" outlineLevel="0" collapsed="false">
      <c r="A378" s="26" t="str">
        <f aca="false">Entities!$A$33</f>
        <v>AU</v>
      </c>
      <c r="B378" s="12" t="str">
        <f aca="false">INDEX(Entities!$B$5:$B$34,MATCH(A378,Entities!$A$5:$A$34,0))</f>
        <v>Arab Bank Australia</v>
      </c>
      <c r="C378" s="12" t="str">
        <f aca="false">INDEX(Entities!$D$5:$D$34,MATCH(A378,Entities!$A$5:$A$34,0))</f>
        <v>Asia-Pacific</v>
      </c>
      <c r="D378" s="12" t="s">
        <v>286</v>
      </c>
      <c r="E378" s="12" t="str">
        <f aca="false">INDEX('Risk Taxonomy'!$B$5:$B$24,MATCH(D378,'Risk Taxonomy'!$A$5:$A$24,0))</f>
        <v>Third-party and outsourcing</v>
      </c>
      <c r="F378" s="7" t="str">
        <f aca="false">IF(D378="RC-04",IF(INDEX(Entities!$G$5:$G$34,MATCH(A378,Entities!$A$5:$A$34,0))="Y","Yes","N/A"),"Yes")</f>
        <v>Yes</v>
      </c>
      <c r="G378" s="24" t="n">
        <v>2</v>
      </c>
      <c r="H378" s="24" t="n">
        <v>3</v>
      </c>
      <c r="I378" s="24" t="n">
        <v>3</v>
      </c>
      <c r="J378" s="24" t="n">
        <v>2</v>
      </c>
      <c r="K378" s="24" t="n">
        <v>3</v>
      </c>
      <c r="L378" s="37" t="n">
        <f aca="false">IF(F378="N/A","",IF(COUNT(H378:K378)=0,"",IF(Config!$C$19="Highest dimension",MAX(H378:K378),ROUND(H378*Config!$C$20+I378*Config!$C$21+J378*Config!$C$22+K378*Config!$C$23,1))))</f>
        <v>3</v>
      </c>
      <c r="M378" s="38" t="n">
        <f aca="false">IF(OR(L378="",G378=""),"",G378*L378)</f>
        <v>6</v>
      </c>
      <c r="N378" s="31" t="n">
        <f aca="false">IF(M378="","",MATCH(M378,Config!$E$5:$E$9,1))</f>
        <v>2</v>
      </c>
      <c r="O378" s="7" t="str">
        <f aca="false">IF(F378="N/A","N/A",IF(N378="","Not assessed",INDEX(Config!$B$5:$B$9,N378)))</f>
        <v>Medium-Low</v>
      </c>
      <c r="P378" s="32" t="n">
        <v>0</v>
      </c>
      <c r="Q378" s="8"/>
      <c r="R378" s="33"/>
      <c r="S378" s="34" t="n">
        <f aca="false">IF(N378="","",IF(AND(R378="Y",P378&lt;&gt;0),MAX(1,MIN(5,N378+MAX(-Config!$C$27,MIN(Config!$C$27,P378)))),N378))</f>
        <v>2</v>
      </c>
      <c r="T378" s="35" t="str">
        <f aca="false">IF(F378="N/A","N/A",IF(S378="","Not assessed",INDEX(Config!$B$5:$B$9,S378)))</f>
        <v>Medium-Low</v>
      </c>
      <c r="U378" s="7" t="str">
        <f aca="false">IF(P378=0,"None",IF(R378="Y","Applied","Pending HO approval"))</f>
        <v>None</v>
      </c>
      <c r="V378" s="8"/>
    </row>
    <row r="379" customFormat="false" ht="15" hidden="false" customHeight="false" outlineLevel="0" collapsed="false">
      <c r="A379" s="26" t="str">
        <f aca="false">Entities!$A$33</f>
        <v>AU</v>
      </c>
      <c r="B379" s="12" t="str">
        <f aca="false">INDEX(Entities!$B$5:$B$34,MATCH(A379,Entities!$A$5:$A$34,0))</f>
        <v>Arab Bank Australia</v>
      </c>
      <c r="C379" s="12" t="str">
        <f aca="false">INDEX(Entities!$D$5:$D$34,MATCH(A379,Entities!$A$5:$A$34,0))</f>
        <v>Asia-Pacific</v>
      </c>
      <c r="D379" s="12" t="s">
        <v>289</v>
      </c>
      <c r="E379" s="12" t="str">
        <f aca="false">INDEX('Risk Taxonomy'!$B$5:$B$24,MATCH(D379,'Risk Taxonomy'!$A$5:$A$24,0))</f>
        <v>Legal and litigation</v>
      </c>
      <c r="F379" s="7" t="str">
        <f aca="false">IF(D379="RC-04",IF(INDEX(Entities!$G$5:$G$34,MATCH(A379,Entities!$A$5:$A$34,0))="Y","Yes","N/A"),"Yes")</f>
        <v>Yes</v>
      </c>
      <c r="G379" s="24" t="n">
        <v>3</v>
      </c>
      <c r="H379" s="24" t="n">
        <v>2</v>
      </c>
      <c r="I379" s="24" t="n">
        <v>3</v>
      </c>
      <c r="J379" s="24" t="n">
        <v>1</v>
      </c>
      <c r="K379" s="24" t="n">
        <v>1</v>
      </c>
      <c r="L379" s="37" t="n">
        <f aca="false">IF(F379="N/A","",IF(COUNT(H379:K379)=0,"",IF(Config!$C$19="Highest dimension",MAX(H379:K379),ROUND(H379*Config!$C$20+I379*Config!$C$21+J379*Config!$C$22+K379*Config!$C$23,1))))</f>
        <v>3</v>
      </c>
      <c r="M379" s="38" t="n">
        <f aca="false">IF(OR(L379="",G379=""),"",G379*L379)</f>
        <v>9</v>
      </c>
      <c r="N379" s="31" t="n">
        <f aca="false">IF(M379="","",MATCH(M379,Config!$E$5:$E$9,1))</f>
        <v>3</v>
      </c>
      <c r="O379" s="7" t="str">
        <f aca="false">IF(F379="N/A","N/A",IF(N379="","Not assessed",INDEX(Config!$B$5:$B$9,N379)))</f>
        <v>Medium</v>
      </c>
      <c r="P379" s="32" t="n">
        <v>0</v>
      </c>
      <c r="Q379" s="8"/>
      <c r="R379" s="33"/>
      <c r="S379" s="34" t="n">
        <f aca="false">IF(N379="","",IF(AND(R379="Y",P379&lt;&gt;0),MAX(1,MIN(5,N379+MAX(-Config!$C$27,MIN(Config!$C$27,P379)))),N379))</f>
        <v>3</v>
      </c>
      <c r="T379" s="35" t="str">
        <f aca="false">IF(F379="N/A","N/A",IF(S379="","Not assessed",INDEX(Config!$B$5:$B$9,S379)))</f>
        <v>Medium</v>
      </c>
      <c r="U379" s="7" t="str">
        <f aca="false">IF(P379=0,"None",IF(R379="Y","Applied","Pending HO approval"))</f>
        <v>None</v>
      </c>
      <c r="V379" s="8"/>
    </row>
    <row r="380" customFormat="false" ht="15" hidden="false" customHeight="false" outlineLevel="0" collapsed="false">
      <c r="A380" s="26" t="str">
        <f aca="false">Entities!$A$33</f>
        <v>AU</v>
      </c>
      <c r="B380" s="12" t="str">
        <f aca="false">INDEX(Entities!$B$5:$B$34,MATCH(A380,Entities!$A$5:$A$34,0))</f>
        <v>Arab Bank Australia</v>
      </c>
      <c r="C380" s="12" t="str">
        <f aca="false">INDEX(Entities!$D$5:$D$34,MATCH(A380,Entities!$A$5:$A$34,0))</f>
        <v>Asia-Pacific</v>
      </c>
      <c r="D380" s="12" t="s">
        <v>292</v>
      </c>
      <c r="E380" s="12" t="str">
        <f aca="false">INDEX('Risk Taxonomy'!$B$5:$B$24,MATCH(D380,'Risk Taxonomy'!$A$5:$A$24,0))</f>
        <v>Reputational</v>
      </c>
      <c r="F380" s="7" t="str">
        <f aca="false">IF(D380="RC-04",IF(INDEX(Entities!$G$5:$G$34,MATCH(A380,Entities!$A$5:$A$34,0))="Y","Yes","N/A"),"Yes")</f>
        <v>Yes</v>
      </c>
      <c r="G380" s="24" t="n">
        <v>2</v>
      </c>
      <c r="H380" s="24" t="n">
        <v>3</v>
      </c>
      <c r="I380" s="24" t="n">
        <v>2</v>
      </c>
      <c r="J380" s="24" t="n">
        <v>2</v>
      </c>
      <c r="K380" s="24" t="n">
        <v>1</v>
      </c>
      <c r="L380" s="37" t="n">
        <f aca="false">IF(F380="N/A","",IF(COUNT(H380:K380)=0,"",IF(Config!$C$19="Highest dimension",MAX(H380:K380),ROUND(H380*Config!$C$20+I380*Config!$C$21+J380*Config!$C$22+K380*Config!$C$23,1))))</f>
        <v>3</v>
      </c>
      <c r="M380" s="38" t="n">
        <f aca="false">IF(OR(L380="",G380=""),"",G380*L380)</f>
        <v>6</v>
      </c>
      <c r="N380" s="31" t="n">
        <f aca="false">IF(M380="","",MATCH(M380,Config!$E$5:$E$9,1))</f>
        <v>2</v>
      </c>
      <c r="O380" s="7" t="str">
        <f aca="false">IF(F380="N/A","N/A",IF(N380="","Not assessed",INDEX(Config!$B$5:$B$9,N380)))</f>
        <v>Medium-Low</v>
      </c>
      <c r="P380" s="32" t="n">
        <v>0</v>
      </c>
      <c r="Q380" s="8"/>
      <c r="R380" s="33"/>
      <c r="S380" s="34" t="n">
        <f aca="false">IF(N380="","",IF(AND(R380="Y",P380&lt;&gt;0),MAX(1,MIN(5,N380+MAX(-Config!$C$27,MIN(Config!$C$27,P380)))),N380))</f>
        <v>2</v>
      </c>
      <c r="T380" s="35" t="str">
        <f aca="false">IF(F380="N/A","N/A",IF(S380="","Not assessed",INDEX(Config!$B$5:$B$9,S380)))</f>
        <v>Medium-Low</v>
      </c>
      <c r="U380" s="7" t="str">
        <f aca="false">IF(P380=0,"None",IF(R380="Y","Applied","Pending HO approval"))</f>
        <v>None</v>
      </c>
      <c r="V380" s="8"/>
    </row>
    <row r="381" customFormat="false" ht="15" hidden="false" customHeight="false" outlineLevel="0" collapsed="false">
      <c r="A381" s="26" t="str">
        <f aca="false">Entities!$A$33</f>
        <v>AU</v>
      </c>
      <c r="B381" s="12" t="str">
        <f aca="false">INDEX(Entities!$B$5:$B$34,MATCH(A381,Entities!$A$5:$A$34,0))</f>
        <v>Arab Bank Australia</v>
      </c>
      <c r="C381" s="12" t="str">
        <f aca="false">INDEX(Entities!$D$5:$D$34,MATCH(A381,Entities!$A$5:$A$34,0))</f>
        <v>Asia-Pacific</v>
      </c>
      <c r="D381" s="12" t="s">
        <v>295</v>
      </c>
      <c r="E381" s="12" t="str">
        <f aca="false">INDEX('Risk Taxonomy'!$B$5:$B$24,MATCH(D381,'Risk Taxonomy'!$A$5:$A$24,0))</f>
        <v>Strategic, business model and ESG</v>
      </c>
      <c r="F381" s="7" t="str">
        <f aca="false">IF(D381="RC-04",IF(INDEX(Entities!$G$5:$G$34,MATCH(A381,Entities!$A$5:$A$34,0))="Y","Yes","N/A"),"Yes")</f>
        <v>Yes</v>
      </c>
      <c r="G381" s="24" t="n">
        <v>4</v>
      </c>
      <c r="H381" s="24" t="n">
        <v>2</v>
      </c>
      <c r="I381" s="24" t="n">
        <v>2</v>
      </c>
      <c r="J381" s="24" t="n">
        <v>1</v>
      </c>
      <c r="K381" s="24" t="n">
        <v>1</v>
      </c>
      <c r="L381" s="37" t="n">
        <f aca="false">IF(F381="N/A","",IF(COUNT(H381:K381)=0,"",IF(Config!$C$19="Highest dimension",MAX(H381:K381),ROUND(H381*Config!$C$20+I381*Config!$C$21+J381*Config!$C$22+K381*Config!$C$23,1))))</f>
        <v>2</v>
      </c>
      <c r="M381" s="38" t="n">
        <f aca="false">IF(OR(L381="",G381=""),"",G381*L381)</f>
        <v>8</v>
      </c>
      <c r="N381" s="31" t="n">
        <f aca="false">IF(M381="","",MATCH(M381,Config!$E$5:$E$9,1))</f>
        <v>2</v>
      </c>
      <c r="O381" s="7" t="str">
        <f aca="false">IF(F381="N/A","N/A",IF(N381="","Not assessed",INDEX(Config!$B$5:$B$9,N381)))</f>
        <v>Medium-Low</v>
      </c>
      <c r="P381" s="32" t="n">
        <v>0</v>
      </c>
      <c r="Q381" s="8"/>
      <c r="R381" s="33"/>
      <c r="S381" s="34" t="n">
        <f aca="false">IF(N381="","",IF(AND(R381="Y",P381&lt;&gt;0),MAX(1,MIN(5,N381+MAX(-Config!$C$27,MIN(Config!$C$27,P381)))),N381))</f>
        <v>2</v>
      </c>
      <c r="T381" s="35" t="str">
        <f aca="false">IF(F381="N/A","N/A",IF(S381="","Not assessed",INDEX(Config!$B$5:$B$9,S381)))</f>
        <v>Medium-Low</v>
      </c>
      <c r="U381" s="7" t="str">
        <f aca="false">IF(P381=0,"None",IF(R381="Y","Applied","Pending HO approval"))</f>
        <v>None</v>
      </c>
      <c r="V381" s="8"/>
    </row>
    <row r="382" customFormat="false" ht="15" hidden="false" customHeight="false" outlineLevel="0" collapsed="false">
      <c r="A382" s="26" t="str">
        <f aca="false">Entities!$A$34</f>
        <v>US</v>
      </c>
      <c r="B382" s="12" t="str">
        <f aca="false">INDEX(Entities!$B$5:$B$34,MATCH(A382,Entities!$A$5:$A$34,0))</f>
        <v>Arab Bank – United States (if retained)</v>
      </c>
      <c r="C382" s="12" t="str">
        <f aca="false">INDEX(Entities!$D$5:$D$34,MATCH(A382,Entities!$A$5:$A$34,0))</f>
        <v>Americas</v>
      </c>
      <c r="D382" s="12" t="s">
        <v>257</v>
      </c>
      <c r="E382" s="12" t="str">
        <f aca="false">INDEX('Risk Taxonomy'!$B$5:$B$24,MATCH(D382,'Risk Taxonomy'!$A$5:$A$24,0))</f>
        <v>Regulatory compliance</v>
      </c>
      <c r="F382" s="7" t="str">
        <f aca="false">IF(D382="RC-04",IF(INDEX(Entities!$G$5:$G$34,MATCH(A382,Entities!$A$5:$A$34,0))="Y","Yes","N/A"),"Yes")</f>
        <v>Yes</v>
      </c>
      <c r="G382" s="24" t="n">
        <v>2</v>
      </c>
      <c r="H382" s="24" t="n">
        <v>2</v>
      </c>
      <c r="I382" s="24" t="n">
        <v>1</v>
      </c>
      <c r="J382" s="24" t="n">
        <v>2</v>
      </c>
      <c r="K382" s="24" t="n">
        <v>1</v>
      </c>
      <c r="L382" s="37" t="n">
        <f aca="false">IF(F382="N/A","",IF(COUNT(H382:K382)=0,"",IF(Config!$C$19="Highest dimension",MAX(H382:K382),ROUND(H382*Config!$C$20+I382*Config!$C$21+J382*Config!$C$22+K382*Config!$C$23,1))))</f>
        <v>2</v>
      </c>
      <c r="M382" s="38" t="n">
        <f aca="false">IF(OR(L382="",G382=""),"",G382*L382)</f>
        <v>4</v>
      </c>
      <c r="N382" s="31" t="n">
        <f aca="false">IF(M382="","",MATCH(M382,Config!$E$5:$E$9,1))</f>
        <v>1</v>
      </c>
      <c r="O382" s="7" t="str">
        <f aca="false">IF(F382="N/A","N/A",IF(N382="","Not assessed",INDEX(Config!$B$5:$B$9,N382)))</f>
        <v>Low</v>
      </c>
      <c r="P382" s="32" t="n">
        <v>0</v>
      </c>
      <c r="Q382" s="8"/>
      <c r="R382" s="33"/>
      <c r="S382" s="34" t="n">
        <f aca="false">IF(N382="","",IF(AND(R382="Y",P382&lt;&gt;0),MAX(1,MIN(5,N382+MAX(-Config!$C$27,MIN(Config!$C$27,P382)))),N382))</f>
        <v>1</v>
      </c>
      <c r="T382" s="35" t="str">
        <f aca="false">IF(F382="N/A","N/A",IF(S382="","Not assessed",INDEX(Config!$B$5:$B$9,S382)))</f>
        <v>Low</v>
      </c>
      <c r="U382" s="7" t="str">
        <f aca="false">IF(P382=0,"None",IF(R382="Y","Applied","Pending HO approval"))</f>
        <v>None</v>
      </c>
      <c r="V382" s="8"/>
    </row>
    <row r="383" customFormat="false" ht="15" hidden="false" customHeight="false" outlineLevel="0" collapsed="false">
      <c r="A383" s="26" t="str">
        <f aca="false">Entities!$A$34</f>
        <v>US</v>
      </c>
      <c r="B383" s="12" t="str">
        <f aca="false">INDEX(Entities!$B$5:$B$34,MATCH(A383,Entities!$A$5:$A$34,0))</f>
        <v>Arab Bank – United States (if retained)</v>
      </c>
      <c r="C383" s="12" t="str">
        <f aca="false">INDEX(Entities!$D$5:$D$34,MATCH(A383,Entities!$A$5:$A$34,0))</f>
        <v>Americas</v>
      </c>
      <c r="D383" s="12" t="s">
        <v>261</v>
      </c>
      <c r="E383" s="12" t="str">
        <f aca="false">INDEX('Risk Taxonomy'!$B$5:$B$24,MATCH(D383,'Risk Taxonomy'!$A$5:$A$24,0))</f>
        <v>Conduct and consumer protection</v>
      </c>
      <c r="F383" s="7" t="str">
        <f aca="false">IF(D383="RC-04",IF(INDEX(Entities!$G$5:$G$34,MATCH(A383,Entities!$A$5:$A$34,0))="Y","Yes","N/A"),"Yes")</f>
        <v>Yes</v>
      </c>
      <c r="G383" s="24" t="n">
        <v>1</v>
      </c>
      <c r="H383" s="24" t="n">
        <v>2</v>
      </c>
      <c r="I383" s="24" t="n">
        <v>3</v>
      </c>
      <c r="J383" s="24" t="n">
        <v>2</v>
      </c>
      <c r="K383" s="24" t="n">
        <v>2</v>
      </c>
      <c r="L383" s="37" t="n">
        <f aca="false">IF(F383="N/A","",IF(COUNT(H383:K383)=0,"",IF(Config!$C$19="Highest dimension",MAX(H383:K383),ROUND(H383*Config!$C$20+I383*Config!$C$21+J383*Config!$C$22+K383*Config!$C$23,1))))</f>
        <v>3</v>
      </c>
      <c r="M383" s="38" t="n">
        <f aca="false">IF(OR(L383="",G383=""),"",G383*L383)</f>
        <v>3</v>
      </c>
      <c r="N383" s="31" t="n">
        <f aca="false">IF(M383="","",MATCH(M383,Config!$E$5:$E$9,1))</f>
        <v>1</v>
      </c>
      <c r="O383" s="7" t="str">
        <f aca="false">IF(F383="N/A","N/A",IF(N383="","Not assessed",INDEX(Config!$B$5:$B$9,N383)))</f>
        <v>Low</v>
      </c>
      <c r="P383" s="32" t="n">
        <v>0</v>
      </c>
      <c r="Q383" s="8"/>
      <c r="R383" s="33"/>
      <c r="S383" s="34" t="n">
        <f aca="false">IF(N383="","",IF(AND(R383="Y",P383&lt;&gt;0),MAX(1,MIN(5,N383+MAX(-Config!$C$27,MIN(Config!$C$27,P383)))),N383))</f>
        <v>1</v>
      </c>
      <c r="T383" s="35" t="str">
        <f aca="false">IF(F383="N/A","N/A",IF(S383="","Not assessed",INDEX(Config!$B$5:$B$9,S383)))</f>
        <v>Low</v>
      </c>
      <c r="U383" s="7" t="str">
        <f aca="false">IF(P383=0,"None",IF(R383="Y","Applied","Pending HO approval"))</f>
        <v>None</v>
      </c>
      <c r="V383" s="8"/>
    </row>
    <row r="384" customFormat="false" ht="15" hidden="false" customHeight="false" outlineLevel="0" collapsed="false">
      <c r="A384" s="26" t="str">
        <f aca="false">Entities!$A$34</f>
        <v>US</v>
      </c>
      <c r="B384" s="12" t="str">
        <f aca="false">INDEX(Entities!$B$5:$B$34,MATCH(A384,Entities!$A$5:$A$34,0))</f>
        <v>Arab Bank – United States (if retained)</v>
      </c>
      <c r="C384" s="12" t="str">
        <f aca="false">INDEX(Entities!$D$5:$D$34,MATCH(A384,Entities!$A$5:$A$34,0))</f>
        <v>Americas</v>
      </c>
      <c r="D384" s="12" t="s">
        <v>263</v>
      </c>
      <c r="E384" s="12" t="str">
        <f aca="false">INDEX('Risk Taxonomy'!$B$5:$B$24,MATCH(D384,'Risk Taxonomy'!$A$5:$A$24,0))</f>
        <v>Data protection and privacy</v>
      </c>
      <c r="F384" s="7" t="str">
        <f aca="false">IF(D384="RC-04",IF(INDEX(Entities!$G$5:$G$34,MATCH(A384,Entities!$A$5:$A$34,0))="Y","Yes","N/A"),"Yes")</f>
        <v>Yes</v>
      </c>
      <c r="G384" s="24" t="n">
        <v>2</v>
      </c>
      <c r="H384" s="24" t="n">
        <v>1</v>
      </c>
      <c r="I384" s="24" t="n">
        <v>2</v>
      </c>
      <c r="J384" s="24" t="n">
        <v>1</v>
      </c>
      <c r="K384" s="24" t="n">
        <v>1</v>
      </c>
      <c r="L384" s="37" t="n">
        <f aca="false">IF(F384="N/A","",IF(COUNT(H384:K384)=0,"",IF(Config!$C$19="Highest dimension",MAX(H384:K384),ROUND(H384*Config!$C$20+I384*Config!$C$21+J384*Config!$C$22+K384*Config!$C$23,1))))</f>
        <v>2</v>
      </c>
      <c r="M384" s="38" t="n">
        <f aca="false">IF(OR(L384="",G384=""),"",G384*L384)</f>
        <v>4</v>
      </c>
      <c r="N384" s="31" t="n">
        <f aca="false">IF(M384="","",MATCH(M384,Config!$E$5:$E$9,1))</f>
        <v>1</v>
      </c>
      <c r="O384" s="7" t="str">
        <f aca="false">IF(F384="N/A","N/A",IF(N384="","Not assessed",INDEX(Config!$B$5:$B$9,N384)))</f>
        <v>Low</v>
      </c>
      <c r="P384" s="32" t="n">
        <v>0</v>
      </c>
      <c r="Q384" s="8"/>
      <c r="R384" s="33"/>
      <c r="S384" s="34" t="n">
        <f aca="false">IF(N384="","",IF(AND(R384="Y",P384&lt;&gt;0),MAX(1,MIN(5,N384+MAX(-Config!$C$27,MIN(Config!$C$27,P384)))),N384))</f>
        <v>1</v>
      </c>
      <c r="T384" s="35" t="str">
        <f aca="false">IF(F384="N/A","N/A",IF(S384="","Not assessed",INDEX(Config!$B$5:$B$9,S384)))</f>
        <v>Low</v>
      </c>
      <c r="U384" s="7" t="str">
        <f aca="false">IF(P384=0,"None",IF(R384="Y","Applied","Pending HO approval"))</f>
        <v>None</v>
      </c>
      <c r="V384" s="8"/>
    </row>
    <row r="385" customFormat="false" ht="15" hidden="false" customHeight="false" outlineLevel="0" collapsed="false">
      <c r="A385" s="26" t="str">
        <f aca="false">Entities!$A$34</f>
        <v>US</v>
      </c>
      <c r="B385" s="12" t="str">
        <f aca="false">INDEX(Entities!$B$5:$B$34,MATCH(A385,Entities!$A$5:$A$34,0))</f>
        <v>Arab Bank – United States (if retained)</v>
      </c>
      <c r="C385" s="12" t="str">
        <f aca="false">INDEX(Entities!$D$5:$D$34,MATCH(A385,Entities!$A$5:$A$34,0))</f>
        <v>Americas</v>
      </c>
      <c r="D385" s="12" t="s">
        <v>266</v>
      </c>
      <c r="E385" s="12" t="str">
        <f aca="false">INDEX('Risk Taxonomy'!$B$5:$B$24,MATCH(D385,'Risk Taxonomy'!$A$5:$A$24,0))</f>
        <v>Shariah non-compliance</v>
      </c>
      <c r="F385" s="7" t="str">
        <f aca="false">IF(D385="RC-04",IF(INDEX(Entities!$G$5:$G$34,MATCH(A385,Entities!$A$5:$A$34,0))="Y","Yes","N/A"),"Yes")</f>
        <v>N/A</v>
      </c>
      <c r="G385" s="24"/>
      <c r="H385" s="24"/>
      <c r="I385" s="24"/>
      <c r="J385" s="24"/>
      <c r="K385" s="24"/>
      <c r="L385" s="37" t="str">
        <f aca="false">IF(F385="N/A","",IF(COUNT(H385:K385)=0,"",IF(Config!$C$19="Highest dimension",MAX(H385:K385),ROUND(H385*Config!$C$20+I385*Config!$C$21+J385*Config!$C$22+K385*Config!$C$23,1))))</f>
        <v/>
      </c>
      <c r="M385" s="38" t="str">
        <f aca="false">IF(OR(L385="",G385=""),"",G385*L385)</f>
        <v/>
      </c>
      <c r="N385" s="31" t="str">
        <f aca="false">IF(M385="","",MATCH(M385,Config!$E$5:$E$9,1))</f>
        <v/>
      </c>
      <c r="O385" s="7" t="str">
        <f aca="false">IF(F385="N/A","N/A",IF(N385="","Not assessed",INDEX(Config!$B$5:$B$9,N385)))</f>
        <v>N/A</v>
      </c>
      <c r="P385" s="32" t="n">
        <v>0</v>
      </c>
      <c r="Q385" s="8"/>
      <c r="R385" s="33"/>
      <c r="S385" s="34" t="str">
        <f aca="false">IF(N385="","",IF(AND(R385="Y",P385&lt;&gt;0),MAX(1,MIN(5,N385+MAX(-Config!$C$27,MIN(Config!$C$27,P385)))),N385))</f>
        <v/>
      </c>
      <c r="T385" s="35" t="str">
        <f aca="false">IF(F385="N/A","N/A",IF(S385="","Not assessed",INDEX(Config!$B$5:$B$9,S385)))</f>
        <v>N/A</v>
      </c>
      <c r="U385" s="7" t="str">
        <f aca="false">IF(P385=0,"None",IF(R385="Y","Applied","Pending HO approval"))</f>
        <v>None</v>
      </c>
      <c r="V385" s="8"/>
    </row>
    <row r="386" customFormat="false" ht="15" hidden="false" customHeight="false" outlineLevel="0" collapsed="false">
      <c r="A386" s="26" t="str">
        <f aca="false">Entities!$A$34</f>
        <v>US</v>
      </c>
      <c r="B386" s="12" t="str">
        <f aca="false">INDEX(Entities!$B$5:$B$34,MATCH(A386,Entities!$A$5:$A$34,0))</f>
        <v>Arab Bank – United States (if retained)</v>
      </c>
      <c r="C386" s="12" t="str">
        <f aca="false">INDEX(Entities!$D$5:$D$34,MATCH(A386,Entities!$A$5:$A$34,0))</f>
        <v>Americas</v>
      </c>
      <c r="D386" s="12" t="s">
        <v>270</v>
      </c>
      <c r="E386" s="12" t="str">
        <f aca="false">INDEX('Risk Taxonomy'!$B$5:$B$24,MATCH(D386,'Risk Taxonomy'!$A$5:$A$24,0))</f>
        <v>Credit risk</v>
      </c>
      <c r="F386" s="7" t="str">
        <f aca="false">IF(D386="RC-04",IF(INDEX(Entities!$G$5:$G$34,MATCH(A386,Entities!$A$5:$A$34,0))="Y","Yes","N/A"),"Yes")</f>
        <v>Yes</v>
      </c>
      <c r="G386" s="24" t="n">
        <v>2</v>
      </c>
      <c r="H386" s="24" t="n">
        <v>2</v>
      </c>
      <c r="I386" s="24" t="n">
        <v>1</v>
      </c>
      <c r="J386" s="24" t="n">
        <v>2</v>
      </c>
      <c r="K386" s="24" t="n">
        <v>2</v>
      </c>
      <c r="L386" s="37" t="n">
        <f aca="false">IF(F386="N/A","",IF(COUNT(H386:K386)=0,"",IF(Config!$C$19="Highest dimension",MAX(H386:K386),ROUND(H386*Config!$C$20+I386*Config!$C$21+J386*Config!$C$22+K386*Config!$C$23,1))))</f>
        <v>2</v>
      </c>
      <c r="M386" s="38" t="n">
        <f aca="false">IF(OR(L386="",G386=""),"",G386*L386)</f>
        <v>4</v>
      </c>
      <c r="N386" s="31" t="n">
        <f aca="false">IF(M386="","",MATCH(M386,Config!$E$5:$E$9,1))</f>
        <v>1</v>
      </c>
      <c r="O386" s="7" t="str">
        <f aca="false">IF(F386="N/A","N/A",IF(N386="","Not assessed",INDEX(Config!$B$5:$B$9,N386)))</f>
        <v>Low</v>
      </c>
      <c r="P386" s="32" t="n">
        <v>0</v>
      </c>
      <c r="Q386" s="8"/>
      <c r="R386" s="33"/>
      <c r="S386" s="34" t="n">
        <f aca="false">IF(N386="","",IF(AND(R386="Y",P386&lt;&gt;0),MAX(1,MIN(5,N386+MAX(-Config!$C$27,MIN(Config!$C$27,P386)))),N386))</f>
        <v>1</v>
      </c>
      <c r="T386" s="35" t="str">
        <f aca="false">IF(F386="N/A","N/A",IF(S386="","Not assessed",INDEX(Config!$B$5:$B$9,S386)))</f>
        <v>Low</v>
      </c>
      <c r="U386" s="7" t="str">
        <f aca="false">IF(P386=0,"None",IF(R386="Y","Applied","Pending HO approval"))</f>
        <v>None</v>
      </c>
      <c r="V386" s="8"/>
    </row>
    <row r="387" customFormat="false" ht="15" hidden="false" customHeight="false" outlineLevel="0" collapsed="false">
      <c r="A387" s="26" t="str">
        <f aca="false">Entities!$A$34</f>
        <v>US</v>
      </c>
      <c r="B387" s="12" t="str">
        <f aca="false">INDEX(Entities!$B$5:$B$34,MATCH(A387,Entities!$A$5:$A$34,0))</f>
        <v>Arab Bank – United States (if retained)</v>
      </c>
      <c r="C387" s="12" t="str">
        <f aca="false">INDEX(Entities!$D$5:$D$34,MATCH(A387,Entities!$A$5:$A$34,0))</f>
        <v>Americas</v>
      </c>
      <c r="D387" s="12" t="s">
        <v>275</v>
      </c>
      <c r="E387" s="12" t="str">
        <f aca="false">INDEX('Risk Taxonomy'!$B$5:$B$24,MATCH(D387,'Risk Taxonomy'!$A$5:$A$24,0))</f>
        <v>Market risk</v>
      </c>
      <c r="F387" s="7" t="str">
        <f aca="false">IF(D387="RC-04",IF(INDEX(Entities!$G$5:$G$34,MATCH(A387,Entities!$A$5:$A$34,0))="Y","Yes","N/A"),"Yes")</f>
        <v>Yes</v>
      </c>
      <c r="G387" s="24" t="n">
        <v>2</v>
      </c>
      <c r="H387" s="24" t="n">
        <v>2</v>
      </c>
      <c r="I387" s="24" t="n">
        <v>3</v>
      </c>
      <c r="J387" s="24" t="n">
        <v>1</v>
      </c>
      <c r="K387" s="24" t="n">
        <v>1</v>
      </c>
      <c r="L387" s="37" t="n">
        <f aca="false">IF(F387="N/A","",IF(COUNT(H387:K387)=0,"",IF(Config!$C$19="Highest dimension",MAX(H387:K387),ROUND(H387*Config!$C$20+I387*Config!$C$21+J387*Config!$C$22+K387*Config!$C$23,1))))</f>
        <v>3</v>
      </c>
      <c r="M387" s="38" t="n">
        <f aca="false">IF(OR(L387="",G387=""),"",G387*L387)</f>
        <v>6</v>
      </c>
      <c r="N387" s="31" t="n">
        <f aca="false">IF(M387="","",MATCH(M387,Config!$E$5:$E$9,1))</f>
        <v>2</v>
      </c>
      <c r="O387" s="7" t="str">
        <f aca="false">IF(F387="N/A","N/A",IF(N387="","Not assessed",INDEX(Config!$B$5:$B$9,N387)))</f>
        <v>Medium-Low</v>
      </c>
      <c r="P387" s="32" t="n">
        <v>0</v>
      </c>
      <c r="Q387" s="8"/>
      <c r="R387" s="33"/>
      <c r="S387" s="34" t="n">
        <f aca="false">IF(N387="","",IF(AND(R387="Y",P387&lt;&gt;0),MAX(1,MIN(5,N387+MAX(-Config!$C$27,MIN(Config!$C$27,P387)))),N387))</f>
        <v>2</v>
      </c>
      <c r="T387" s="35" t="str">
        <f aca="false">IF(F387="N/A","N/A",IF(S387="","Not assessed",INDEX(Config!$B$5:$B$9,S387)))</f>
        <v>Medium-Low</v>
      </c>
      <c r="U387" s="7" t="str">
        <f aca="false">IF(P387=0,"None",IF(R387="Y","Applied","Pending HO approval"))</f>
        <v>None</v>
      </c>
      <c r="V387" s="8"/>
    </row>
    <row r="388" customFormat="false" ht="15" hidden="false" customHeight="false" outlineLevel="0" collapsed="false">
      <c r="A388" s="26" t="str">
        <f aca="false">Entities!$A$34</f>
        <v>US</v>
      </c>
      <c r="B388" s="12" t="str">
        <f aca="false">INDEX(Entities!$B$5:$B$34,MATCH(A388,Entities!$A$5:$A$34,0))</f>
        <v>Arab Bank – United States (if retained)</v>
      </c>
      <c r="C388" s="12" t="str">
        <f aca="false">INDEX(Entities!$D$5:$D$34,MATCH(A388,Entities!$A$5:$A$34,0))</f>
        <v>Americas</v>
      </c>
      <c r="D388" s="12" t="s">
        <v>277</v>
      </c>
      <c r="E388" s="12" t="str">
        <f aca="false">INDEX('Risk Taxonomy'!$B$5:$B$24,MATCH(D388,'Risk Taxonomy'!$A$5:$A$24,0))</f>
        <v>Liquidity and funding risk</v>
      </c>
      <c r="F388" s="7" t="str">
        <f aca="false">IF(D388="RC-04",IF(INDEX(Entities!$G$5:$G$34,MATCH(A388,Entities!$A$5:$A$34,0))="Y","Yes","N/A"),"Yes")</f>
        <v>Yes</v>
      </c>
      <c r="G388" s="24" t="n">
        <v>1</v>
      </c>
      <c r="H388" s="24" t="n">
        <v>3</v>
      </c>
      <c r="I388" s="24" t="n">
        <v>2</v>
      </c>
      <c r="J388" s="24" t="n">
        <v>4</v>
      </c>
      <c r="K388" s="24" t="n">
        <v>2</v>
      </c>
      <c r="L388" s="37" t="n">
        <f aca="false">IF(F388="N/A","",IF(COUNT(H388:K388)=0,"",IF(Config!$C$19="Highest dimension",MAX(H388:K388),ROUND(H388*Config!$C$20+I388*Config!$C$21+J388*Config!$C$22+K388*Config!$C$23,1))))</f>
        <v>4</v>
      </c>
      <c r="M388" s="38" t="n">
        <f aca="false">IF(OR(L388="",G388=""),"",G388*L388)</f>
        <v>4</v>
      </c>
      <c r="N388" s="31" t="n">
        <f aca="false">IF(M388="","",MATCH(M388,Config!$E$5:$E$9,1))</f>
        <v>1</v>
      </c>
      <c r="O388" s="7" t="str">
        <f aca="false">IF(F388="N/A","N/A",IF(N388="","Not assessed",INDEX(Config!$B$5:$B$9,N388)))</f>
        <v>Low</v>
      </c>
      <c r="P388" s="32" t="n">
        <v>0</v>
      </c>
      <c r="Q388" s="8"/>
      <c r="R388" s="33"/>
      <c r="S388" s="34" t="n">
        <f aca="false">IF(N388="","",IF(AND(R388="Y",P388&lt;&gt;0),MAX(1,MIN(5,N388+MAX(-Config!$C$27,MIN(Config!$C$27,P388)))),N388))</f>
        <v>1</v>
      </c>
      <c r="T388" s="35" t="str">
        <f aca="false">IF(F388="N/A","N/A",IF(S388="","Not assessed",INDEX(Config!$B$5:$B$9,S388)))</f>
        <v>Low</v>
      </c>
      <c r="U388" s="7" t="str">
        <f aca="false">IF(P388=0,"None",IF(R388="Y","Applied","Pending HO approval"))</f>
        <v>None</v>
      </c>
      <c r="V388" s="8"/>
    </row>
    <row r="389" customFormat="false" ht="15" hidden="false" customHeight="false" outlineLevel="0" collapsed="false">
      <c r="A389" s="26" t="str">
        <f aca="false">Entities!$A$34</f>
        <v>US</v>
      </c>
      <c r="B389" s="12" t="str">
        <f aca="false">INDEX(Entities!$B$5:$B$34,MATCH(A389,Entities!$A$5:$A$34,0))</f>
        <v>Arab Bank – United States (if retained)</v>
      </c>
      <c r="C389" s="12" t="str">
        <f aca="false">INDEX(Entities!$D$5:$D$34,MATCH(A389,Entities!$A$5:$A$34,0))</f>
        <v>Americas</v>
      </c>
      <c r="D389" s="12" t="s">
        <v>280</v>
      </c>
      <c r="E389" s="12" t="str">
        <f aca="false">INDEX('Risk Taxonomy'!$B$5:$B$24,MATCH(D389,'Risk Taxonomy'!$A$5:$A$24,0))</f>
        <v>Operational risk</v>
      </c>
      <c r="F389" s="7" t="str">
        <f aca="false">IF(D389="RC-04",IF(INDEX(Entities!$G$5:$G$34,MATCH(A389,Entities!$A$5:$A$34,0))="Y","Yes","N/A"),"Yes")</f>
        <v>Yes</v>
      </c>
      <c r="G389" s="24" t="n">
        <v>2</v>
      </c>
      <c r="H389" s="24" t="n">
        <v>2</v>
      </c>
      <c r="I389" s="24" t="n">
        <v>2</v>
      </c>
      <c r="J389" s="24" t="n">
        <v>2</v>
      </c>
      <c r="K389" s="24" t="n">
        <v>1</v>
      </c>
      <c r="L389" s="37" t="n">
        <f aca="false">IF(F389="N/A","",IF(COUNT(H389:K389)=0,"",IF(Config!$C$19="Highest dimension",MAX(H389:K389),ROUND(H389*Config!$C$20+I389*Config!$C$21+J389*Config!$C$22+K389*Config!$C$23,1))))</f>
        <v>2</v>
      </c>
      <c r="M389" s="38" t="n">
        <f aca="false">IF(OR(L389="",G389=""),"",G389*L389)</f>
        <v>4</v>
      </c>
      <c r="N389" s="31" t="n">
        <f aca="false">IF(M389="","",MATCH(M389,Config!$E$5:$E$9,1))</f>
        <v>1</v>
      </c>
      <c r="O389" s="7" t="str">
        <f aca="false">IF(F389="N/A","N/A",IF(N389="","Not assessed",INDEX(Config!$B$5:$B$9,N389)))</f>
        <v>Low</v>
      </c>
      <c r="P389" s="32" t="n">
        <v>0</v>
      </c>
      <c r="Q389" s="8"/>
      <c r="R389" s="33"/>
      <c r="S389" s="34" t="n">
        <f aca="false">IF(N389="","",IF(AND(R389="Y",P389&lt;&gt;0),MAX(1,MIN(5,N389+MAX(-Config!$C$27,MIN(Config!$C$27,P389)))),N389))</f>
        <v>1</v>
      </c>
      <c r="T389" s="35" t="str">
        <f aca="false">IF(F389="N/A","N/A",IF(S389="","Not assessed",INDEX(Config!$B$5:$B$9,S389)))</f>
        <v>Low</v>
      </c>
      <c r="U389" s="7" t="str">
        <f aca="false">IF(P389=0,"None",IF(R389="Y","Applied","Pending HO approval"))</f>
        <v>None</v>
      </c>
      <c r="V389" s="8"/>
    </row>
    <row r="390" customFormat="false" ht="15" hidden="false" customHeight="false" outlineLevel="0" collapsed="false">
      <c r="A390" s="26" t="str">
        <f aca="false">Entities!$A$34</f>
        <v>US</v>
      </c>
      <c r="B390" s="12" t="str">
        <f aca="false">INDEX(Entities!$B$5:$B$34,MATCH(A390,Entities!$A$5:$A$34,0))</f>
        <v>Arab Bank – United States (if retained)</v>
      </c>
      <c r="C390" s="12" t="str">
        <f aca="false">INDEX(Entities!$D$5:$D$34,MATCH(A390,Entities!$A$5:$A$34,0))</f>
        <v>Americas</v>
      </c>
      <c r="D390" s="12" t="s">
        <v>283</v>
      </c>
      <c r="E390" s="12" t="str">
        <f aca="false">INDEX('Risk Taxonomy'!$B$5:$B$24,MATCH(D390,'Risk Taxonomy'!$A$5:$A$24,0))</f>
        <v>Cyber, information security and technology</v>
      </c>
      <c r="F390" s="7" t="str">
        <f aca="false">IF(D390="RC-04",IF(INDEX(Entities!$G$5:$G$34,MATCH(A390,Entities!$A$5:$A$34,0))="Y","Yes","N/A"),"Yes")</f>
        <v>Yes</v>
      </c>
      <c r="G390" s="24" t="n">
        <v>2</v>
      </c>
      <c r="H390" s="24" t="n">
        <v>2</v>
      </c>
      <c r="I390" s="24" t="n">
        <v>1</v>
      </c>
      <c r="J390" s="24" t="n">
        <v>2</v>
      </c>
      <c r="K390" s="24" t="n">
        <v>2</v>
      </c>
      <c r="L390" s="37" t="n">
        <f aca="false">IF(F390="N/A","",IF(COUNT(H390:K390)=0,"",IF(Config!$C$19="Highest dimension",MAX(H390:K390),ROUND(H390*Config!$C$20+I390*Config!$C$21+J390*Config!$C$22+K390*Config!$C$23,1))))</f>
        <v>2</v>
      </c>
      <c r="M390" s="38" t="n">
        <f aca="false">IF(OR(L390="",G390=""),"",G390*L390)</f>
        <v>4</v>
      </c>
      <c r="N390" s="31" t="n">
        <f aca="false">IF(M390="","",MATCH(M390,Config!$E$5:$E$9,1))</f>
        <v>1</v>
      </c>
      <c r="O390" s="7" t="str">
        <f aca="false">IF(F390="N/A","N/A",IF(N390="","Not assessed",INDEX(Config!$B$5:$B$9,N390)))</f>
        <v>Low</v>
      </c>
      <c r="P390" s="32" t="n">
        <v>0</v>
      </c>
      <c r="Q390" s="8"/>
      <c r="R390" s="33"/>
      <c r="S390" s="34" t="n">
        <f aca="false">IF(N390="","",IF(AND(R390="Y",P390&lt;&gt;0),MAX(1,MIN(5,N390+MAX(-Config!$C$27,MIN(Config!$C$27,P390)))),N390))</f>
        <v>1</v>
      </c>
      <c r="T390" s="35" t="str">
        <f aca="false">IF(F390="N/A","N/A",IF(S390="","Not assessed",INDEX(Config!$B$5:$B$9,S390)))</f>
        <v>Low</v>
      </c>
      <c r="U390" s="7" t="str">
        <f aca="false">IF(P390=0,"None",IF(R390="Y","Applied","Pending HO approval"))</f>
        <v>None</v>
      </c>
      <c r="V390" s="8"/>
    </row>
    <row r="391" customFormat="false" ht="15" hidden="false" customHeight="false" outlineLevel="0" collapsed="false">
      <c r="A391" s="26" t="str">
        <f aca="false">Entities!$A$34</f>
        <v>US</v>
      </c>
      <c r="B391" s="12" t="str">
        <f aca="false">INDEX(Entities!$B$5:$B$34,MATCH(A391,Entities!$A$5:$A$34,0))</f>
        <v>Arab Bank – United States (if retained)</v>
      </c>
      <c r="C391" s="12" t="str">
        <f aca="false">INDEX(Entities!$D$5:$D$34,MATCH(A391,Entities!$A$5:$A$34,0))</f>
        <v>Americas</v>
      </c>
      <c r="D391" s="12" t="s">
        <v>286</v>
      </c>
      <c r="E391" s="12" t="str">
        <f aca="false">INDEX('Risk Taxonomy'!$B$5:$B$24,MATCH(D391,'Risk Taxonomy'!$A$5:$A$24,0))</f>
        <v>Third-party and outsourcing</v>
      </c>
      <c r="F391" s="7" t="str">
        <f aca="false">IF(D391="RC-04",IF(INDEX(Entities!$G$5:$G$34,MATCH(A391,Entities!$A$5:$A$34,0))="Y","Yes","N/A"),"Yes")</f>
        <v>Yes</v>
      </c>
      <c r="G391" s="24" t="n">
        <v>3</v>
      </c>
      <c r="H391" s="24" t="n">
        <v>2</v>
      </c>
      <c r="I391" s="24" t="n">
        <v>3</v>
      </c>
      <c r="J391" s="24" t="n">
        <v>2</v>
      </c>
      <c r="K391" s="24" t="n">
        <v>4</v>
      </c>
      <c r="L391" s="37" t="n">
        <f aca="false">IF(F391="N/A","",IF(COUNT(H391:K391)=0,"",IF(Config!$C$19="Highest dimension",MAX(H391:K391),ROUND(H391*Config!$C$20+I391*Config!$C$21+J391*Config!$C$22+K391*Config!$C$23,1))))</f>
        <v>4</v>
      </c>
      <c r="M391" s="38" t="n">
        <f aca="false">IF(OR(L391="",G391=""),"",G391*L391)</f>
        <v>12</v>
      </c>
      <c r="N391" s="31" t="n">
        <f aca="false">IF(M391="","",MATCH(M391,Config!$E$5:$E$9,1))</f>
        <v>3</v>
      </c>
      <c r="O391" s="7" t="str">
        <f aca="false">IF(F391="N/A","N/A",IF(N391="","Not assessed",INDEX(Config!$B$5:$B$9,N391)))</f>
        <v>Medium</v>
      </c>
      <c r="P391" s="32" t="n">
        <v>0</v>
      </c>
      <c r="Q391" s="8"/>
      <c r="R391" s="33"/>
      <c r="S391" s="34" t="n">
        <f aca="false">IF(N391="","",IF(AND(R391="Y",P391&lt;&gt;0),MAX(1,MIN(5,N391+MAX(-Config!$C$27,MIN(Config!$C$27,P391)))),N391))</f>
        <v>3</v>
      </c>
      <c r="T391" s="35" t="str">
        <f aca="false">IF(F391="N/A","N/A",IF(S391="","Not assessed",INDEX(Config!$B$5:$B$9,S391)))</f>
        <v>Medium</v>
      </c>
      <c r="U391" s="7" t="str">
        <f aca="false">IF(P391=0,"None",IF(R391="Y","Applied","Pending HO approval"))</f>
        <v>None</v>
      </c>
      <c r="V391" s="8"/>
    </row>
    <row r="392" customFormat="false" ht="15" hidden="false" customHeight="false" outlineLevel="0" collapsed="false">
      <c r="A392" s="26" t="str">
        <f aca="false">Entities!$A$34</f>
        <v>US</v>
      </c>
      <c r="B392" s="12" t="str">
        <f aca="false">INDEX(Entities!$B$5:$B$34,MATCH(A392,Entities!$A$5:$A$34,0))</f>
        <v>Arab Bank – United States (if retained)</v>
      </c>
      <c r="C392" s="12" t="str">
        <f aca="false">INDEX(Entities!$D$5:$D$34,MATCH(A392,Entities!$A$5:$A$34,0))</f>
        <v>Americas</v>
      </c>
      <c r="D392" s="12" t="s">
        <v>289</v>
      </c>
      <c r="E392" s="12" t="str">
        <f aca="false">INDEX('Risk Taxonomy'!$B$5:$B$24,MATCH(D392,'Risk Taxonomy'!$A$5:$A$24,0))</f>
        <v>Legal and litigation</v>
      </c>
      <c r="F392" s="7" t="str">
        <f aca="false">IF(D392="RC-04",IF(INDEX(Entities!$G$5:$G$34,MATCH(A392,Entities!$A$5:$A$34,0))="Y","Yes","N/A"),"Yes")</f>
        <v>Yes</v>
      </c>
      <c r="G392" s="24" t="n">
        <v>2</v>
      </c>
      <c r="H392" s="24" t="n">
        <v>2</v>
      </c>
      <c r="I392" s="24" t="n">
        <v>2</v>
      </c>
      <c r="J392" s="24" t="n">
        <v>3</v>
      </c>
      <c r="K392" s="24" t="n">
        <v>2</v>
      </c>
      <c r="L392" s="37" t="n">
        <f aca="false">IF(F392="N/A","",IF(COUNT(H392:K392)=0,"",IF(Config!$C$19="Highest dimension",MAX(H392:K392),ROUND(H392*Config!$C$20+I392*Config!$C$21+J392*Config!$C$22+K392*Config!$C$23,1))))</f>
        <v>3</v>
      </c>
      <c r="M392" s="38" t="n">
        <f aca="false">IF(OR(L392="",G392=""),"",G392*L392)</f>
        <v>6</v>
      </c>
      <c r="N392" s="31" t="n">
        <f aca="false">IF(M392="","",MATCH(M392,Config!$E$5:$E$9,1))</f>
        <v>2</v>
      </c>
      <c r="O392" s="7" t="str">
        <f aca="false">IF(F392="N/A","N/A",IF(N392="","Not assessed",INDEX(Config!$B$5:$B$9,N392)))</f>
        <v>Medium-Low</v>
      </c>
      <c r="P392" s="32" t="n">
        <v>0</v>
      </c>
      <c r="Q392" s="8"/>
      <c r="R392" s="33"/>
      <c r="S392" s="34" t="n">
        <f aca="false">IF(N392="","",IF(AND(R392="Y",P392&lt;&gt;0),MAX(1,MIN(5,N392+MAX(-Config!$C$27,MIN(Config!$C$27,P392)))),N392))</f>
        <v>2</v>
      </c>
      <c r="T392" s="35" t="str">
        <f aca="false">IF(F392="N/A","N/A",IF(S392="","Not assessed",INDEX(Config!$B$5:$B$9,S392)))</f>
        <v>Medium-Low</v>
      </c>
      <c r="U392" s="7" t="str">
        <f aca="false">IF(P392=0,"None",IF(R392="Y","Applied","Pending HO approval"))</f>
        <v>None</v>
      </c>
      <c r="V392" s="8"/>
    </row>
    <row r="393" customFormat="false" ht="15" hidden="false" customHeight="false" outlineLevel="0" collapsed="false">
      <c r="A393" s="26" t="str">
        <f aca="false">Entities!$A$34</f>
        <v>US</v>
      </c>
      <c r="B393" s="12" t="str">
        <f aca="false">INDEX(Entities!$B$5:$B$34,MATCH(A393,Entities!$A$5:$A$34,0))</f>
        <v>Arab Bank – United States (if retained)</v>
      </c>
      <c r="C393" s="12" t="str">
        <f aca="false">INDEX(Entities!$D$5:$D$34,MATCH(A393,Entities!$A$5:$A$34,0))</f>
        <v>Americas</v>
      </c>
      <c r="D393" s="12" t="s">
        <v>292</v>
      </c>
      <c r="E393" s="12" t="str">
        <f aca="false">INDEX('Risk Taxonomy'!$B$5:$B$24,MATCH(D393,'Risk Taxonomy'!$A$5:$A$24,0))</f>
        <v>Reputational</v>
      </c>
      <c r="F393" s="7" t="str">
        <f aca="false">IF(D393="RC-04",IF(INDEX(Entities!$G$5:$G$34,MATCH(A393,Entities!$A$5:$A$34,0))="Y","Yes","N/A"),"Yes")</f>
        <v>Yes</v>
      </c>
      <c r="G393" s="24" t="n">
        <v>2</v>
      </c>
      <c r="H393" s="24" t="n">
        <v>1</v>
      </c>
      <c r="I393" s="24" t="n">
        <v>1</v>
      </c>
      <c r="J393" s="24" t="n">
        <v>3</v>
      </c>
      <c r="K393" s="24" t="n">
        <v>1</v>
      </c>
      <c r="L393" s="37" t="n">
        <f aca="false">IF(F393="N/A","",IF(COUNT(H393:K393)=0,"",IF(Config!$C$19="Highest dimension",MAX(H393:K393),ROUND(H393*Config!$C$20+I393*Config!$C$21+J393*Config!$C$22+K393*Config!$C$23,1))))</f>
        <v>3</v>
      </c>
      <c r="M393" s="38" t="n">
        <f aca="false">IF(OR(L393="",G393=""),"",G393*L393)</f>
        <v>6</v>
      </c>
      <c r="N393" s="31" t="n">
        <f aca="false">IF(M393="","",MATCH(M393,Config!$E$5:$E$9,1))</f>
        <v>2</v>
      </c>
      <c r="O393" s="7" t="str">
        <f aca="false">IF(F393="N/A","N/A",IF(N393="","Not assessed",INDEX(Config!$B$5:$B$9,N393)))</f>
        <v>Medium-Low</v>
      </c>
      <c r="P393" s="32" t="n">
        <v>0</v>
      </c>
      <c r="Q393" s="8"/>
      <c r="R393" s="33"/>
      <c r="S393" s="34" t="n">
        <f aca="false">IF(N393="","",IF(AND(R393="Y",P393&lt;&gt;0),MAX(1,MIN(5,N393+MAX(-Config!$C$27,MIN(Config!$C$27,P393)))),N393))</f>
        <v>2</v>
      </c>
      <c r="T393" s="35" t="str">
        <f aca="false">IF(F393="N/A","N/A",IF(S393="","Not assessed",INDEX(Config!$B$5:$B$9,S393)))</f>
        <v>Medium-Low</v>
      </c>
      <c r="U393" s="7" t="str">
        <f aca="false">IF(P393=0,"None",IF(R393="Y","Applied","Pending HO approval"))</f>
        <v>None</v>
      </c>
      <c r="V393" s="8"/>
    </row>
    <row r="394" customFormat="false" ht="15" hidden="false" customHeight="false" outlineLevel="0" collapsed="false">
      <c r="A394" s="26" t="str">
        <f aca="false">Entities!$A$34</f>
        <v>US</v>
      </c>
      <c r="B394" s="12" t="str">
        <f aca="false">INDEX(Entities!$B$5:$B$34,MATCH(A394,Entities!$A$5:$A$34,0))</f>
        <v>Arab Bank – United States (if retained)</v>
      </c>
      <c r="C394" s="12" t="str">
        <f aca="false">INDEX(Entities!$D$5:$D$34,MATCH(A394,Entities!$A$5:$A$34,0))</f>
        <v>Americas</v>
      </c>
      <c r="D394" s="12" t="s">
        <v>295</v>
      </c>
      <c r="E394" s="12" t="str">
        <f aca="false">INDEX('Risk Taxonomy'!$B$5:$B$24,MATCH(D394,'Risk Taxonomy'!$A$5:$A$24,0))</f>
        <v>Strategic, business model and ESG</v>
      </c>
      <c r="F394" s="7" t="str">
        <f aca="false">IF(D394="RC-04",IF(INDEX(Entities!$G$5:$G$34,MATCH(A394,Entities!$A$5:$A$34,0))="Y","Yes","N/A"),"Yes")</f>
        <v>Yes</v>
      </c>
      <c r="G394" s="24" t="n">
        <v>1</v>
      </c>
      <c r="H394" s="24" t="n">
        <v>2</v>
      </c>
      <c r="I394" s="24" t="n">
        <v>1</v>
      </c>
      <c r="J394" s="24" t="n">
        <v>3</v>
      </c>
      <c r="K394" s="24" t="n">
        <v>2</v>
      </c>
      <c r="L394" s="37" t="n">
        <f aca="false">IF(F394="N/A","",IF(COUNT(H394:K394)=0,"",IF(Config!$C$19="Highest dimension",MAX(H394:K394),ROUND(H394*Config!$C$20+I394*Config!$C$21+J394*Config!$C$22+K394*Config!$C$23,1))))</f>
        <v>3</v>
      </c>
      <c r="M394" s="38" t="n">
        <f aca="false">IF(OR(L394="",G394=""),"",G394*L394)</f>
        <v>3</v>
      </c>
      <c r="N394" s="31" t="n">
        <f aca="false">IF(M394="","",MATCH(M394,Config!$E$5:$E$9,1))</f>
        <v>1</v>
      </c>
      <c r="O394" s="7" t="str">
        <f aca="false">IF(F394="N/A","N/A",IF(N394="","Not assessed",INDEX(Config!$B$5:$B$9,N394)))</f>
        <v>Low</v>
      </c>
      <c r="P394" s="32" t="n">
        <v>0</v>
      </c>
      <c r="Q394" s="8"/>
      <c r="R394" s="33"/>
      <c r="S394" s="34" t="n">
        <f aca="false">IF(N394="","",IF(AND(R394="Y",P394&lt;&gt;0),MAX(1,MIN(5,N394+MAX(-Config!$C$27,MIN(Config!$C$27,P394)))),N394))</f>
        <v>1</v>
      </c>
      <c r="T394" s="35" t="str">
        <f aca="false">IF(F394="N/A","N/A",IF(S394="","Not assessed",INDEX(Config!$B$5:$B$9,S394)))</f>
        <v>Low</v>
      </c>
      <c r="U394" s="7" t="str">
        <f aca="false">IF(P394=0,"None",IF(R394="Y","Applied","Pending HO approval"))</f>
        <v>None</v>
      </c>
      <c r="V394" s="8"/>
    </row>
  </sheetData>
  <autoFilter ref="A4:V394"/>
  <conditionalFormatting sqref="N5:N394">
    <cfRule type="expression" priority="2" aboveAverage="0" equalAverage="0" bottom="0" percent="0" rank="0" text="" dxfId="0">
      <formula>N5=1</formula>
    </cfRule>
    <cfRule type="expression" priority="3" aboveAverage="0" equalAverage="0" bottom="0" percent="0" rank="0" text="" dxfId="1">
      <formula>N5=2</formula>
    </cfRule>
    <cfRule type="expression" priority="4" aboveAverage="0" equalAverage="0" bottom="0" percent="0" rank="0" text="" dxfId="2">
      <formula>N5=3</formula>
    </cfRule>
    <cfRule type="expression" priority="5" aboveAverage="0" equalAverage="0" bottom="0" percent="0" rank="0" text="" dxfId="3">
      <formula>N5=4</formula>
    </cfRule>
    <cfRule type="expression" priority="6" aboveAverage="0" equalAverage="0" bottom="0" percent="0" rank="0" text="" dxfId="4">
      <formula>N5=5</formula>
    </cfRule>
  </conditionalFormatting>
  <conditionalFormatting sqref="S5:S394">
    <cfRule type="expression" priority="7" aboveAverage="0" equalAverage="0" bottom="0" percent="0" rank="0" text="" dxfId="0">
      <formula>S5=1</formula>
    </cfRule>
    <cfRule type="expression" priority="8" aboveAverage="0" equalAverage="0" bottom="0" percent="0" rank="0" text="" dxfId="1">
      <formula>S5=2</formula>
    </cfRule>
    <cfRule type="expression" priority="9" aboveAverage="0" equalAverage="0" bottom="0" percent="0" rank="0" text="" dxfId="2">
      <formula>S5=3</formula>
    </cfRule>
    <cfRule type="expression" priority="10" aboveAverage="0" equalAverage="0" bottom="0" percent="0" rank="0" text="" dxfId="3">
      <formula>S5=4</formula>
    </cfRule>
    <cfRule type="expression" priority="11" aboveAverage="0" equalAverage="0" bottom="0" percent="0" rank="0" text="" dxfId="4">
      <formula>S5=5</formula>
    </cfRule>
  </conditionalFormatting>
  <dataValidations count="3">
    <dataValidation allowBlank="false" error="Enter a whole number 1–5" errorStyle="stop" operator="between" showDropDown="false" showErrorMessage="true" showInputMessage="false" sqref="G5:K394" type="whole">
      <formula1>1</formula1>
      <formula2>5</formula2>
    </dataValidation>
    <dataValidation allowBlank="false" errorStyle="stop" operator="between" showDropDown="false" showErrorMessage="false" showInputMessage="false" sqref="R5:R394" type="list">
      <formula1>Config!$H$15:$H$16</formula1>
      <formula2>0</formula2>
    </dataValidation>
    <dataValidation allowBlank="false" errorStyle="stop" operator="between" showDropDown="false" showErrorMessage="false" showInputMessage="false" sqref="P5:P394" type="whole">
      <formula1>-4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22" min="3" style="0" width="9.51"/>
    <col collapsed="false" customWidth="true" hidden="false" outlineLevel="0" max="24" min="23" style="0" width="9"/>
    <col collapsed="false" customWidth="true" hidden="false" outlineLevel="0" max="25" min="25" style="0" width="8"/>
    <col collapsed="false" customWidth="true" hidden="false" outlineLevel="0" max="26" min="26" style="0" width="10"/>
    <col collapsed="false" customWidth="true" hidden="false" outlineLevel="0" max="27" min="27" style="0" width="13"/>
  </cols>
  <sheetData>
    <row r="1" customFormat="false" ht="17.35" hidden="false" customHeight="false" outlineLevel="0" collapsed="false">
      <c r="A1" s="1" t="s">
        <v>446</v>
      </c>
    </row>
    <row r="2" customFormat="false" ht="15" hidden="false" customHeight="false" outlineLevel="0" collapsed="false">
      <c r="A2" s="2" t="s">
        <v>447</v>
      </c>
    </row>
    <row r="4" customFormat="false" ht="66" hidden="false" customHeight="true" outlineLevel="0" collapsed="false">
      <c r="A4" s="39"/>
      <c r="B4" s="39"/>
      <c r="C4" s="39" t="s">
        <v>234</v>
      </c>
      <c r="D4" s="39" t="s">
        <v>241</v>
      </c>
      <c r="E4" s="39" t="s">
        <v>244</v>
      </c>
      <c r="F4" s="39" t="s">
        <v>246</v>
      </c>
      <c r="G4" s="39" t="s">
        <v>249</v>
      </c>
      <c r="H4" s="39" t="s">
        <v>252</v>
      </c>
      <c r="I4" s="39" t="s">
        <v>255</v>
      </c>
      <c r="J4" s="39" t="s">
        <v>258</v>
      </c>
      <c r="K4" s="39" t="s">
        <v>262</v>
      </c>
      <c r="L4" s="39" t="s">
        <v>264</v>
      </c>
      <c r="M4" s="39" t="s">
        <v>267</v>
      </c>
      <c r="N4" s="39" t="s">
        <v>271</v>
      </c>
      <c r="O4" s="39" t="s">
        <v>276</v>
      </c>
      <c r="P4" s="39" t="s">
        <v>278</v>
      </c>
      <c r="Q4" s="39" t="s">
        <v>281</v>
      </c>
      <c r="R4" s="39" t="s">
        <v>284</v>
      </c>
      <c r="S4" s="39" t="s">
        <v>287</v>
      </c>
      <c r="T4" s="39" t="s">
        <v>290</v>
      </c>
      <c r="U4" s="39" t="s">
        <v>293</v>
      </c>
      <c r="V4" s="39" t="s">
        <v>296</v>
      </c>
      <c r="W4" s="39"/>
      <c r="X4" s="39"/>
      <c r="Y4" s="39"/>
      <c r="Z4" s="39"/>
      <c r="AA4" s="39"/>
    </row>
    <row r="5" customFormat="false" ht="23.85" hidden="false" customHeight="false" outlineLevel="0" collapsed="false">
      <c r="A5" s="5" t="s">
        <v>107</v>
      </c>
      <c r="B5" s="5" t="s">
        <v>108</v>
      </c>
      <c r="C5" s="5" t="s">
        <v>233</v>
      </c>
      <c r="D5" s="5" t="s">
        <v>240</v>
      </c>
      <c r="E5" s="5" t="s">
        <v>243</v>
      </c>
      <c r="F5" s="5" t="s">
        <v>245</v>
      </c>
      <c r="G5" s="5" t="s">
        <v>248</v>
      </c>
      <c r="H5" s="5" t="s">
        <v>251</v>
      </c>
      <c r="I5" s="5" t="s">
        <v>254</v>
      </c>
      <c r="J5" s="5" t="s">
        <v>257</v>
      </c>
      <c r="K5" s="5" t="s">
        <v>261</v>
      </c>
      <c r="L5" s="5" t="s">
        <v>263</v>
      </c>
      <c r="M5" s="5" t="s">
        <v>266</v>
      </c>
      <c r="N5" s="5" t="s">
        <v>270</v>
      </c>
      <c r="O5" s="5" t="s">
        <v>275</v>
      </c>
      <c r="P5" s="5" t="s">
        <v>277</v>
      </c>
      <c r="Q5" s="5" t="s">
        <v>280</v>
      </c>
      <c r="R5" s="5" t="s">
        <v>283</v>
      </c>
      <c r="S5" s="5" t="s">
        <v>286</v>
      </c>
      <c r="T5" s="5" t="s">
        <v>289</v>
      </c>
      <c r="U5" s="5" t="s">
        <v>292</v>
      </c>
      <c r="V5" s="5" t="s">
        <v>295</v>
      </c>
      <c r="W5" s="5" t="s">
        <v>448</v>
      </c>
      <c r="X5" s="5" t="s">
        <v>449</v>
      </c>
      <c r="Y5" s="5" t="s">
        <v>450</v>
      </c>
      <c r="Z5" s="5" t="s">
        <v>451</v>
      </c>
      <c r="AA5" s="5" t="s">
        <v>452</v>
      </c>
    </row>
    <row r="6" customFormat="false" ht="15" hidden="false" customHeight="false" outlineLevel="0" collapsed="false">
      <c r="A6" s="26" t="str">
        <f aca="false">Entities!A5</f>
        <v>JO-HO</v>
      </c>
      <c r="B6" s="26" t="str">
        <f aca="false">Entities!B5</f>
        <v>Arab Bank plc – Jordan (HO and domestic network)</v>
      </c>
      <c r="C6" s="31" t="n">
        <f aca="false">IF(COUNTIFS('FC Calculation'!$A$5:$A$214,$A6,'FC Calculation'!$D$5:$D$214,C$5,'FC Calculation'!$T$5:$T$214,"&gt;0")=0,"",SUMIFS('FC Calculation'!$T$5:$T$214,'FC Calculation'!$A$5:$A$214,$A6,'FC Calculation'!$D$5:$D$214,C$5))</f>
        <v>3</v>
      </c>
      <c r="D6" s="31" t="n">
        <f aca="false">IF(COUNTIFS('FC Calculation'!$A$5:$A$214,$A6,'FC Calculation'!$D$5:$D$214,D$5,'FC Calculation'!$T$5:$T$214,"&gt;0")=0,"",SUMIFS('FC Calculation'!$T$5:$T$214,'FC Calculation'!$A$5:$A$214,$A6,'FC Calculation'!$D$5:$D$214,D$5))</f>
        <v>3</v>
      </c>
      <c r="E6" s="31" t="n">
        <f aca="false">IF(COUNTIFS('FC Calculation'!$A$5:$A$214,$A6,'FC Calculation'!$D$5:$D$214,E$5,'FC Calculation'!$T$5:$T$214,"&gt;0")=0,"",SUMIFS('FC Calculation'!$T$5:$T$214,'FC Calculation'!$A$5:$A$214,$A6,'FC Calculation'!$D$5:$D$214,E$5))</f>
        <v>3</v>
      </c>
      <c r="F6" s="31" t="n">
        <f aca="false">IF(COUNTIFS('FC Calculation'!$A$5:$A$214,$A6,'FC Calculation'!$D$5:$D$214,F$5,'FC Calculation'!$T$5:$T$214,"&gt;0")=0,"",SUMIFS('FC Calculation'!$T$5:$T$214,'FC Calculation'!$A$5:$A$214,$A6,'FC Calculation'!$D$5:$D$214,F$5))</f>
        <v>3</v>
      </c>
      <c r="G6" s="31" t="n">
        <f aca="false">IF(COUNTIFS('FC Calculation'!$A$5:$A$214,$A6,'FC Calculation'!$D$5:$D$214,G$5,'FC Calculation'!$T$5:$T$214,"&gt;0")=0,"",SUMIFS('FC Calculation'!$T$5:$T$214,'FC Calculation'!$A$5:$A$214,$A6,'FC Calculation'!$D$5:$D$214,G$5))</f>
        <v>3</v>
      </c>
      <c r="H6" s="31" t="n">
        <f aca="false">IF(COUNTIFS('FC Calculation'!$A$5:$A$214,$A6,'FC Calculation'!$D$5:$D$214,H$5,'FC Calculation'!$T$5:$T$214,"&gt;0")=0,"",SUMIFS('FC Calculation'!$T$5:$T$214,'FC Calculation'!$A$5:$A$214,$A6,'FC Calculation'!$D$5:$D$214,H$5))</f>
        <v>3</v>
      </c>
      <c r="I6" s="31" t="n">
        <f aca="false">IF(COUNTIFS('FC Calculation'!$A$5:$A$214,$A6,'FC Calculation'!$D$5:$D$214,I$5,'FC Calculation'!$T$5:$T$214,"&gt;0")=0,"",SUMIFS('FC Calculation'!$T$5:$T$214,'FC Calculation'!$A$5:$A$214,$A6,'FC Calculation'!$D$5:$D$214,I$5))</f>
        <v>3</v>
      </c>
      <c r="J6" s="31" t="n">
        <f aca="false">IF(COUNTIFS('LxI Assessment'!$A$5:$A$394,$A6,'LxI Assessment'!$D$5:$D$394,J$5,'LxI Assessment'!$F$5:$F$394,"N/A")&gt;0,"N/A",IF(COUNTIFS('LxI Assessment'!$A$5:$A$394,$A6,'LxI Assessment'!$D$5:$D$394,J$5,'LxI Assessment'!$S$5:$S$394,"&gt;0")=0,"",SUMIFS('LxI Assessment'!$S$5:$S$394,'LxI Assessment'!$A$5:$A$394,$A6,'LxI Assessment'!$D$5:$D$394,J$5)))</f>
        <v>4</v>
      </c>
      <c r="K6" s="31" t="n">
        <f aca="false">IF(COUNTIFS('LxI Assessment'!$A$5:$A$394,$A6,'LxI Assessment'!$D$5:$D$394,K$5,'LxI Assessment'!$F$5:$F$394,"N/A")&gt;0,"N/A",IF(COUNTIFS('LxI Assessment'!$A$5:$A$394,$A6,'LxI Assessment'!$D$5:$D$394,K$5,'LxI Assessment'!$S$5:$S$394,"&gt;0")=0,"",SUMIFS('LxI Assessment'!$S$5:$S$394,'LxI Assessment'!$A$5:$A$394,$A6,'LxI Assessment'!$D$5:$D$394,K$5)))</f>
        <v>3</v>
      </c>
      <c r="L6" s="31" t="n">
        <f aca="false">IF(COUNTIFS('LxI Assessment'!$A$5:$A$394,$A6,'LxI Assessment'!$D$5:$D$394,L$5,'LxI Assessment'!$F$5:$F$394,"N/A")&gt;0,"N/A",IF(COUNTIFS('LxI Assessment'!$A$5:$A$394,$A6,'LxI Assessment'!$D$5:$D$394,L$5,'LxI Assessment'!$S$5:$S$394,"&gt;0")=0,"",SUMIFS('LxI Assessment'!$S$5:$S$394,'LxI Assessment'!$A$5:$A$394,$A6,'LxI Assessment'!$D$5:$D$394,L$5)))</f>
        <v>3</v>
      </c>
      <c r="M6" s="31" t="str">
        <f aca="false">IF(COUNTIFS('LxI Assessment'!$A$5:$A$394,$A6,'LxI Assessment'!$D$5:$D$394,M$5,'LxI Assessment'!$F$5:$F$394,"N/A")&gt;0,"N/A",IF(COUNTIFS('LxI Assessment'!$A$5:$A$394,$A6,'LxI Assessment'!$D$5:$D$394,M$5,'LxI Assessment'!$S$5:$S$394,"&gt;0")=0,"",SUMIFS('LxI Assessment'!$S$5:$S$394,'LxI Assessment'!$A$5:$A$394,$A6,'LxI Assessment'!$D$5:$D$394,M$5)))</f>
        <v>N/A</v>
      </c>
      <c r="N6" s="31" t="n">
        <f aca="false">IF(COUNTIFS('LxI Assessment'!$A$5:$A$394,$A6,'LxI Assessment'!$D$5:$D$394,N$5,'LxI Assessment'!$F$5:$F$394,"N/A")&gt;0,"N/A",IF(COUNTIFS('LxI Assessment'!$A$5:$A$394,$A6,'LxI Assessment'!$D$5:$D$394,N$5,'LxI Assessment'!$S$5:$S$394,"&gt;0")=0,"",SUMIFS('LxI Assessment'!$S$5:$S$394,'LxI Assessment'!$A$5:$A$394,$A6,'LxI Assessment'!$D$5:$D$394,N$5)))</f>
        <v>3</v>
      </c>
      <c r="O6" s="31" t="n">
        <f aca="false">IF(COUNTIFS('LxI Assessment'!$A$5:$A$394,$A6,'LxI Assessment'!$D$5:$D$394,O$5,'LxI Assessment'!$F$5:$F$394,"N/A")&gt;0,"N/A",IF(COUNTIFS('LxI Assessment'!$A$5:$A$394,$A6,'LxI Assessment'!$D$5:$D$394,O$5,'LxI Assessment'!$S$5:$S$394,"&gt;0")=0,"",SUMIFS('LxI Assessment'!$S$5:$S$394,'LxI Assessment'!$A$5:$A$394,$A6,'LxI Assessment'!$D$5:$D$394,O$5)))</f>
        <v>3</v>
      </c>
      <c r="P6" s="31" t="n">
        <f aca="false">IF(COUNTIFS('LxI Assessment'!$A$5:$A$394,$A6,'LxI Assessment'!$D$5:$D$394,P$5,'LxI Assessment'!$F$5:$F$394,"N/A")&gt;0,"N/A",IF(COUNTIFS('LxI Assessment'!$A$5:$A$394,$A6,'LxI Assessment'!$D$5:$D$394,P$5,'LxI Assessment'!$S$5:$S$394,"&gt;0")=0,"",SUMIFS('LxI Assessment'!$S$5:$S$394,'LxI Assessment'!$A$5:$A$394,$A6,'LxI Assessment'!$D$5:$D$394,P$5)))</f>
        <v>3</v>
      </c>
      <c r="Q6" s="31" t="n">
        <f aca="false">IF(COUNTIFS('LxI Assessment'!$A$5:$A$394,$A6,'LxI Assessment'!$D$5:$D$394,Q$5,'LxI Assessment'!$F$5:$F$394,"N/A")&gt;0,"N/A",IF(COUNTIFS('LxI Assessment'!$A$5:$A$394,$A6,'LxI Assessment'!$D$5:$D$394,Q$5,'LxI Assessment'!$S$5:$S$394,"&gt;0")=0,"",SUMIFS('LxI Assessment'!$S$5:$S$394,'LxI Assessment'!$A$5:$A$394,$A6,'LxI Assessment'!$D$5:$D$394,Q$5)))</f>
        <v>3</v>
      </c>
      <c r="R6" s="31" t="n">
        <f aca="false">IF(COUNTIFS('LxI Assessment'!$A$5:$A$394,$A6,'LxI Assessment'!$D$5:$D$394,R$5,'LxI Assessment'!$F$5:$F$394,"N/A")&gt;0,"N/A",IF(COUNTIFS('LxI Assessment'!$A$5:$A$394,$A6,'LxI Assessment'!$D$5:$D$394,R$5,'LxI Assessment'!$S$5:$S$394,"&gt;0")=0,"",SUMIFS('LxI Assessment'!$S$5:$S$394,'LxI Assessment'!$A$5:$A$394,$A6,'LxI Assessment'!$D$5:$D$394,R$5)))</f>
        <v>3</v>
      </c>
      <c r="S6" s="31" t="n">
        <f aca="false">IF(COUNTIFS('LxI Assessment'!$A$5:$A$394,$A6,'LxI Assessment'!$D$5:$D$394,S$5,'LxI Assessment'!$F$5:$F$394,"N/A")&gt;0,"N/A",IF(COUNTIFS('LxI Assessment'!$A$5:$A$394,$A6,'LxI Assessment'!$D$5:$D$394,S$5,'LxI Assessment'!$S$5:$S$394,"&gt;0")=0,"",SUMIFS('LxI Assessment'!$S$5:$S$394,'LxI Assessment'!$A$5:$A$394,$A6,'LxI Assessment'!$D$5:$D$394,S$5)))</f>
        <v>3</v>
      </c>
      <c r="T6" s="31" t="n">
        <f aca="false">IF(COUNTIFS('LxI Assessment'!$A$5:$A$394,$A6,'LxI Assessment'!$D$5:$D$394,T$5,'LxI Assessment'!$F$5:$F$394,"N/A")&gt;0,"N/A",IF(COUNTIFS('LxI Assessment'!$A$5:$A$394,$A6,'LxI Assessment'!$D$5:$D$394,T$5,'LxI Assessment'!$S$5:$S$394,"&gt;0")=0,"",SUMIFS('LxI Assessment'!$S$5:$S$394,'LxI Assessment'!$A$5:$A$394,$A6,'LxI Assessment'!$D$5:$D$394,T$5)))</f>
        <v>3</v>
      </c>
      <c r="U6" s="31" t="n">
        <f aca="false">IF(COUNTIFS('LxI Assessment'!$A$5:$A$394,$A6,'LxI Assessment'!$D$5:$D$394,U$5,'LxI Assessment'!$F$5:$F$394,"N/A")&gt;0,"N/A",IF(COUNTIFS('LxI Assessment'!$A$5:$A$394,$A6,'LxI Assessment'!$D$5:$D$394,U$5,'LxI Assessment'!$S$5:$S$394,"&gt;0")=0,"",SUMIFS('LxI Assessment'!$S$5:$S$394,'LxI Assessment'!$A$5:$A$394,$A6,'LxI Assessment'!$D$5:$D$394,U$5)))</f>
        <v>4</v>
      </c>
      <c r="V6" s="31" t="n">
        <f aca="false">IF(COUNTIFS('LxI Assessment'!$A$5:$A$394,$A6,'LxI Assessment'!$D$5:$D$394,V$5,'LxI Assessment'!$F$5:$F$394,"N/A")&gt;0,"N/A",IF(COUNTIFS('LxI Assessment'!$A$5:$A$394,$A6,'LxI Assessment'!$D$5:$D$394,V$5,'LxI Assessment'!$S$5:$S$394,"&gt;0")=0,"",SUMIFS('LxI Assessment'!$S$5:$S$394,'LxI Assessment'!$A$5:$A$394,$A6,'LxI Assessment'!$D$5:$D$394,V$5)))</f>
        <v>2</v>
      </c>
      <c r="W6" s="34" t="n">
        <f aca="false">MAX(C6:V6)</f>
        <v>4</v>
      </c>
      <c r="X6" s="29" t="n">
        <f aca="false">IFERROR(AVERAGE(C6:V6),"")</f>
        <v>3.05263157894737</v>
      </c>
      <c r="Y6" s="31" t="n">
        <f aca="false">COUNTIF(C6:V6,5)</f>
        <v>0</v>
      </c>
      <c r="Z6" s="31" t="n">
        <f aca="false">COUNTIF(C6:V6,4)</f>
        <v>2</v>
      </c>
      <c r="AA6" s="7" t="str">
        <f aca="false">IF(W6=0,"",INDEX(Config!$B$5:$B$9,W6))</f>
        <v>Medium-High</v>
      </c>
    </row>
    <row r="7" customFormat="false" ht="15" hidden="false" customHeight="false" outlineLevel="0" collapsed="false">
      <c r="A7" s="26" t="str">
        <f aca="false">Entities!A6</f>
        <v>JO-IIAB</v>
      </c>
      <c r="B7" s="26" t="str">
        <f aca="false">Entities!B6</f>
        <v>Islamic International Arab Bank</v>
      </c>
      <c r="C7" s="31" t="n">
        <f aca="false">IF(COUNTIFS('FC Calculation'!$A$5:$A$214,$A7,'FC Calculation'!$D$5:$D$214,C$5,'FC Calculation'!$T$5:$T$214,"&gt;0")=0,"",SUMIFS('FC Calculation'!$T$5:$T$214,'FC Calculation'!$A$5:$A$214,$A7,'FC Calculation'!$D$5:$D$214,C$5))</f>
        <v>3</v>
      </c>
      <c r="D7" s="31" t="n">
        <f aca="false">IF(COUNTIFS('FC Calculation'!$A$5:$A$214,$A7,'FC Calculation'!$D$5:$D$214,D$5,'FC Calculation'!$T$5:$T$214,"&gt;0")=0,"",SUMIFS('FC Calculation'!$T$5:$T$214,'FC Calculation'!$A$5:$A$214,$A7,'FC Calculation'!$D$5:$D$214,D$5))</f>
        <v>3</v>
      </c>
      <c r="E7" s="31" t="n">
        <f aca="false">IF(COUNTIFS('FC Calculation'!$A$5:$A$214,$A7,'FC Calculation'!$D$5:$D$214,E$5,'FC Calculation'!$T$5:$T$214,"&gt;0")=0,"",SUMIFS('FC Calculation'!$T$5:$T$214,'FC Calculation'!$A$5:$A$214,$A7,'FC Calculation'!$D$5:$D$214,E$5))</f>
        <v>3</v>
      </c>
      <c r="F7" s="31" t="n">
        <f aca="false">IF(COUNTIFS('FC Calculation'!$A$5:$A$214,$A7,'FC Calculation'!$D$5:$D$214,F$5,'FC Calculation'!$T$5:$T$214,"&gt;0")=0,"",SUMIFS('FC Calculation'!$T$5:$T$214,'FC Calculation'!$A$5:$A$214,$A7,'FC Calculation'!$D$5:$D$214,F$5))</f>
        <v>3</v>
      </c>
      <c r="G7" s="31" t="n">
        <f aca="false">IF(COUNTIFS('FC Calculation'!$A$5:$A$214,$A7,'FC Calculation'!$D$5:$D$214,G$5,'FC Calculation'!$T$5:$T$214,"&gt;0")=0,"",SUMIFS('FC Calculation'!$T$5:$T$214,'FC Calculation'!$A$5:$A$214,$A7,'FC Calculation'!$D$5:$D$214,G$5))</f>
        <v>3</v>
      </c>
      <c r="H7" s="31" t="n">
        <f aca="false">IF(COUNTIFS('FC Calculation'!$A$5:$A$214,$A7,'FC Calculation'!$D$5:$D$214,H$5,'FC Calculation'!$T$5:$T$214,"&gt;0")=0,"",SUMIFS('FC Calculation'!$T$5:$T$214,'FC Calculation'!$A$5:$A$214,$A7,'FC Calculation'!$D$5:$D$214,H$5))</f>
        <v>3</v>
      </c>
      <c r="I7" s="31" t="n">
        <f aca="false">IF(COUNTIFS('FC Calculation'!$A$5:$A$214,$A7,'FC Calculation'!$D$5:$D$214,I$5,'FC Calculation'!$T$5:$T$214,"&gt;0")=0,"",SUMIFS('FC Calculation'!$T$5:$T$214,'FC Calculation'!$A$5:$A$214,$A7,'FC Calculation'!$D$5:$D$214,I$5))</f>
        <v>3</v>
      </c>
      <c r="J7" s="31" t="n">
        <f aca="false">IF(COUNTIFS('LxI Assessment'!$A$5:$A$394,$A7,'LxI Assessment'!$D$5:$D$394,J$5,'LxI Assessment'!$F$5:$F$394,"N/A")&gt;0,"N/A",IF(COUNTIFS('LxI Assessment'!$A$5:$A$394,$A7,'LxI Assessment'!$D$5:$D$394,J$5,'LxI Assessment'!$S$5:$S$394,"&gt;0")=0,"",SUMIFS('LxI Assessment'!$S$5:$S$394,'LxI Assessment'!$A$5:$A$394,$A7,'LxI Assessment'!$D$5:$D$394,J$5)))</f>
        <v>5</v>
      </c>
      <c r="K7" s="31" t="n">
        <f aca="false">IF(COUNTIFS('LxI Assessment'!$A$5:$A$394,$A7,'LxI Assessment'!$D$5:$D$394,K$5,'LxI Assessment'!$F$5:$F$394,"N/A")&gt;0,"N/A",IF(COUNTIFS('LxI Assessment'!$A$5:$A$394,$A7,'LxI Assessment'!$D$5:$D$394,K$5,'LxI Assessment'!$S$5:$S$394,"&gt;0")=0,"",SUMIFS('LxI Assessment'!$S$5:$S$394,'LxI Assessment'!$A$5:$A$394,$A7,'LxI Assessment'!$D$5:$D$394,K$5)))</f>
        <v>3</v>
      </c>
      <c r="L7" s="31" t="n">
        <f aca="false">IF(COUNTIFS('LxI Assessment'!$A$5:$A$394,$A7,'LxI Assessment'!$D$5:$D$394,L$5,'LxI Assessment'!$F$5:$F$394,"N/A")&gt;0,"N/A",IF(COUNTIFS('LxI Assessment'!$A$5:$A$394,$A7,'LxI Assessment'!$D$5:$D$394,L$5,'LxI Assessment'!$S$5:$S$394,"&gt;0")=0,"",SUMIFS('LxI Assessment'!$S$5:$S$394,'LxI Assessment'!$A$5:$A$394,$A7,'LxI Assessment'!$D$5:$D$394,L$5)))</f>
        <v>2</v>
      </c>
      <c r="M7" s="31" t="n">
        <f aca="false">IF(COUNTIFS('LxI Assessment'!$A$5:$A$394,$A7,'LxI Assessment'!$D$5:$D$394,M$5,'LxI Assessment'!$F$5:$F$394,"N/A")&gt;0,"N/A",IF(COUNTIFS('LxI Assessment'!$A$5:$A$394,$A7,'LxI Assessment'!$D$5:$D$394,M$5,'LxI Assessment'!$S$5:$S$394,"&gt;0")=0,"",SUMIFS('LxI Assessment'!$S$5:$S$394,'LxI Assessment'!$A$5:$A$394,$A7,'LxI Assessment'!$D$5:$D$394,M$5)))</f>
        <v>2</v>
      </c>
      <c r="N7" s="31" t="n">
        <f aca="false">IF(COUNTIFS('LxI Assessment'!$A$5:$A$394,$A7,'LxI Assessment'!$D$5:$D$394,N$5,'LxI Assessment'!$F$5:$F$394,"N/A")&gt;0,"N/A",IF(COUNTIFS('LxI Assessment'!$A$5:$A$394,$A7,'LxI Assessment'!$D$5:$D$394,N$5,'LxI Assessment'!$S$5:$S$394,"&gt;0")=0,"",SUMIFS('LxI Assessment'!$S$5:$S$394,'LxI Assessment'!$A$5:$A$394,$A7,'LxI Assessment'!$D$5:$D$394,N$5)))</f>
        <v>4</v>
      </c>
      <c r="O7" s="31" t="n">
        <f aca="false">IF(COUNTIFS('LxI Assessment'!$A$5:$A$394,$A7,'LxI Assessment'!$D$5:$D$394,O$5,'LxI Assessment'!$F$5:$F$394,"N/A")&gt;0,"N/A",IF(COUNTIFS('LxI Assessment'!$A$5:$A$394,$A7,'LxI Assessment'!$D$5:$D$394,O$5,'LxI Assessment'!$S$5:$S$394,"&gt;0")=0,"",SUMIFS('LxI Assessment'!$S$5:$S$394,'LxI Assessment'!$A$5:$A$394,$A7,'LxI Assessment'!$D$5:$D$394,O$5)))</f>
        <v>3</v>
      </c>
      <c r="P7" s="31" t="n">
        <f aca="false">IF(COUNTIFS('LxI Assessment'!$A$5:$A$394,$A7,'LxI Assessment'!$D$5:$D$394,P$5,'LxI Assessment'!$F$5:$F$394,"N/A")&gt;0,"N/A",IF(COUNTIFS('LxI Assessment'!$A$5:$A$394,$A7,'LxI Assessment'!$D$5:$D$394,P$5,'LxI Assessment'!$S$5:$S$394,"&gt;0")=0,"",SUMIFS('LxI Assessment'!$S$5:$S$394,'LxI Assessment'!$A$5:$A$394,$A7,'LxI Assessment'!$D$5:$D$394,P$5)))</f>
        <v>2</v>
      </c>
      <c r="Q7" s="31" t="n">
        <f aca="false">IF(COUNTIFS('LxI Assessment'!$A$5:$A$394,$A7,'LxI Assessment'!$D$5:$D$394,Q$5,'LxI Assessment'!$F$5:$F$394,"N/A")&gt;0,"N/A",IF(COUNTIFS('LxI Assessment'!$A$5:$A$394,$A7,'LxI Assessment'!$D$5:$D$394,Q$5,'LxI Assessment'!$S$5:$S$394,"&gt;0")=0,"",SUMIFS('LxI Assessment'!$S$5:$S$394,'LxI Assessment'!$A$5:$A$394,$A7,'LxI Assessment'!$D$5:$D$394,Q$5)))</f>
        <v>2</v>
      </c>
      <c r="R7" s="31" t="n">
        <f aca="false">IF(COUNTIFS('LxI Assessment'!$A$5:$A$394,$A7,'LxI Assessment'!$D$5:$D$394,R$5,'LxI Assessment'!$F$5:$F$394,"N/A")&gt;0,"N/A",IF(COUNTIFS('LxI Assessment'!$A$5:$A$394,$A7,'LxI Assessment'!$D$5:$D$394,R$5,'LxI Assessment'!$S$5:$S$394,"&gt;0")=0,"",SUMIFS('LxI Assessment'!$S$5:$S$394,'LxI Assessment'!$A$5:$A$394,$A7,'LxI Assessment'!$D$5:$D$394,R$5)))</f>
        <v>3</v>
      </c>
      <c r="S7" s="31" t="n">
        <f aca="false">IF(COUNTIFS('LxI Assessment'!$A$5:$A$394,$A7,'LxI Assessment'!$D$5:$D$394,S$5,'LxI Assessment'!$F$5:$F$394,"N/A")&gt;0,"N/A",IF(COUNTIFS('LxI Assessment'!$A$5:$A$394,$A7,'LxI Assessment'!$D$5:$D$394,S$5,'LxI Assessment'!$S$5:$S$394,"&gt;0")=0,"",SUMIFS('LxI Assessment'!$S$5:$S$394,'LxI Assessment'!$A$5:$A$394,$A7,'LxI Assessment'!$D$5:$D$394,S$5)))</f>
        <v>3</v>
      </c>
      <c r="T7" s="31" t="n">
        <f aca="false">IF(COUNTIFS('LxI Assessment'!$A$5:$A$394,$A7,'LxI Assessment'!$D$5:$D$394,T$5,'LxI Assessment'!$F$5:$F$394,"N/A")&gt;0,"N/A",IF(COUNTIFS('LxI Assessment'!$A$5:$A$394,$A7,'LxI Assessment'!$D$5:$D$394,T$5,'LxI Assessment'!$S$5:$S$394,"&gt;0")=0,"",SUMIFS('LxI Assessment'!$S$5:$S$394,'LxI Assessment'!$A$5:$A$394,$A7,'LxI Assessment'!$D$5:$D$394,T$5)))</f>
        <v>1</v>
      </c>
      <c r="U7" s="31" t="n">
        <f aca="false">IF(COUNTIFS('LxI Assessment'!$A$5:$A$394,$A7,'LxI Assessment'!$D$5:$D$394,U$5,'LxI Assessment'!$F$5:$F$394,"N/A")&gt;0,"N/A",IF(COUNTIFS('LxI Assessment'!$A$5:$A$394,$A7,'LxI Assessment'!$D$5:$D$394,U$5,'LxI Assessment'!$S$5:$S$394,"&gt;0")=0,"",SUMIFS('LxI Assessment'!$S$5:$S$394,'LxI Assessment'!$A$5:$A$394,$A7,'LxI Assessment'!$D$5:$D$394,U$5)))</f>
        <v>2</v>
      </c>
      <c r="V7" s="31" t="n">
        <f aca="false">IF(COUNTIFS('LxI Assessment'!$A$5:$A$394,$A7,'LxI Assessment'!$D$5:$D$394,V$5,'LxI Assessment'!$F$5:$F$394,"N/A")&gt;0,"N/A",IF(COUNTIFS('LxI Assessment'!$A$5:$A$394,$A7,'LxI Assessment'!$D$5:$D$394,V$5,'LxI Assessment'!$S$5:$S$394,"&gt;0")=0,"",SUMIFS('LxI Assessment'!$S$5:$S$394,'LxI Assessment'!$A$5:$A$394,$A7,'LxI Assessment'!$D$5:$D$394,V$5)))</f>
        <v>3</v>
      </c>
      <c r="W7" s="34" t="n">
        <f aca="false">MAX(C7:V7)</f>
        <v>5</v>
      </c>
      <c r="X7" s="29" t="n">
        <f aca="false">IFERROR(AVERAGE(C7:V7),"")</f>
        <v>2.8</v>
      </c>
      <c r="Y7" s="31" t="n">
        <f aca="false">COUNTIF(C7:V7,5)</f>
        <v>1</v>
      </c>
      <c r="Z7" s="31" t="n">
        <f aca="false">COUNTIF(C7:V7,4)</f>
        <v>1</v>
      </c>
      <c r="AA7" s="7" t="str">
        <f aca="false">IF(W7=0,"",INDEX(Config!$B$5:$B$9,W7))</f>
        <v>High</v>
      </c>
    </row>
    <row r="8" customFormat="false" ht="15" hidden="false" customHeight="false" outlineLevel="0" collapsed="false">
      <c r="A8" s="26" t="str">
        <f aca="false">Entities!A7</f>
        <v>JO-INV</v>
      </c>
      <c r="B8" s="26" t="str">
        <f aca="false">Entities!B7</f>
        <v>Al-Arabi Investment Group (AB Invest)</v>
      </c>
      <c r="C8" s="31" t="n">
        <f aca="false">IF(COUNTIFS('FC Calculation'!$A$5:$A$214,$A8,'FC Calculation'!$D$5:$D$214,C$5,'FC Calculation'!$T$5:$T$214,"&gt;0")=0,"",SUMIFS('FC Calculation'!$T$5:$T$214,'FC Calculation'!$A$5:$A$214,$A8,'FC Calculation'!$D$5:$D$214,C$5))</f>
        <v>2</v>
      </c>
      <c r="D8" s="31" t="n">
        <f aca="false">IF(COUNTIFS('FC Calculation'!$A$5:$A$214,$A8,'FC Calculation'!$D$5:$D$214,D$5,'FC Calculation'!$T$5:$T$214,"&gt;0")=0,"",SUMIFS('FC Calculation'!$T$5:$T$214,'FC Calculation'!$A$5:$A$214,$A8,'FC Calculation'!$D$5:$D$214,D$5))</f>
        <v>2</v>
      </c>
      <c r="E8" s="31" t="n">
        <f aca="false">IF(COUNTIFS('FC Calculation'!$A$5:$A$214,$A8,'FC Calculation'!$D$5:$D$214,E$5,'FC Calculation'!$T$5:$T$214,"&gt;0")=0,"",SUMIFS('FC Calculation'!$T$5:$T$214,'FC Calculation'!$A$5:$A$214,$A8,'FC Calculation'!$D$5:$D$214,E$5))</f>
        <v>2</v>
      </c>
      <c r="F8" s="31" t="n">
        <f aca="false">IF(COUNTIFS('FC Calculation'!$A$5:$A$214,$A8,'FC Calculation'!$D$5:$D$214,F$5,'FC Calculation'!$T$5:$T$214,"&gt;0")=0,"",SUMIFS('FC Calculation'!$T$5:$T$214,'FC Calculation'!$A$5:$A$214,$A8,'FC Calculation'!$D$5:$D$214,F$5))</f>
        <v>2</v>
      </c>
      <c r="G8" s="31" t="n">
        <f aca="false">IF(COUNTIFS('FC Calculation'!$A$5:$A$214,$A8,'FC Calculation'!$D$5:$D$214,G$5,'FC Calculation'!$T$5:$T$214,"&gt;0")=0,"",SUMIFS('FC Calculation'!$T$5:$T$214,'FC Calculation'!$A$5:$A$214,$A8,'FC Calculation'!$D$5:$D$214,G$5))</f>
        <v>2</v>
      </c>
      <c r="H8" s="31" t="n">
        <f aca="false">IF(COUNTIFS('FC Calculation'!$A$5:$A$214,$A8,'FC Calculation'!$D$5:$D$214,H$5,'FC Calculation'!$T$5:$T$214,"&gt;0")=0,"",SUMIFS('FC Calculation'!$T$5:$T$214,'FC Calculation'!$A$5:$A$214,$A8,'FC Calculation'!$D$5:$D$214,H$5))</f>
        <v>2</v>
      </c>
      <c r="I8" s="31" t="n">
        <f aca="false">IF(COUNTIFS('FC Calculation'!$A$5:$A$214,$A8,'FC Calculation'!$D$5:$D$214,I$5,'FC Calculation'!$T$5:$T$214,"&gt;0")=0,"",SUMIFS('FC Calculation'!$T$5:$T$214,'FC Calculation'!$A$5:$A$214,$A8,'FC Calculation'!$D$5:$D$214,I$5))</f>
        <v>3</v>
      </c>
      <c r="J8" s="31" t="n">
        <f aca="false">IF(COUNTIFS('LxI Assessment'!$A$5:$A$394,$A8,'LxI Assessment'!$D$5:$D$394,J$5,'LxI Assessment'!$F$5:$F$394,"N/A")&gt;0,"N/A",IF(COUNTIFS('LxI Assessment'!$A$5:$A$394,$A8,'LxI Assessment'!$D$5:$D$394,J$5,'LxI Assessment'!$S$5:$S$394,"&gt;0")=0,"",SUMIFS('LxI Assessment'!$S$5:$S$394,'LxI Assessment'!$A$5:$A$394,$A8,'LxI Assessment'!$D$5:$D$394,J$5)))</f>
        <v>3</v>
      </c>
      <c r="K8" s="31" t="n">
        <f aca="false">IF(COUNTIFS('LxI Assessment'!$A$5:$A$394,$A8,'LxI Assessment'!$D$5:$D$394,K$5,'LxI Assessment'!$F$5:$F$394,"N/A")&gt;0,"N/A",IF(COUNTIFS('LxI Assessment'!$A$5:$A$394,$A8,'LxI Assessment'!$D$5:$D$394,K$5,'LxI Assessment'!$S$5:$S$394,"&gt;0")=0,"",SUMIFS('LxI Assessment'!$S$5:$S$394,'LxI Assessment'!$A$5:$A$394,$A8,'LxI Assessment'!$D$5:$D$394,K$5)))</f>
        <v>3</v>
      </c>
      <c r="L8" s="31" t="n">
        <f aca="false">IF(COUNTIFS('LxI Assessment'!$A$5:$A$394,$A8,'LxI Assessment'!$D$5:$D$394,L$5,'LxI Assessment'!$F$5:$F$394,"N/A")&gt;0,"N/A",IF(COUNTIFS('LxI Assessment'!$A$5:$A$394,$A8,'LxI Assessment'!$D$5:$D$394,L$5,'LxI Assessment'!$S$5:$S$394,"&gt;0")=0,"",SUMIFS('LxI Assessment'!$S$5:$S$394,'LxI Assessment'!$A$5:$A$394,$A8,'LxI Assessment'!$D$5:$D$394,L$5)))</f>
        <v>2</v>
      </c>
      <c r="M8" s="31" t="str">
        <f aca="false">IF(COUNTIFS('LxI Assessment'!$A$5:$A$394,$A8,'LxI Assessment'!$D$5:$D$394,M$5,'LxI Assessment'!$F$5:$F$394,"N/A")&gt;0,"N/A",IF(COUNTIFS('LxI Assessment'!$A$5:$A$394,$A8,'LxI Assessment'!$D$5:$D$394,M$5,'LxI Assessment'!$S$5:$S$394,"&gt;0")=0,"",SUMIFS('LxI Assessment'!$S$5:$S$394,'LxI Assessment'!$A$5:$A$394,$A8,'LxI Assessment'!$D$5:$D$394,M$5)))</f>
        <v>N/A</v>
      </c>
      <c r="N8" s="31" t="n">
        <f aca="false">IF(COUNTIFS('LxI Assessment'!$A$5:$A$394,$A8,'LxI Assessment'!$D$5:$D$394,N$5,'LxI Assessment'!$F$5:$F$394,"N/A")&gt;0,"N/A",IF(COUNTIFS('LxI Assessment'!$A$5:$A$394,$A8,'LxI Assessment'!$D$5:$D$394,N$5,'LxI Assessment'!$S$5:$S$394,"&gt;0")=0,"",SUMIFS('LxI Assessment'!$S$5:$S$394,'LxI Assessment'!$A$5:$A$394,$A8,'LxI Assessment'!$D$5:$D$394,N$5)))</f>
        <v>3</v>
      </c>
      <c r="O8" s="31" t="n">
        <f aca="false">IF(COUNTIFS('LxI Assessment'!$A$5:$A$394,$A8,'LxI Assessment'!$D$5:$D$394,O$5,'LxI Assessment'!$F$5:$F$394,"N/A")&gt;0,"N/A",IF(COUNTIFS('LxI Assessment'!$A$5:$A$394,$A8,'LxI Assessment'!$D$5:$D$394,O$5,'LxI Assessment'!$S$5:$S$394,"&gt;0")=0,"",SUMIFS('LxI Assessment'!$S$5:$S$394,'LxI Assessment'!$A$5:$A$394,$A8,'LxI Assessment'!$D$5:$D$394,O$5)))</f>
        <v>2</v>
      </c>
      <c r="P8" s="31" t="n">
        <f aca="false">IF(COUNTIFS('LxI Assessment'!$A$5:$A$394,$A8,'LxI Assessment'!$D$5:$D$394,P$5,'LxI Assessment'!$F$5:$F$394,"N/A")&gt;0,"N/A",IF(COUNTIFS('LxI Assessment'!$A$5:$A$394,$A8,'LxI Assessment'!$D$5:$D$394,P$5,'LxI Assessment'!$S$5:$S$394,"&gt;0")=0,"",SUMIFS('LxI Assessment'!$S$5:$S$394,'LxI Assessment'!$A$5:$A$394,$A8,'LxI Assessment'!$D$5:$D$394,P$5)))</f>
        <v>4</v>
      </c>
      <c r="Q8" s="31" t="n">
        <f aca="false">IF(COUNTIFS('LxI Assessment'!$A$5:$A$394,$A8,'LxI Assessment'!$D$5:$D$394,Q$5,'LxI Assessment'!$F$5:$F$394,"N/A")&gt;0,"N/A",IF(COUNTIFS('LxI Assessment'!$A$5:$A$394,$A8,'LxI Assessment'!$D$5:$D$394,Q$5,'LxI Assessment'!$S$5:$S$394,"&gt;0")=0,"",SUMIFS('LxI Assessment'!$S$5:$S$394,'LxI Assessment'!$A$5:$A$394,$A8,'LxI Assessment'!$D$5:$D$394,Q$5)))</f>
        <v>3</v>
      </c>
      <c r="R8" s="31" t="n">
        <f aca="false">IF(COUNTIFS('LxI Assessment'!$A$5:$A$394,$A8,'LxI Assessment'!$D$5:$D$394,R$5,'LxI Assessment'!$F$5:$F$394,"N/A")&gt;0,"N/A",IF(COUNTIFS('LxI Assessment'!$A$5:$A$394,$A8,'LxI Assessment'!$D$5:$D$394,R$5,'LxI Assessment'!$S$5:$S$394,"&gt;0")=0,"",SUMIFS('LxI Assessment'!$S$5:$S$394,'LxI Assessment'!$A$5:$A$394,$A8,'LxI Assessment'!$D$5:$D$394,R$5)))</f>
        <v>3</v>
      </c>
      <c r="S8" s="31" t="n">
        <f aca="false">IF(COUNTIFS('LxI Assessment'!$A$5:$A$394,$A8,'LxI Assessment'!$D$5:$D$394,S$5,'LxI Assessment'!$F$5:$F$394,"N/A")&gt;0,"N/A",IF(COUNTIFS('LxI Assessment'!$A$5:$A$394,$A8,'LxI Assessment'!$D$5:$D$394,S$5,'LxI Assessment'!$S$5:$S$394,"&gt;0")=0,"",SUMIFS('LxI Assessment'!$S$5:$S$394,'LxI Assessment'!$A$5:$A$394,$A8,'LxI Assessment'!$D$5:$D$394,S$5)))</f>
        <v>3</v>
      </c>
      <c r="T8" s="31" t="n">
        <f aca="false">IF(COUNTIFS('LxI Assessment'!$A$5:$A$394,$A8,'LxI Assessment'!$D$5:$D$394,T$5,'LxI Assessment'!$F$5:$F$394,"N/A")&gt;0,"N/A",IF(COUNTIFS('LxI Assessment'!$A$5:$A$394,$A8,'LxI Assessment'!$D$5:$D$394,T$5,'LxI Assessment'!$S$5:$S$394,"&gt;0")=0,"",SUMIFS('LxI Assessment'!$S$5:$S$394,'LxI Assessment'!$A$5:$A$394,$A8,'LxI Assessment'!$D$5:$D$394,T$5)))</f>
        <v>2</v>
      </c>
      <c r="U8" s="31" t="n">
        <f aca="false">IF(COUNTIFS('LxI Assessment'!$A$5:$A$394,$A8,'LxI Assessment'!$D$5:$D$394,U$5,'LxI Assessment'!$F$5:$F$394,"N/A")&gt;0,"N/A",IF(COUNTIFS('LxI Assessment'!$A$5:$A$394,$A8,'LxI Assessment'!$D$5:$D$394,U$5,'LxI Assessment'!$S$5:$S$394,"&gt;0")=0,"",SUMIFS('LxI Assessment'!$S$5:$S$394,'LxI Assessment'!$A$5:$A$394,$A8,'LxI Assessment'!$D$5:$D$394,U$5)))</f>
        <v>3</v>
      </c>
      <c r="V8" s="31" t="n">
        <f aca="false">IF(COUNTIFS('LxI Assessment'!$A$5:$A$394,$A8,'LxI Assessment'!$D$5:$D$394,V$5,'LxI Assessment'!$F$5:$F$394,"N/A")&gt;0,"N/A",IF(COUNTIFS('LxI Assessment'!$A$5:$A$394,$A8,'LxI Assessment'!$D$5:$D$394,V$5,'LxI Assessment'!$S$5:$S$394,"&gt;0")=0,"",SUMIFS('LxI Assessment'!$S$5:$S$394,'LxI Assessment'!$A$5:$A$394,$A8,'LxI Assessment'!$D$5:$D$394,V$5)))</f>
        <v>2</v>
      </c>
      <c r="W8" s="34" t="n">
        <f aca="false">MAX(C8:V8)</f>
        <v>4</v>
      </c>
      <c r="X8" s="29" t="n">
        <f aca="false">IFERROR(AVERAGE(C8:V8),"")</f>
        <v>2.52631578947368</v>
      </c>
      <c r="Y8" s="31" t="n">
        <f aca="false">COUNTIF(C8:V8,5)</f>
        <v>0</v>
      </c>
      <c r="Z8" s="31" t="n">
        <f aca="false">COUNTIF(C8:V8,4)</f>
        <v>1</v>
      </c>
      <c r="AA8" s="7" t="str">
        <f aca="false">IF(W8=0,"",INDEX(Config!$B$5:$B$9,W8))</f>
        <v>Medium-High</v>
      </c>
    </row>
    <row r="9" customFormat="false" ht="15" hidden="false" customHeight="false" outlineLevel="0" collapsed="false">
      <c r="A9" s="26" t="str">
        <f aca="false">Entities!A8</f>
        <v>JO-INS</v>
      </c>
      <c r="B9" s="26" t="str">
        <f aca="false">Entities!B8</f>
        <v>Insurance subsidiary – Jordan</v>
      </c>
      <c r="C9" s="31" t="n">
        <f aca="false">IF(COUNTIFS('FC Calculation'!$A$5:$A$214,$A9,'FC Calculation'!$D$5:$D$214,C$5,'FC Calculation'!$T$5:$T$214,"&gt;0")=0,"",SUMIFS('FC Calculation'!$T$5:$T$214,'FC Calculation'!$A$5:$A$214,$A9,'FC Calculation'!$D$5:$D$214,C$5))</f>
        <v>3</v>
      </c>
      <c r="D9" s="31" t="n">
        <f aca="false">IF(COUNTIFS('FC Calculation'!$A$5:$A$214,$A9,'FC Calculation'!$D$5:$D$214,D$5,'FC Calculation'!$T$5:$T$214,"&gt;0")=0,"",SUMIFS('FC Calculation'!$T$5:$T$214,'FC Calculation'!$A$5:$A$214,$A9,'FC Calculation'!$D$5:$D$214,D$5))</f>
        <v>2</v>
      </c>
      <c r="E9" s="31" t="n">
        <f aca="false">IF(COUNTIFS('FC Calculation'!$A$5:$A$214,$A9,'FC Calculation'!$D$5:$D$214,E$5,'FC Calculation'!$T$5:$T$214,"&gt;0")=0,"",SUMIFS('FC Calculation'!$T$5:$T$214,'FC Calculation'!$A$5:$A$214,$A9,'FC Calculation'!$D$5:$D$214,E$5))</f>
        <v>3</v>
      </c>
      <c r="F9" s="31" t="n">
        <f aca="false">IF(COUNTIFS('FC Calculation'!$A$5:$A$214,$A9,'FC Calculation'!$D$5:$D$214,F$5,'FC Calculation'!$T$5:$T$214,"&gt;0")=0,"",SUMIFS('FC Calculation'!$T$5:$T$214,'FC Calculation'!$A$5:$A$214,$A9,'FC Calculation'!$D$5:$D$214,F$5))</f>
        <v>3</v>
      </c>
      <c r="G9" s="31" t="n">
        <f aca="false">IF(COUNTIFS('FC Calculation'!$A$5:$A$214,$A9,'FC Calculation'!$D$5:$D$214,G$5,'FC Calculation'!$T$5:$T$214,"&gt;0")=0,"",SUMIFS('FC Calculation'!$T$5:$T$214,'FC Calculation'!$A$5:$A$214,$A9,'FC Calculation'!$D$5:$D$214,G$5))</f>
        <v>3</v>
      </c>
      <c r="H9" s="31" t="n">
        <f aca="false">IF(COUNTIFS('FC Calculation'!$A$5:$A$214,$A9,'FC Calculation'!$D$5:$D$214,H$5,'FC Calculation'!$T$5:$T$214,"&gt;0")=0,"",SUMIFS('FC Calculation'!$T$5:$T$214,'FC Calculation'!$A$5:$A$214,$A9,'FC Calculation'!$D$5:$D$214,H$5))</f>
        <v>2</v>
      </c>
      <c r="I9" s="31" t="n">
        <f aca="false">IF(COUNTIFS('FC Calculation'!$A$5:$A$214,$A9,'FC Calculation'!$D$5:$D$214,I$5,'FC Calculation'!$T$5:$T$214,"&gt;0")=0,"",SUMIFS('FC Calculation'!$T$5:$T$214,'FC Calculation'!$A$5:$A$214,$A9,'FC Calculation'!$D$5:$D$214,I$5))</f>
        <v>3</v>
      </c>
      <c r="J9" s="31" t="n">
        <f aca="false">IF(COUNTIFS('LxI Assessment'!$A$5:$A$394,$A9,'LxI Assessment'!$D$5:$D$394,J$5,'LxI Assessment'!$F$5:$F$394,"N/A")&gt;0,"N/A",IF(COUNTIFS('LxI Assessment'!$A$5:$A$394,$A9,'LxI Assessment'!$D$5:$D$394,J$5,'LxI Assessment'!$S$5:$S$394,"&gt;0")=0,"",SUMIFS('LxI Assessment'!$S$5:$S$394,'LxI Assessment'!$A$5:$A$394,$A9,'LxI Assessment'!$D$5:$D$394,J$5)))</f>
        <v>3</v>
      </c>
      <c r="K9" s="31" t="n">
        <f aca="false">IF(COUNTIFS('LxI Assessment'!$A$5:$A$394,$A9,'LxI Assessment'!$D$5:$D$394,K$5,'LxI Assessment'!$F$5:$F$394,"N/A")&gt;0,"N/A",IF(COUNTIFS('LxI Assessment'!$A$5:$A$394,$A9,'LxI Assessment'!$D$5:$D$394,K$5,'LxI Assessment'!$S$5:$S$394,"&gt;0")=0,"",SUMIFS('LxI Assessment'!$S$5:$S$394,'LxI Assessment'!$A$5:$A$394,$A9,'LxI Assessment'!$D$5:$D$394,K$5)))</f>
        <v>3</v>
      </c>
      <c r="L9" s="31" t="n">
        <f aca="false">IF(COUNTIFS('LxI Assessment'!$A$5:$A$394,$A9,'LxI Assessment'!$D$5:$D$394,L$5,'LxI Assessment'!$F$5:$F$394,"N/A")&gt;0,"N/A",IF(COUNTIFS('LxI Assessment'!$A$5:$A$394,$A9,'LxI Assessment'!$D$5:$D$394,L$5,'LxI Assessment'!$S$5:$S$394,"&gt;0")=0,"",SUMIFS('LxI Assessment'!$S$5:$S$394,'LxI Assessment'!$A$5:$A$394,$A9,'LxI Assessment'!$D$5:$D$394,L$5)))</f>
        <v>4</v>
      </c>
      <c r="M9" s="31" t="str">
        <f aca="false">IF(COUNTIFS('LxI Assessment'!$A$5:$A$394,$A9,'LxI Assessment'!$D$5:$D$394,M$5,'LxI Assessment'!$F$5:$F$394,"N/A")&gt;0,"N/A",IF(COUNTIFS('LxI Assessment'!$A$5:$A$394,$A9,'LxI Assessment'!$D$5:$D$394,M$5,'LxI Assessment'!$S$5:$S$394,"&gt;0")=0,"",SUMIFS('LxI Assessment'!$S$5:$S$394,'LxI Assessment'!$A$5:$A$394,$A9,'LxI Assessment'!$D$5:$D$394,M$5)))</f>
        <v>N/A</v>
      </c>
      <c r="N9" s="31" t="n">
        <f aca="false">IF(COUNTIFS('LxI Assessment'!$A$5:$A$394,$A9,'LxI Assessment'!$D$5:$D$394,N$5,'LxI Assessment'!$F$5:$F$394,"N/A")&gt;0,"N/A",IF(COUNTIFS('LxI Assessment'!$A$5:$A$394,$A9,'LxI Assessment'!$D$5:$D$394,N$5,'LxI Assessment'!$S$5:$S$394,"&gt;0")=0,"",SUMIFS('LxI Assessment'!$S$5:$S$394,'LxI Assessment'!$A$5:$A$394,$A9,'LxI Assessment'!$D$5:$D$394,N$5)))</f>
        <v>3</v>
      </c>
      <c r="O9" s="31" t="n">
        <f aca="false">IF(COUNTIFS('LxI Assessment'!$A$5:$A$394,$A9,'LxI Assessment'!$D$5:$D$394,O$5,'LxI Assessment'!$F$5:$F$394,"N/A")&gt;0,"N/A",IF(COUNTIFS('LxI Assessment'!$A$5:$A$394,$A9,'LxI Assessment'!$D$5:$D$394,O$5,'LxI Assessment'!$S$5:$S$394,"&gt;0")=0,"",SUMIFS('LxI Assessment'!$S$5:$S$394,'LxI Assessment'!$A$5:$A$394,$A9,'LxI Assessment'!$D$5:$D$394,O$5)))</f>
        <v>3</v>
      </c>
      <c r="P9" s="31" t="n">
        <f aca="false">IF(COUNTIFS('LxI Assessment'!$A$5:$A$394,$A9,'LxI Assessment'!$D$5:$D$394,P$5,'LxI Assessment'!$F$5:$F$394,"N/A")&gt;0,"N/A",IF(COUNTIFS('LxI Assessment'!$A$5:$A$394,$A9,'LxI Assessment'!$D$5:$D$394,P$5,'LxI Assessment'!$S$5:$S$394,"&gt;0")=0,"",SUMIFS('LxI Assessment'!$S$5:$S$394,'LxI Assessment'!$A$5:$A$394,$A9,'LxI Assessment'!$D$5:$D$394,P$5)))</f>
        <v>3</v>
      </c>
      <c r="Q9" s="31" t="n">
        <f aca="false">IF(COUNTIFS('LxI Assessment'!$A$5:$A$394,$A9,'LxI Assessment'!$D$5:$D$394,Q$5,'LxI Assessment'!$F$5:$F$394,"N/A")&gt;0,"N/A",IF(COUNTIFS('LxI Assessment'!$A$5:$A$394,$A9,'LxI Assessment'!$D$5:$D$394,Q$5,'LxI Assessment'!$S$5:$S$394,"&gt;0")=0,"",SUMIFS('LxI Assessment'!$S$5:$S$394,'LxI Assessment'!$A$5:$A$394,$A9,'LxI Assessment'!$D$5:$D$394,Q$5)))</f>
        <v>3</v>
      </c>
      <c r="R9" s="31" t="n">
        <f aca="false">IF(COUNTIFS('LxI Assessment'!$A$5:$A$394,$A9,'LxI Assessment'!$D$5:$D$394,R$5,'LxI Assessment'!$F$5:$F$394,"N/A")&gt;0,"N/A",IF(COUNTIFS('LxI Assessment'!$A$5:$A$394,$A9,'LxI Assessment'!$D$5:$D$394,R$5,'LxI Assessment'!$S$5:$S$394,"&gt;0")=0,"",SUMIFS('LxI Assessment'!$S$5:$S$394,'LxI Assessment'!$A$5:$A$394,$A9,'LxI Assessment'!$D$5:$D$394,R$5)))</f>
        <v>3</v>
      </c>
      <c r="S9" s="31" t="n">
        <f aca="false">IF(COUNTIFS('LxI Assessment'!$A$5:$A$394,$A9,'LxI Assessment'!$D$5:$D$394,S$5,'LxI Assessment'!$F$5:$F$394,"N/A")&gt;0,"N/A",IF(COUNTIFS('LxI Assessment'!$A$5:$A$394,$A9,'LxI Assessment'!$D$5:$D$394,S$5,'LxI Assessment'!$S$5:$S$394,"&gt;0")=0,"",SUMIFS('LxI Assessment'!$S$5:$S$394,'LxI Assessment'!$A$5:$A$394,$A9,'LxI Assessment'!$D$5:$D$394,S$5)))</f>
        <v>3</v>
      </c>
      <c r="T9" s="31" t="n">
        <f aca="false">IF(COUNTIFS('LxI Assessment'!$A$5:$A$394,$A9,'LxI Assessment'!$D$5:$D$394,T$5,'LxI Assessment'!$F$5:$F$394,"N/A")&gt;0,"N/A",IF(COUNTIFS('LxI Assessment'!$A$5:$A$394,$A9,'LxI Assessment'!$D$5:$D$394,T$5,'LxI Assessment'!$S$5:$S$394,"&gt;0")=0,"",SUMIFS('LxI Assessment'!$S$5:$S$394,'LxI Assessment'!$A$5:$A$394,$A9,'LxI Assessment'!$D$5:$D$394,T$5)))</f>
        <v>3</v>
      </c>
      <c r="U9" s="31" t="n">
        <f aca="false">IF(COUNTIFS('LxI Assessment'!$A$5:$A$394,$A9,'LxI Assessment'!$D$5:$D$394,U$5,'LxI Assessment'!$F$5:$F$394,"N/A")&gt;0,"N/A",IF(COUNTIFS('LxI Assessment'!$A$5:$A$394,$A9,'LxI Assessment'!$D$5:$D$394,U$5,'LxI Assessment'!$S$5:$S$394,"&gt;0")=0,"",SUMIFS('LxI Assessment'!$S$5:$S$394,'LxI Assessment'!$A$5:$A$394,$A9,'LxI Assessment'!$D$5:$D$394,U$5)))</f>
        <v>3</v>
      </c>
      <c r="V9" s="31" t="n">
        <f aca="false">IF(COUNTIFS('LxI Assessment'!$A$5:$A$394,$A9,'LxI Assessment'!$D$5:$D$394,V$5,'LxI Assessment'!$F$5:$F$394,"N/A")&gt;0,"N/A",IF(COUNTIFS('LxI Assessment'!$A$5:$A$394,$A9,'LxI Assessment'!$D$5:$D$394,V$5,'LxI Assessment'!$S$5:$S$394,"&gt;0")=0,"",SUMIFS('LxI Assessment'!$S$5:$S$394,'LxI Assessment'!$A$5:$A$394,$A9,'LxI Assessment'!$D$5:$D$394,V$5)))</f>
        <v>2</v>
      </c>
      <c r="W9" s="34" t="n">
        <f aca="false">MAX(C9:V9)</f>
        <v>4</v>
      </c>
      <c r="X9" s="29" t="n">
        <f aca="false">IFERROR(AVERAGE(C9:V9),"")</f>
        <v>2.89473684210526</v>
      </c>
      <c r="Y9" s="31" t="n">
        <f aca="false">COUNTIF(C9:V9,5)</f>
        <v>0</v>
      </c>
      <c r="Z9" s="31" t="n">
        <f aca="false">COUNTIF(C9:V9,4)</f>
        <v>1</v>
      </c>
      <c r="AA9" s="7" t="str">
        <f aca="false">IF(W9=0,"",INDEX(Config!$B$5:$B$9,W9))</f>
        <v>Medium-High</v>
      </c>
    </row>
    <row r="10" customFormat="false" ht="15" hidden="false" customHeight="false" outlineLevel="0" collapsed="false">
      <c r="A10" s="26" t="str">
        <f aca="false">Entities!A9</f>
        <v>JO-LSG</v>
      </c>
      <c r="B10" s="26" t="str">
        <f aca="false">Entities!B9</f>
        <v>Leasing subsidiary – Jordan</v>
      </c>
      <c r="C10" s="31" t="n">
        <f aca="false">IF(COUNTIFS('FC Calculation'!$A$5:$A$214,$A10,'FC Calculation'!$D$5:$D$214,C$5,'FC Calculation'!$T$5:$T$214,"&gt;0")=0,"",SUMIFS('FC Calculation'!$T$5:$T$214,'FC Calculation'!$A$5:$A$214,$A10,'FC Calculation'!$D$5:$D$214,C$5))</f>
        <v>3</v>
      </c>
      <c r="D10" s="31" t="n">
        <f aca="false">IF(COUNTIFS('FC Calculation'!$A$5:$A$214,$A10,'FC Calculation'!$D$5:$D$214,D$5,'FC Calculation'!$T$5:$T$214,"&gt;0")=0,"",SUMIFS('FC Calculation'!$T$5:$T$214,'FC Calculation'!$A$5:$A$214,$A10,'FC Calculation'!$D$5:$D$214,D$5))</f>
        <v>2</v>
      </c>
      <c r="E10" s="31" t="n">
        <f aca="false">IF(COUNTIFS('FC Calculation'!$A$5:$A$214,$A10,'FC Calculation'!$D$5:$D$214,E$5,'FC Calculation'!$T$5:$T$214,"&gt;0")=0,"",SUMIFS('FC Calculation'!$T$5:$T$214,'FC Calculation'!$A$5:$A$214,$A10,'FC Calculation'!$D$5:$D$214,E$5))</f>
        <v>2</v>
      </c>
      <c r="F10" s="31" t="n">
        <f aca="false">IF(COUNTIFS('FC Calculation'!$A$5:$A$214,$A10,'FC Calculation'!$D$5:$D$214,F$5,'FC Calculation'!$T$5:$T$214,"&gt;0")=0,"",SUMIFS('FC Calculation'!$T$5:$T$214,'FC Calculation'!$A$5:$A$214,$A10,'FC Calculation'!$D$5:$D$214,F$5))</f>
        <v>3</v>
      </c>
      <c r="G10" s="31" t="n">
        <f aca="false">IF(COUNTIFS('FC Calculation'!$A$5:$A$214,$A10,'FC Calculation'!$D$5:$D$214,G$5,'FC Calculation'!$T$5:$T$214,"&gt;0")=0,"",SUMIFS('FC Calculation'!$T$5:$T$214,'FC Calculation'!$A$5:$A$214,$A10,'FC Calculation'!$D$5:$D$214,G$5))</f>
        <v>2</v>
      </c>
      <c r="H10" s="31" t="n">
        <f aca="false">IF(COUNTIFS('FC Calculation'!$A$5:$A$214,$A10,'FC Calculation'!$D$5:$D$214,H$5,'FC Calculation'!$T$5:$T$214,"&gt;0")=0,"",SUMIFS('FC Calculation'!$T$5:$T$214,'FC Calculation'!$A$5:$A$214,$A10,'FC Calculation'!$D$5:$D$214,H$5))</f>
        <v>3</v>
      </c>
      <c r="I10" s="31" t="n">
        <f aca="false">IF(COUNTIFS('FC Calculation'!$A$5:$A$214,$A10,'FC Calculation'!$D$5:$D$214,I$5,'FC Calculation'!$T$5:$T$214,"&gt;0")=0,"",SUMIFS('FC Calculation'!$T$5:$T$214,'FC Calculation'!$A$5:$A$214,$A10,'FC Calculation'!$D$5:$D$214,I$5))</f>
        <v>3</v>
      </c>
      <c r="J10" s="31" t="n">
        <f aca="false">IF(COUNTIFS('LxI Assessment'!$A$5:$A$394,$A10,'LxI Assessment'!$D$5:$D$394,J$5,'LxI Assessment'!$F$5:$F$394,"N/A")&gt;0,"N/A",IF(COUNTIFS('LxI Assessment'!$A$5:$A$394,$A10,'LxI Assessment'!$D$5:$D$394,J$5,'LxI Assessment'!$S$5:$S$394,"&gt;0")=0,"",SUMIFS('LxI Assessment'!$S$5:$S$394,'LxI Assessment'!$A$5:$A$394,$A10,'LxI Assessment'!$D$5:$D$394,J$5)))</f>
        <v>3</v>
      </c>
      <c r="K10" s="31" t="n">
        <f aca="false">IF(COUNTIFS('LxI Assessment'!$A$5:$A$394,$A10,'LxI Assessment'!$D$5:$D$394,K$5,'LxI Assessment'!$F$5:$F$394,"N/A")&gt;0,"N/A",IF(COUNTIFS('LxI Assessment'!$A$5:$A$394,$A10,'LxI Assessment'!$D$5:$D$394,K$5,'LxI Assessment'!$S$5:$S$394,"&gt;0")=0,"",SUMIFS('LxI Assessment'!$S$5:$S$394,'LxI Assessment'!$A$5:$A$394,$A10,'LxI Assessment'!$D$5:$D$394,K$5)))</f>
        <v>1</v>
      </c>
      <c r="L10" s="31" t="n">
        <f aca="false">IF(COUNTIFS('LxI Assessment'!$A$5:$A$394,$A10,'LxI Assessment'!$D$5:$D$394,L$5,'LxI Assessment'!$F$5:$F$394,"N/A")&gt;0,"N/A",IF(COUNTIFS('LxI Assessment'!$A$5:$A$394,$A10,'LxI Assessment'!$D$5:$D$394,L$5,'LxI Assessment'!$S$5:$S$394,"&gt;0")=0,"",SUMIFS('LxI Assessment'!$S$5:$S$394,'LxI Assessment'!$A$5:$A$394,$A10,'LxI Assessment'!$D$5:$D$394,L$5)))</f>
        <v>4</v>
      </c>
      <c r="M10" s="31" t="str">
        <f aca="false">IF(COUNTIFS('LxI Assessment'!$A$5:$A$394,$A10,'LxI Assessment'!$D$5:$D$394,M$5,'LxI Assessment'!$F$5:$F$394,"N/A")&gt;0,"N/A",IF(COUNTIFS('LxI Assessment'!$A$5:$A$394,$A10,'LxI Assessment'!$D$5:$D$394,M$5,'LxI Assessment'!$S$5:$S$394,"&gt;0")=0,"",SUMIFS('LxI Assessment'!$S$5:$S$394,'LxI Assessment'!$A$5:$A$394,$A10,'LxI Assessment'!$D$5:$D$394,M$5)))</f>
        <v>N/A</v>
      </c>
      <c r="N10" s="31" t="n">
        <f aca="false">IF(COUNTIFS('LxI Assessment'!$A$5:$A$394,$A10,'LxI Assessment'!$D$5:$D$394,N$5,'LxI Assessment'!$F$5:$F$394,"N/A")&gt;0,"N/A",IF(COUNTIFS('LxI Assessment'!$A$5:$A$394,$A10,'LxI Assessment'!$D$5:$D$394,N$5,'LxI Assessment'!$S$5:$S$394,"&gt;0")=0,"",SUMIFS('LxI Assessment'!$S$5:$S$394,'LxI Assessment'!$A$5:$A$394,$A10,'LxI Assessment'!$D$5:$D$394,N$5)))</f>
        <v>4</v>
      </c>
      <c r="O10" s="31" t="n">
        <f aca="false">IF(COUNTIFS('LxI Assessment'!$A$5:$A$394,$A10,'LxI Assessment'!$D$5:$D$394,O$5,'LxI Assessment'!$F$5:$F$394,"N/A")&gt;0,"N/A",IF(COUNTIFS('LxI Assessment'!$A$5:$A$394,$A10,'LxI Assessment'!$D$5:$D$394,O$5,'LxI Assessment'!$S$5:$S$394,"&gt;0")=0,"",SUMIFS('LxI Assessment'!$S$5:$S$394,'LxI Assessment'!$A$5:$A$394,$A10,'LxI Assessment'!$D$5:$D$394,O$5)))</f>
        <v>2</v>
      </c>
      <c r="P10" s="31" t="n">
        <f aca="false">IF(COUNTIFS('LxI Assessment'!$A$5:$A$394,$A10,'LxI Assessment'!$D$5:$D$394,P$5,'LxI Assessment'!$F$5:$F$394,"N/A")&gt;0,"N/A",IF(COUNTIFS('LxI Assessment'!$A$5:$A$394,$A10,'LxI Assessment'!$D$5:$D$394,P$5,'LxI Assessment'!$S$5:$S$394,"&gt;0")=0,"",SUMIFS('LxI Assessment'!$S$5:$S$394,'LxI Assessment'!$A$5:$A$394,$A10,'LxI Assessment'!$D$5:$D$394,P$5)))</f>
        <v>3</v>
      </c>
      <c r="Q10" s="31" t="n">
        <f aca="false">IF(COUNTIFS('LxI Assessment'!$A$5:$A$394,$A10,'LxI Assessment'!$D$5:$D$394,Q$5,'LxI Assessment'!$F$5:$F$394,"N/A")&gt;0,"N/A",IF(COUNTIFS('LxI Assessment'!$A$5:$A$394,$A10,'LxI Assessment'!$D$5:$D$394,Q$5,'LxI Assessment'!$S$5:$S$394,"&gt;0")=0,"",SUMIFS('LxI Assessment'!$S$5:$S$394,'LxI Assessment'!$A$5:$A$394,$A10,'LxI Assessment'!$D$5:$D$394,Q$5)))</f>
        <v>3</v>
      </c>
      <c r="R10" s="31" t="n">
        <f aca="false">IF(COUNTIFS('LxI Assessment'!$A$5:$A$394,$A10,'LxI Assessment'!$D$5:$D$394,R$5,'LxI Assessment'!$F$5:$F$394,"N/A")&gt;0,"N/A",IF(COUNTIFS('LxI Assessment'!$A$5:$A$394,$A10,'LxI Assessment'!$D$5:$D$394,R$5,'LxI Assessment'!$S$5:$S$394,"&gt;0")=0,"",SUMIFS('LxI Assessment'!$S$5:$S$394,'LxI Assessment'!$A$5:$A$394,$A10,'LxI Assessment'!$D$5:$D$394,R$5)))</f>
        <v>4</v>
      </c>
      <c r="S10" s="31" t="n">
        <f aca="false">IF(COUNTIFS('LxI Assessment'!$A$5:$A$394,$A10,'LxI Assessment'!$D$5:$D$394,S$5,'LxI Assessment'!$F$5:$F$394,"N/A")&gt;0,"N/A",IF(COUNTIFS('LxI Assessment'!$A$5:$A$394,$A10,'LxI Assessment'!$D$5:$D$394,S$5,'LxI Assessment'!$S$5:$S$394,"&gt;0")=0,"",SUMIFS('LxI Assessment'!$S$5:$S$394,'LxI Assessment'!$A$5:$A$394,$A10,'LxI Assessment'!$D$5:$D$394,S$5)))</f>
        <v>4</v>
      </c>
      <c r="T10" s="31" t="n">
        <f aca="false">IF(COUNTIFS('LxI Assessment'!$A$5:$A$394,$A10,'LxI Assessment'!$D$5:$D$394,T$5,'LxI Assessment'!$F$5:$F$394,"N/A")&gt;0,"N/A",IF(COUNTIFS('LxI Assessment'!$A$5:$A$394,$A10,'LxI Assessment'!$D$5:$D$394,T$5,'LxI Assessment'!$S$5:$S$394,"&gt;0")=0,"",SUMIFS('LxI Assessment'!$S$5:$S$394,'LxI Assessment'!$A$5:$A$394,$A10,'LxI Assessment'!$D$5:$D$394,T$5)))</f>
        <v>2</v>
      </c>
      <c r="U10" s="31" t="n">
        <f aca="false">IF(COUNTIFS('LxI Assessment'!$A$5:$A$394,$A10,'LxI Assessment'!$D$5:$D$394,U$5,'LxI Assessment'!$F$5:$F$394,"N/A")&gt;0,"N/A",IF(COUNTIFS('LxI Assessment'!$A$5:$A$394,$A10,'LxI Assessment'!$D$5:$D$394,U$5,'LxI Assessment'!$S$5:$S$394,"&gt;0")=0,"",SUMIFS('LxI Assessment'!$S$5:$S$394,'LxI Assessment'!$A$5:$A$394,$A10,'LxI Assessment'!$D$5:$D$394,U$5)))</f>
        <v>2</v>
      </c>
      <c r="V10" s="31" t="n">
        <f aca="false">IF(COUNTIFS('LxI Assessment'!$A$5:$A$394,$A10,'LxI Assessment'!$D$5:$D$394,V$5,'LxI Assessment'!$F$5:$F$394,"N/A")&gt;0,"N/A",IF(COUNTIFS('LxI Assessment'!$A$5:$A$394,$A10,'LxI Assessment'!$D$5:$D$394,V$5,'LxI Assessment'!$S$5:$S$394,"&gt;0")=0,"",SUMIFS('LxI Assessment'!$S$5:$S$394,'LxI Assessment'!$A$5:$A$394,$A10,'LxI Assessment'!$D$5:$D$394,V$5)))</f>
        <v>2</v>
      </c>
      <c r="W10" s="34" t="n">
        <f aca="false">MAX(C10:V10)</f>
        <v>4</v>
      </c>
      <c r="X10" s="29" t="n">
        <f aca="false">IFERROR(AVERAGE(C10:V10),"")</f>
        <v>2.73684210526316</v>
      </c>
      <c r="Y10" s="31" t="n">
        <f aca="false">COUNTIF(C10:V10,5)</f>
        <v>0</v>
      </c>
      <c r="Z10" s="31" t="n">
        <f aca="false">COUNTIF(C10:V10,4)</f>
        <v>4</v>
      </c>
      <c r="AA10" s="7" t="str">
        <f aca="false">IF(W10=0,"",INDEX(Config!$B$5:$B$9,W10))</f>
        <v>Medium-High</v>
      </c>
    </row>
    <row r="11" customFormat="false" ht="15" hidden="false" customHeight="false" outlineLevel="0" collapsed="false">
      <c r="A11" s="26" t="str">
        <f aca="false">Entities!A10</f>
        <v>PS</v>
      </c>
      <c r="B11" s="26" t="str">
        <f aca="false">Entities!B10</f>
        <v>Arab Bank – Palestine</v>
      </c>
      <c r="C11" s="31" t="n">
        <f aca="false">IF(COUNTIFS('FC Calculation'!$A$5:$A$214,$A11,'FC Calculation'!$D$5:$D$214,C$5,'FC Calculation'!$T$5:$T$214,"&gt;0")=0,"",SUMIFS('FC Calculation'!$T$5:$T$214,'FC Calculation'!$A$5:$A$214,$A11,'FC Calculation'!$D$5:$D$214,C$5))</f>
        <v>4</v>
      </c>
      <c r="D11" s="31" t="n">
        <f aca="false">IF(COUNTIFS('FC Calculation'!$A$5:$A$214,$A11,'FC Calculation'!$D$5:$D$214,D$5,'FC Calculation'!$T$5:$T$214,"&gt;0")=0,"",SUMIFS('FC Calculation'!$T$5:$T$214,'FC Calculation'!$A$5:$A$214,$A11,'FC Calculation'!$D$5:$D$214,D$5))</f>
        <v>4</v>
      </c>
      <c r="E11" s="31" t="n">
        <f aca="false">IF(COUNTIFS('FC Calculation'!$A$5:$A$214,$A11,'FC Calculation'!$D$5:$D$214,E$5,'FC Calculation'!$T$5:$T$214,"&gt;0")=0,"",SUMIFS('FC Calculation'!$T$5:$T$214,'FC Calculation'!$A$5:$A$214,$A11,'FC Calculation'!$D$5:$D$214,E$5))</f>
        <v>4</v>
      </c>
      <c r="F11" s="31" t="n">
        <f aca="false">IF(COUNTIFS('FC Calculation'!$A$5:$A$214,$A11,'FC Calculation'!$D$5:$D$214,F$5,'FC Calculation'!$T$5:$T$214,"&gt;0")=0,"",SUMIFS('FC Calculation'!$T$5:$T$214,'FC Calculation'!$A$5:$A$214,$A11,'FC Calculation'!$D$5:$D$214,F$5))</f>
        <v>4</v>
      </c>
      <c r="G11" s="31" t="n">
        <f aca="false">IF(COUNTIFS('FC Calculation'!$A$5:$A$214,$A11,'FC Calculation'!$D$5:$D$214,G$5,'FC Calculation'!$T$5:$T$214,"&gt;0")=0,"",SUMIFS('FC Calculation'!$T$5:$T$214,'FC Calculation'!$A$5:$A$214,$A11,'FC Calculation'!$D$5:$D$214,G$5))</f>
        <v>4</v>
      </c>
      <c r="H11" s="31" t="n">
        <f aca="false">IF(COUNTIFS('FC Calculation'!$A$5:$A$214,$A11,'FC Calculation'!$D$5:$D$214,H$5,'FC Calculation'!$T$5:$T$214,"&gt;0")=0,"",SUMIFS('FC Calculation'!$T$5:$T$214,'FC Calculation'!$A$5:$A$214,$A11,'FC Calculation'!$D$5:$D$214,H$5))</f>
        <v>4</v>
      </c>
      <c r="I11" s="31" t="n">
        <f aca="false">IF(COUNTIFS('FC Calculation'!$A$5:$A$214,$A11,'FC Calculation'!$D$5:$D$214,I$5,'FC Calculation'!$T$5:$T$214,"&gt;0")=0,"",SUMIFS('FC Calculation'!$T$5:$T$214,'FC Calculation'!$A$5:$A$214,$A11,'FC Calculation'!$D$5:$D$214,I$5))</f>
        <v>4</v>
      </c>
      <c r="J11" s="31" t="n">
        <f aca="false">IF(COUNTIFS('LxI Assessment'!$A$5:$A$394,$A11,'LxI Assessment'!$D$5:$D$394,J$5,'LxI Assessment'!$F$5:$F$394,"N/A")&gt;0,"N/A",IF(COUNTIFS('LxI Assessment'!$A$5:$A$394,$A11,'LxI Assessment'!$D$5:$D$394,J$5,'LxI Assessment'!$S$5:$S$394,"&gt;0")=0,"",SUMIFS('LxI Assessment'!$S$5:$S$394,'LxI Assessment'!$A$5:$A$394,$A11,'LxI Assessment'!$D$5:$D$394,J$5)))</f>
        <v>5</v>
      </c>
      <c r="K11" s="31" t="n">
        <f aca="false">IF(COUNTIFS('LxI Assessment'!$A$5:$A$394,$A11,'LxI Assessment'!$D$5:$D$394,K$5,'LxI Assessment'!$F$5:$F$394,"N/A")&gt;0,"N/A",IF(COUNTIFS('LxI Assessment'!$A$5:$A$394,$A11,'LxI Assessment'!$D$5:$D$394,K$5,'LxI Assessment'!$S$5:$S$394,"&gt;0")=0,"",SUMIFS('LxI Assessment'!$S$5:$S$394,'LxI Assessment'!$A$5:$A$394,$A11,'LxI Assessment'!$D$5:$D$394,K$5)))</f>
        <v>2</v>
      </c>
      <c r="L11" s="31" t="n">
        <f aca="false">IF(COUNTIFS('LxI Assessment'!$A$5:$A$394,$A11,'LxI Assessment'!$D$5:$D$394,L$5,'LxI Assessment'!$F$5:$F$394,"N/A")&gt;0,"N/A",IF(COUNTIFS('LxI Assessment'!$A$5:$A$394,$A11,'LxI Assessment'!$D$5:$D$394,L$5,'LxI Assessment'!$S$5:$S$394,"&gt;0")=0,"",SUMIFS('LxI Assessment'!$S$5:$S$394,'LxI Assessment'!$A$5:$A$394,$A11,'LxI Assessment'!$D$5:$D$394,L$5)))</f>
        <v>4</v>
      </c>
      <c r="M11" s="31" t="str">
        <f aca="false">IF(COUNTIFS('LxI Assessment'!$A$5:$A$394,$A11,'LxI Assessment'!$D$5:$D$394,M$5,'LxI Assessment'!$F$5:$F$394,"N/A")&gt;0,"N/A",IF(COUNTIFS('LxI Assessment'!$A$5:$A$394,$A11,'LxI Assessment'!$D$5:$D$394,M$5,'LxI Assessment'!$S$5:$S$394,"&gt;0")=0,"",SUMIFS('LxI Assessment'!$S$5:$S$394,'LxI Assessment'!$A$5:$A$394,$A11,'LxI Assessment'!$D$5:$D$394,M$5)))</f>
        <v>N/A</v>
      </c>
      <c r="N11" s="31" t="n">
        <f aca="false">IF(COUNTIFS('LxI Assessment'!$A$5:$A$394,$A11,'LxI Assessment'!$D$5:$D$394,N$5,'LxI Assessment'!$F$5:$F$394,"N/A")&gt;0,"N/A",IF(COUNTIFS('LxI Assessment'!$A$5:$A$394,$A11,'LxI Assessment'!$D$5:$D$394,N$5,'LxI Assessment'!$S$5:$S$394,"&gt;0")=0,"",SUMIFS('LxI Assessment'!$S$5:$S$394,'LxI Assessment'!$A$5:$A$394,$A11,'LxI Assessment'!$D$5:$D$394,N$5)))</f>
        <v>5</v>
      </c>
      <c r="O11" s="31" t="n">
        <f aca="false">IF(COUNTIFS('LxI Assessment'!$A$5:$A$394,$A11,'LxI Assessment'!$D$5:$D$394,O$5,'LxI Assessment'!$F$5:$F$394,"N/A")&gt;0,"N/A",IF(COUNTIFS('LxI Assessment'!$A$5:$A$394,$A11,'LxI Assessment'!$D$5:$D$394,O$5,'LxI Assessment'!$S$5:$S$394,"&gt;0")=0,"",SUMIFS('LxI Assessment'!$S$5:$S$394,'LxI Assessment'!$A$5:$A$394,$A11,'LxI Assessment'!$D$5:$D$394,O$5)))</f>
        <v>4</v>
      </c>
      <c r="P11" s="31" t="n">
        <f aca="false">IF(COUNTIFS('LxI Assessment'!$A$5:$A$394,$A11,'LxI Assessment'!$D$5:$D$394,P$5,'LxI Assessment'!$F$5:$F$394,"N/A")&gt;0,"N/A",IF(COUNTIFS('LxI Assessment'!$A$5:$A$394,$A11,'LxI Assessment'!$D$5:$D$394,P$5,'LxI Assessment'!$S$5:$S$394,"&gt;0")=0,"",SUMIFS('LxI Assessment'!$S$5:$S$394,'LxI Assessment'!$A$5:$A$394,$A11,'LxI Assessment'!$D$5:$D$394,P$5)))</f>
        <v>5</v>
      </c>
      <c r="Q11" s="31" t="n">
        <f aca="false">IF(COUNTIFS('LxI Assessment'!$A$5:$A$394,$A11,'LxI Assessment'!$D$5:$D$394,Q$5,'LxI Assessment'!$F$5:$F$394,"N/A")&gt;0,"N/A",IF(COUNTIFS('LxI Assessment'!$A$5:$A$394,$A11,'LxI Assessment'!$D$5:$D$394,Q$5,'LxI Assessment'!$S$5:$S$394,"&gt;0")=0,"",SUMIFS('LxI Assessment'!$S$5:$S$394,'LxI Assessment'!$A$5:$A$394,$A11,'LxI Assessment'!$D$5:$D$394,Q$5)))</f>
        <v>4</v>
      </c>
      <c r="R11" s="31" t="n">
        <f aca="false">IF(COUNTIFS('LxI Assessment'!$A$5:$A$394,$A11,'LxI Assessment'!$D$5:$D$394,R$5,'LxI Assessment'!$F$5:$F$394,"N/A")&gt;0,"N/A",IF(COUNTIFS('LxI Assessment'!$A$5:$A$394,$A11,'LxI Assessment'!$D$5:$D$394,R$5,'LxI Assessment'!$S$5:$S$394,"&gt;0")=0,"",SUMIFS('LxI Assessment'!$S$5:$S$394,'LxI Assessment'!$A$5:$A$394,$A11,'LxI Assessment'!$D$5:$D$394,R$5)))</f>
        <v>5</v>
      </c>
      <c r="S11" s="31" t="n">
        <f aca="false">IF(COUNTIFS('LxI Assessment'!$A$5:$A$394,$A11,'LxI Assessment'!$D$5:$D$394,S$5,'LxI Assessment'!$F$5:$F$394,"N/A")&gt;0,"N/A",IF(COUNTIFS('LxI Assessment'!$A$5:$A$394,$A11,'LxI Assessment'!$D$5:$D$394,S$5,'LxI Assessment'!$S$5:$S$394,"&gt;0")=0,"",SUMIFS('LxI Assessment'!$S$5:$S$394,'LxI Assessment'!$A$5:$A$394,$A11,'LxI Assessment'!$D$5:$D$394,S$5)))</f>
        <v>4</v>
      </c>
      <c r="T11" s="31" t="n">
        <f aca="false">IF(COUNTIFS('LxI Assessment'!$A$5:$A$394,$A11,'LxI Assessment'!$D$5:$D$394,T$5,'LxI Assessment'!$F$5:$F$394,"N/A")&gt;0,"N/A",IF(COUNTIFS('LxI Assessment'!$A$5:$A$394,$A11,'LxI Assessment'!$D$5:$D$394,T$5,'LxI Assessment'!$S$5:$S$394,"&gt;0")=0,"",SUMIFS('LxI Assessment'!$S$5:$S$394,'LxI Assessment'!$A$5:$A$394,$A11,'LxI Assessment'!$D$5:$D$394,T$5)))</f>
        <v>5</v>
      </c>
      <c r="U11" s="31" t="n">
        <f aca="false">IF(COUNTIFS('LxI Assessment'!$A$5:$A$394,$A11,'LxI Assessment'!$D$5:$D$394,U$5,'LxI Assessment'!$F$5:$F$394,"N/A")&gt;0,"N/A",IF(COUNTIFS('LxI Assessment'!$A$5:$A$394,$A11,'LxI Assessment'!$D$5:$D$394,U$5,'LxI Assessment'!$S$5:$S$394,"&gt;0")=0,"",SUMIFS('LxI Assessment'!$S$5:$S$394,'LxI Assessment'!$A$5:$A$394,$A11,'LxI Assessment'!$D$5:$D$394,U$5)))</f>
        <v>4</v>
      </c>
      <c r="V11" s="31" t="n">
        <f aca="false">IF(COUNTIFS('LxI Assessment'!$A$5:$A$394,$A11,'LxI Assessment'!$D$5:$D$394,V$5,'LxI Assessment'!$F$5:$F$394,"N/A")&gt;0,"N/A",IF(COUNTIFS('LxI Assessment'!$A$5:$A$394,$A11,'LxI Assessment'!$D$5:$D$394,V$5,'LxI Assessment'!$S$5:$S$394,"&gt;0")=0,"",SUMIFS('LxI Assessment'!$S$5:$S$394,'LxI Assessment'!$A$5:$A$394,$A11,'LxI Assessment'!$D$5:$D$394,V$5)))</f>
        <v>5</v>
      </c>
      <c r="W11" s="34" t="n">
        <f aca="false">MAX(C11:V11)</f>
        <v>5</v>
      </c>
      <c r="X11" s="29" t="n">
        <f aca="false">IFERROR(AVERAGE(C11:V11),"")</f>
        <v>4.21052631578947</v>
      </c>
      <c r="Y11" s="31" t="n">
        <f aca="false">COUNTIF(C11:V11,5)</f>
        <v>6</v>
      </c>
      <c r="Z11" s="31" t="n">
        <f aca="false">COUNTIF(C11:V11,4)</f>
        <v>12</v>
      </c>
      <c r="AA11" s="7" t="str">
        <f aca="false">IF(W11=0,"",INDEX(Config!$B$5:$B$9,W11))</f>
        <v>High</v>
      </c>
    </row>
    <row r="12" customFormat="false" ht="15" hidden="false" customHeight="false" outlineLevel="0" collapsed="false">
      <c r="A12" s="26" t="str">
        <f aca="false">Entities!A11</f>
        <v>PS-INV</v>
      </c>
      <c r="B12" s="26" t="str">
        <f aca="false">Entities!B11</f>
        <v>Al-Arabi Investment Group – Palestine</v>
      </c>
      <c r="C12" s="31" t="n">
        <f aca="false">IF(COUNTIFS('FC Calculation'!$A$5:$A$214,$A12,'FC Calculation'!$D$5:$D$214,C$5,'FC Calculation'!$T$5:$T$214,"&gt;0")=0,"",SUMIFS('FC Calculation'!$T$5:$T$214,'FC Calculation'!$A$5:$A$214,$A12,'FC Calculation'!$D$5:$D$214,C$5))</f>
        <v>4</v>
      </c>
      <c r="D12" s="31" t="n">
        <f aca="false">IF(COUNTIFS('FC Calculation'!$A$5:$A$214,$A12,'FC Calculation'!$D$5:$D$214,D$5,'FC Calculation'!$T$5:$T$214,"&gt;0")=0,"",SUMIFS('FC Calculation'!$T$5:$T$214,'FC Calculation'!$A$5:$A$214,$A12,'FC Calculation'!$D$5:$D$214,D$5))</f>
        <v>3</v>
      </c>
      <c r="E12" s="31" t="n">
        <f aca="false">IF(COUNTIFS('FC Calculation'!$A$5:$A$214,$A12,'FC Calculation'!$D$5:$D$214,E$5,'FC Calculation'!$T$5:$T$214,"&gt;0")=0,"",SUMIFS('FC Calculation'!$T$5:$T$214,'FC Calculation'!$A$5:$A$214,$A12,'FC Calculation'!$D$5:$D$214,E$5))</f>
        <v>3</v>
      </c>
      <c r="F12" s="31" t="n">
        <f aca="false">IF(COUNTIFS('FC Calculation'!$A$5:$A$214,$A12,'FC Calculation'!$D$5:$D$214,F$5,'FC Calculation'!$T$5:$T$214,"&gt;0")=0,"",SUMIFS('FC Calculation'!$T$5:$T$214,'FC Calculation'!$A$5:$A$214,$A12,'FC Calculation'!$D$5:$D$214,F$5))</f>
        <v>3</v>
      </c>
      <c r="G12" s="31" t="n">
        <f aca="false">IF(COUNTIFS('FC Calculation'!$A$5:$A$214,$A12,'FC Calculation'!$D$5:$D$214,G$5,'FC Calculation'!$T$5:$T$214,"&gt;0")=0,"",SUMIFS('FC Calculation'!$T$5:$T$214,'FC Calculation'!$A$5:$A$214,$A12,'FC Calculation'!$D$5:$D$214,G$5))</f>
        <v>4</v>
      </c>
      <c r="H12" s="31" t="n">
        <f aca="false">IF(COUNTIFS('FC Calculation'!$A$5:$A$214,$A12,'FC Calculation'!$D$5:$D$214,H$5,'FC Calculation'!$T$5:$T$214,"&gt;0")=0,"",SUMIFS('FC Calculation'!$T$5:$T$214,'FC Calculation'!$A$5:$A$214,$A12,'FC Calculation'!$D$5:$D$214,H$5))</f>
        <v>3</v>
      </c>
      <c r="I12" s="31" t="n">
        <f aca="false">IF(COUNTIFS('FC Calculation'!$A$5:$A$214,$A12,'FC Calculation'!$D$5:$D$214,I$5,'FC Calculation'!$T$5:$T$214,"&gt;0")=0,"",SUMIFS('FC Calculation'!$T$5:$T$214,'FC Calculation'!$A$5:$A$214,$A12,'FC Calculation'!$D$5:$D$214,I$5))</f>
        <v>4</v>
      </c>
      <c r="J12" s="31" t="n">
        <f aca="false">IF(COUNTIFS('LxI Assessment'!$A$5:$A$394,$A12,'LxI Assessment'!$D$5:$D$394,J$5,'LxI Assessment'!$F$5:$F$394,"N/A")&gt;0,"N/A",IF(COUNTIFS('LxI Assessment'!$A$5:$A$394,$A12,'LxI Assessment'!$D$5:$D$394,J$5,'LxI Assessment'!$S$5:$S$394,"&gt;0")=0,"",SUMIFS('LxI Assessment'!$S$5:$S$394,'LxI Assessment'!$A$5:$A$394,$A12,'LxI Assessment'!$D$5:$D$394,J$5)))</f>
        <v>5</v>
      </c>
      <c r="K12" s="31" t="n">
        <f aca="false">IF(COUNTIFS('LxI Assessment'!$A$5:$A$394,$A12,'LxI Assessment'!$D$5:$D$394,K$5,'LxI Assessment'!$F$5:$F$394,"N/A")&gt;0,"N/A",IF(COUNTIFS('LxI Assessment'!$A$5:$A$394,$A12,'LxI Assessment'!$D$5:$D$394,K$5,'LxI Assessment'!$S$5:$S$394,"&gt;0")=0,"",SUMIFS('LxI Assessment'!$S$5:$S$394,'LxI Assessment'!$A$5:$A$394,$A12,'LxI Assessment'!$D$5:$D$394,K$5)))</f>
        <v>5</v>
      </c>
      <c r="L12" s="31" t="n">
        <f aca="false">IF(COUNTIFS('LxI Assessment'!$A$5:$A$394,$A12,'LxI Assessment'!$D$5:$D$394,L$5,'LxI Assessment'!$F$5:$F$394,"N/A")&gt;0,"N/A",IF(COUNTIFS('LxI Assessment'!$A$5:$A$394,$A12,'LxI Assessment'!$D$5:$D$394,L$5,'LxI Assessment'!$S$5:$S$394,"&gt;0")=0,"",SUMIFS('LxI Assessment'!$S$5:$S$394,'LxI Assessment'!$A$5:$A$394,$A12,'LxI Assessment'!$D$5:$D$394,L$5)))</f>
        <v>4</v>
      </c>
      <c r="M12" s="31" t="str">
        <f aca="false">IF(COUNTIFS('LxI Assessment'!$A$5:$A$394,$A12,'LxI Assessment'!$D$5:$D$394,M$5,'LxI Assessment'!$F$5:$F$394,"N/A")&gt;0,"N/A",IF(COUNTIFS('LxI Assessment'!$A$5:$A$394,$A12,'LxI Assessment'!$D$5:$D$394,M$5,'LxI Assessment'!$S$5:$S$394,"&gt;0")=0,"",SUMIFS('LxI Assessment'!$S$5:$S$394,'LxI Assessment'!$A$5:$A$394,$A12,'LxI Assessment'!$D$5:$D$394,M$5)))</f>
        <v>N/A</v>
      </c>
      <c r="N12" s="31" t="n">
        <f aca="false">IF(COUNTIFS('LxI Assessment'!$A$5:$A$394,$A12,'LxI Assessment'!$D$5:$D$394,N$5,'LxI Assessment'!$F$5:$F$394,"N/A")&gt;0,"N/A",IF(COUNTIFS('LxI Assessment'!$A$5:$A$394,$A12,'LxI Assessment'!$D$5:$D$394,N$5,'LxI Assessment'!$S$5:$S$394,"&gt;0")=0,"",SUMIFS('LxI Assessment'!$S$5:$S$394,'LxI Assessment'!$A$5:$A$394,$A12,'LxI Assessment'!$D$5:$D$394,N$5)))</f>
        <v>5</v>
      </c>
      <c r="O12" s="31" t="n">
        <f aca="false">IF(COUNTIFS('LxI Assessment'!$A$5:$A$394,$A12,'LxI Assessment'!$D$5:$D$394,O$5,'LxI Assessment'!$F$5:$F$394,"N/A")&gt;0,"N/A",IF(COUNTIFS('LxI Assessment'!$A$5:$A$394,$A12,'LxI Assessment'!$D$5:$D$394,O$5,'LxI Assessment'!$S$5:$S$394,"&gt;0")=0,"",SUMIFS('LxI Assessment'!$S$5:$S$394,'LxI Assessment'!$A$5:$A$394,$A12,'LxI Assessment'!$D$5:$D$394,O$5)))</f>
        <v>4</v>
      </c>
      <c r="P12" s="31" t="n">
        <f aca="false">IF(COUNTIFS('LxI Assessment'!$A$5:$A$394,$A12,'LxI Assessment'!$D$5:$D$394,P$5,'LxI Assessment'!$F$5:$F$394,"N/A")&gt;0,"N/A",IF(COUNTIFS('LxI Assessment'!$A$5:$A$394,$A12,'LxI Assessment'!$D$5:$D$394,P$5,'LxI Assessment'!$S$5:$S$394,"&gt;0")=0,"",SUMIFS('LxI Assessment'!$S$5:$S$394,'LxI Assessment'!$A$5:$A$394,$A12,'LxI Assessment'!$D$5:$D$394,P$5)))</f>
        <v>3</v>
      </c>
      <c r="Q12" s="31" t="n">
        <f aca="false">IF(COUNTIFS('LxI Assessment'!$A$5:$A$394,$A12,'LxI Assessment'!$D$5:$D$394,Q$5,'LxI Assessment'!$F$5:$F$394,"N/A")&gt;0,"N/A",IF(COUNTIFS('LxI Assessment'!$A$5:$A$394,$A12,'LxI Assessment'!$D$5:$D$394,Q$5,'LxI Assessment'!$S$5:$S$394,"&gt;0")=0,"",SUMIFS('LxI Assessment'!$S$5:$S$394,'LxI Assessment'!$A$5:$A$394,$A12,'LxI Assessment'!$D$5:$D$394,Q$5)))</f>
        <v>5</v>
      </c>
      <c r="R12" s="31" t="n">
        <f aca="false">IF(COUNTIFS('LxI Assessment'!$A$5:$A$394,$A12,'LxI Assessment'!$D$5:$D$394,R$5,'LxI Assessment'!$F$5:$F$394,"N/A")&gt;0,"N/A",IF(COUNTIFS('LxI Assessment'!$A$5:$A$394,$A12,'LxI Assessment'!$D$5:$D$394,R$5,'LxI Assessment'!$S$5:$S$394,"&gt;0")=0,"",SUMIFS('LxI Assessment'!$S$5:$S$394,'LxI Assessment'!$A$5:$A$394,$A12,'LxI Assessment'!$D$5:$D$394,R$5)))</f>
        <v>5</v>
      </c>
      <c r="S12" s="31" t="n">
        <f aca="false">IF(COUNTIFS('LxI Assessment'!$A$5:$A$394,$A12,'LxI Assessment'!$D$5:$D$394,S$5,'LxI Assessment'!$F$5:$F$394,"N/A")&gt;0,"N/A",IF(COUNTIFS('LxI Assessment'!$A$5:$A$394,$A12,'LxI Assessment'!$D$5:$D$394,S$5,'LxI Assessment'!$S$5:$S$394,"&gt;0")=0,"",SUMIFS('LxI Assessment'!$S$5:$S$394,'LxI Assessment'!$A$5:$A$394,$A12,'LxI Assessment'!$D$5:$D$394,S$5)))</f>
        <v>5</v>
      </c>
      <c r="T12" s="31" t="n">
        <f aca="false">IF(COUNTIFS('LxI Assessment'!$A$5:$A$394,$A12,'LxI Assessment'!$D$5:$D$394,T$5,'LxI Assessment'!$F$5:$F$394,"N/A")&gt;0,"N/A",IF(COUNTIFS('LxI Assessment'!$A$5:$A$394,$A12,'LxI Assessment'!$D$5:$D$394,T$5,'LxI Assessment'!$S$5:$S$394,"&gt;0")=0,"",SUMIFS('LxI Assessment'!$S$5:$S$394,'LxI Assessment'!$A$5:$A$394,$A12,'LxI Assessment'!$D$5:$D$394,T$5)))</f>
        <v>4</v>
      </c>
      <c r="U12" s="31" t="n">
        <f aca="false">IF(COUNTIFS('LxI Assessment'!$A$5:$A$394,$A12,'LxI Assessment'!$D$5:$D$394,U$5,'LxI Assessment'!$F$5:$F$394,"N/A")&gt;0,"N/A",IF(COUNTIFS('LxI Assessment'!$A$5:$A$394,$A12,'LxI Assessment'!$D$5:$D$394,U$5,'LxI Assessment'!$S$5:$S$394,"&gt;0")=0,"",SUMIFS('LxI Assessment'!$S$5:$S$394,'LxI Assessment'!$A$5:$A$394,$A12,'LxI Assessment'!$D$5:$D$394,U$5)))</f>
        <v>4</v>
      </c>
      <c r="V12" s="31" t="n">
        <f aca="false">IF(COUNTIFS('LxI Assessment'!$A$5:$A$394,$A12,'LxI Assessment'!$D$5:$D$394,V$5,'LxI Assessment'!$F$5:$F$394,"N/A")&gt;0,"N/A",IF(COUNTIFS('LxI Assessment'!$A$5:$A$394,$A12,'LxI Assessment'!$D$5:$D$394,V$5,'LxI Assessment'!$S$5:$S$394,"&gt;0")=0,"",SUMIFS('LxI Assessment'!$S$5:$S$394,'LxI Assessment'!$A$5:$A$394,$A12,'LxI Assessment'!$D$5:$D$394,V$5)))</f>
        <v>5</v>
      </c>
      <c r="W12" s="34" t="n">
        <f aca="false">MAX(C12:V12)</f>
        <v>5</v>
      </c>
      <c r="X12" s="29" t="n">
        <f aca="false">IFERROR(AVERAGE(C12:V12),"")</f>
        <v>4.10526315789474</v>
      </c>
      <c r="Y12" s="31" t="n">
        <f aca="false">COUNTIF(C12:V12,5)</f>
        <v>7</v>
      </c>
      <c r="Z12" s="31" t="n">
        <f aca="false">COUNTIF(C12:V12,4)</f>
        <v>7</v>
      </c>
      <c r="AA12" s="7" t="str">
        <f aca="false">IF(W12=0,"",INDEX(Config!$B$5:$B$9,W12))</f>
        <v>High</v>
      </c>
    </row>
    <row r="13" customFormat="false" ht="15" hidden="false" customHeight="false" outlineLevel="0" collapsed="false">
      <c r="A13" s="26" t="str">
        <f aca="false">Entities!A12</f>
        <v>LB</v>
      </c>
      <c r="B13" s="26" t="str">
        <f aca="false">Entities!B12</f>
        <v>Arab Bank – Lebanon</v>
      </c>
      <c r="C13" s="31" t="n">
        <f aca="false">IF(COUNTIFS('FC Calculation'!$A$5:$A$214,$A13,'FC Calculation'!$D$5:$D$214,C$5,'FC Calculation'!$T$5:$T$214,"&gt;0")=0,"",SUMIFS('FC Calculation'!$T$5:$T$214,'FC Calculation'!$A$5:$A$214,$A13,'FC Calculation'!$D$5:$D$214,C$5))</f>
        <v>4</v>
      </c>
      <c r="D13" s="31" t="n">
        <f aca="false">IF(COUNTIFS('FC Calculation'!$A$5:$A$214,$A13,'FC Calculation'!$D$5:$D$214,D$5,'FC Calculation'!$T$5:$T$214,"&gt;0")=0,"",SUMIFS('FC Calculation'!$T$5:$T$214,'FC Calculation'!$A$5:$A$214,$A13,'FC Calculation'!$D$5:$D$214,D$5))</f>
        <v>4</v>
      </c>
      <c r="E13" s="31" t="n">
        <f aca="false">IF(COUNTIFS('FC Calculation'!$A$5:$A$214,$A13,'FC Calculation'!$D$5:$D$214,E$5,'FC Calculation'!$T$5:$T$214,"&gt;0")=0,"",SUMIFS('FC Calculation'!$T$5:$T$214,'FC Calculation'!$A$5:$A$214,$A13,'FC Calculation'!$D$5:$D$214,E$5))</f>
        <v>4</v>
      </c>
      <c r="F13" s="31" t="n">
        <f aca="false">IF(COUNTIFS('FC Calculation'!$A$5:$A$214,$A13,'FC Calculation'!$D$5:$D$214,F$5,'FC Calculation'!$T$5:$T$214,"&gt;0")=0,"",SUMIFS('FC Calculation'!$T$5:$T$214,'FC Calculation'!$A$5:$A$214,$A13,'FC Calculation'!$D$5:$D$214,F$5))</f>
        <v>4</v>
      </c>
      <c r="G13" s="31" t="n">
        <f aca="false">IF(COUNTIFS('FC Calculation'!$A$5:$A$214,$A13,'FC Calculation'!$D$5:$D$214,G$5,'FC Calculation'!$T$5:$T$214,"&gt;0")=0,"",SUMIFS('FC Calculation'!$T$5:$T$214,'FC Calculation'!$A$5:$A$214,$A13,'FC Calculation'!$D$5:$D$214,G$5))</f>
        <v>4</v>
      </c>
      <c r="H13" s="31" t="n">
        <f aca="false">IF(COUNTIFS('FC Calculation'!$A$5:$A$214,$A13,'FC Calculation'!$D$5:$D$214,H$5,'FC Calculation'!$T$5:$T$214,"&gt;0")=0,"",SUMIFS('FC Calculation'!$T$5:$T$214,'FC Calculation'!$A$5:$A$214,$A13,'FC Calculation'!$D$5:$D$214,H$5))</f>
        <v>4</v>
      </c>
      <c r="I13" s="31" t="n">
        <f aca="false">IF(COUNTIFS('FC Calculation'!$A$5:$A$214,$A13,'FC Calculation'!$D$5:$D$214,I$5,'FC Calculation'!$T$5:$T$214,"&gt;0")=0,"",SUMIFS('FC Calculation'!$T$5:$T$214,'FC Calculation'!$A$5:$A$214,$A13,'FC Calculation'!$D$5:$D$214,I$5))</f>
        <v>4</v>
      </c>
      <c r="J13" s="31" t="n">
        <f aca="false">IF(COUNTIFS('LxI Assessment'!$A$5:$A$394,$A13,'LxI Assessment'!$D$5:$D$394,J$5,'LxI Assessment'!$F$5:$F$394,"N/A")&gt;0,"N/A",IF(COUNTIFS('LxI Assessment'!$A$5:$A$394,$A13,'LxI Assessment'!$D$5:$D$394,J$5,'LxI Assessment'!$S$5:$S$394,"&gt;0")=0,"",SUMIFS('LxI Assessment'!$S$5:$S$394,'LxI Assessment'!$A$5:$A$394,$A13,'LxI Assessment'!$D$5:$D$394,J$5)))</f>
        <v>5</v>
      </c>
      <c r="K13" s="31" t="n">
        <f aca="false">IF(COUNTIFS('LxI Assessment'!$A$5:$A$394,$A13,'LxI Assessment'!$D$5:$D$394,K$5,'LxI Assessment'!$F$5:$F$394,"N/A")&gt;0,"N/A",IF(COUNTIFS('LxI Assessment'!$A$5:$A$394,$A13,'LxI Assessment'!$D$5:$D$394,K$5,'LxI Assessment'!$S$5:$S$394,"&gt;0")=0,"",SUMIFS('LxI Assessment'!$S$5:$S$394,'LxI Assessment'!$A$5:$A$394,$A13,'LxI Assessment'!$D$5:$D$394,K$5)))</f>
        <v>5</v>
      </c>
      <c r="L13" s="31" t="n">
        <f aca="false">IF(COUNTIFS('LxI Assessment'!$A$5:$A$394,$A13,'LxI Assessment'!$D$5:$D$394,L$5,'LxI Assessment'!$F$5:$F$394,"N/A")&gt;0,"N/A",IF(COUNTIFS('LxI Assessment'!$A$5:$A$394,$A13,'LxI Assessment'!$D$5:$D$394,L$5,'LxI Assessment'!$S$5:$S$394,"&gt;0")=0,"",SUMIFS('LxI Assessment'!$S$5:$S$394,'LxI Assessment'!$A$5:$A$394,$A13,'LxI Assessment'!$D$5:$D$394,L$5)))</f>
        <v>5</v>
      </c>
      <c r="M13" s="31" t="str">
        <f aca="false">IF(COUNTIFS('LxI Assessment'!$A$5:$A$394,$A13,'LxI Assessment'!$D$5:$D$394,M$5,'LxI Assessment'!$F$5:$F$394,"N/A")&gt;0,"N/A",IF(COUNTIFS('LxI Assessment'!$A$5:$A$394,$A13,'LxI Assessment'!$D$5:$D$394,M$5,'LxI Assessment'!$S$5:$S$394,"&gt;0")=0,"",SUMIFS('LxI Assessment'!$S$5:$S$394,'LxI Assessment'!$A$5:$A$394,$A13,'LxI Assessment'!$D$5:$D$394,M$5)))</f>
        <v>N/A</v>
      </c>
      <c r="N13" s="31" t="n">
        <f aca="false">IF(COUNTIFS('LxI Assessment'!$A$5:$A$394,$A13,'LxI Assessment'!$D$5:$D$394,N$5,'LxI Assessment'!$F$5:$F$394,"N/A")&gt;0,"N/A",IF(COUNTIFS('LxI Assessment'!$A$5:$A$394,$A13,'LxI Assessment'!$D$5:$D$394,N$5,'LxI Assessment'!$S$5:$S$394,"&gt;0")=0,"",SUMIFS('LxI Assessment'!$S$5:$S$394,'LxI Assessment'!$A$5:$A$394,$A13,'LxI Assessment'!$D$5:$D$394,N$5)))</f>
        <v>5</v>
      </c>
      <c r="O13" s="31" t="n">
        <f aca="false">IF(COUNTIFS('LxI Assessment'!$A$5:$A$394,$A13,'LxI Assessment'!$D$5:$D$394,O$5,'LxI Assessment'!$F$5:$F$394,"N/A")&gt;0,"N/A",IF(COUNTIFS('LxI Assessment'!$A$5:$A$394,$A13,'LxI Assessment'!$D$5:$D$394,O$5,'LxI Assessment'!$S$5:$S$394,"&gt;0")=0,"",SUMIFS('LxI Assessment'!$S$5:$S$394,'LxI Assessment'!$A$5:$A$394,$A13,'LxI Assessment'!$D$5:$D$394,O$5)))</f>
        <v>5</v>
      </c>
      <c r="P13" s="31" t="n">
        <f aca="false">IF(COUNTIFS('LxI Assessment'!$A$5:$A$394,$A13,'LxI Assessment'!$D$5:$D$394,P$5,'LxI Assessment'!$F$5:$F$394,"N/A")&gt;0,"N/A",IF(COUNTIFS('LxI Assessment'!$A$5:$A$394,$A13,'LxI Assessment'!$D$5:$D$394,P$5,'LxI Assessment'!$S$5:$S$394,"&gt;0")=0,"",SUMIFS('LxI Assessment'!$S$5:$S$394,'LxI Assessment'!$A$5:$A$394,$A13,'LxI Assessment'!$D$5:$D$394,P$5)))</f>
        <v>5</v>
      </c>
      <c r="Q13" s="31" t="n">
        <f aca="false">IF(COUNTIFS('LxI Assessment'!$A$5:$A$394,$A13,'LxI Assessment'!$D$5:$D$394,Q$5,'LxI Assessment'!$F$5:$F$394,"N/A")&gt;0,"N/A",IF(COUNTIFS('LxI Assessment'!$A$5:$A$394,$A13,'LxI Assessment'!$D$5:$D$394,Q$5,'LxI Assessment'!$S$5:$S$394,"&gt;0")=0,"",SUMIFS('LxI Assessment'!$S$5:$S$394,'LxI Assessment'!$A$5:$A$394,$A13,'LxI Assessment'!$D$5:$D$394,Q$5)))</f>
        <v>4</v>
      </c>
      <c r="R13" s="31" t="n">
        <f aca="false">IF(COUNTIFS('LxI Assessment'!$A$5:$A$394,$A13,'LxI Assessment'!$D$5:$D$394,R$5,'LxI Assessment'!$F$5:$F$394,"N/A")&gt;0,"N/A",IF(COUNTIFS('LxI Assessment'!$A$5:$A$394,$A13,'LxI Assessment'!$D$5:$D$394,R$5,'LxI Assessment'!$S$5:$S$394,"&gt;0")=0,"",SUMIFS('LxI Assessment'!$S$5:$S$394,'LxI Assessment'!$A$5:$A$394,$A13,'LxI Assessment'!$D$5:$D$394,R$5)))</f>
        <v>4</v>
      </c>
      <c r="S13" s="31" t="n">
        <f aca="false">IF(COUNTIFS('LxI Assessment'!$A$5:$A$394,$A13,'LxI Assessment'!$D$5:$D$394,S$5,'LxI Assessment'!$F$5:$F$394,"N/A")&gt;0,"N/A",IF(COUNTIFS('LxI Assessment'!$A$5:$A$394,$A13,'LxI Assessment'!$D$5:$D$394,S$5,'LxI Assessment'!$S$5:$S$394,"&gt;0")=0,"",SUMIFS('LxI Assessment'!$S$5:$S$394,'LxI Assessment'!$A$5:$A$394,$A13,'LxI Assessment'!$D$5:$D$394,S$5)))</f>
        <v>5</v>
      </c>
      <c r="T13" s="31" t="n">
        <f aca="false">IF(COUNTIFS('LxI Assessment'!$A$5:$A$394,$A13,'LxI Assessment'!$D$5:$D$394,T$5,'LxI Assessment'!$F$5:$F$394,"N/A")&gt;0,"N/A",IF(COUNTIFS('LxI Assessment'!$A$5:$A$394,$A13,'LxI Assessment'!$D$5:$D$394,T$5,'LxI Assessment'!$S$5:$S$394,"&gt;0")=0,"",SUMIFS('LxI Assessment'!$S$5:$S$394,'LxI Assessment'!$A$5:$A$394,$A13,'LxI Assessment'!$D$5:$D$394,T$5)))</f>
        <v>4</v>
      </c>
      <c r="U13" s="31" t="n">
        <f aca="false">IF(COUNTIFS('LxI Assessment'!$A$5:$A$394,$A13,'LxI Assessment'!$D$5:$D$394,U$5,'LxI Assessment'!$F$5:$F$394,"N/A")&gt;0,"N/A",IF(COUNTIFS('LxI Assessment'!$A$5:$A$394,$A13,'LxI Assessment'!$D$5:$D$394,U$5,'LxI Assessment'!$S$5:$S$394,"&gt;0")=0,"",SUMIFS('LxI Assessment'!$S$5:$S$394,'LxI Assessment'!$A$5:$A$394,$A13,'LxI Assessment'!$D$5:$D$394,U$5)))</f>
        <v>5</v>
      </c>
      <c r="V13" s="31" t="n">
        <f aca="false">IF(COUNTIFS('LxI Assessment'!$A$5:$A$394,$A13,'LxI Assessment'!$D$5:$D$394,V$5,'LxI Assessment'!$F$5:$F$394,"N/A")&gt;0,"N/A",IF(COUNTIFS('LxI Assessment'!$A$5:$A$394,$A13,'LxI Assessment'!$D$5:$D$394,V$5,'LxI Assessment'!$S$5:$S$394,"&gt;0")=0,"",SUMIFS('LxI Assessment'!$S$5:$S$394,'LxI Assessment'!$A$5:$A$394,$A13,'LxI Assessment'!$D$5:$D$394,V$5)))</f>
        <v>5</v>
      </c>
      <c r="W13" s="34" t="n">
        <f aca="false">MAX(C13:V13)</f>
        <v>5</v>
      </c>
      <c r="X13" s="29" t="n">
        <f aca="false">IFERROR(AVERAGE(C13:V13),"")</f>
        <v>4.47368421052632</v>
      </c>
      <c r="Y13" s="31" t="n">
        <f aca="false">COUNTIF(C13:V13,5)</f>
        <v>9</v>
      </c>
      <c r="Z13" s="31" t="n">
        <f aca="false">COUNTIF(C13:V13,4)</f>
        <v>10</v>
      </c>
      <c r="AA13" s="7" t="str">
        <f aca="false">IF(W13=0,"",INDEX(Config!$B$5:$B$9,W13))</f>
        <v>High</v>
      </c>
    </row>
    <row r="14" customFormat="false" ht="15" hidden="false" customHeight="false" outlineLevel="0" collapsed="false">
      <c r="A14" s="26" t="str">
        <f aca="false">Entities!A13</f>
        <v>SY</v>
      </c>
      <c r="B14" s="26" t="str">
        <f aca="false">Entities!B13</f>
        <v>Arab Bank – Syria</v>
      </c>
      <c r="C14" s="31" t="n">
        <f aca="false">IF(COUNTIFS('FC Calculation'!$A$5:$A$214,$A14,'FC Calculation'!$D$5:$D$214,C$5,'FC Calculation'!$T$5:$T$214,"&gt;0")=0,"",SUMIFS('FC Calculation'!$T$5:$T$214,'FC Calculation'!$A$5:$A$214,$A14,'FC Calculation'!$D$5:$D$214,C$5))</f>
        <v>4</v>
      </c>
      <c r="D14" s="31" t="n">
        <f aca="false">IF(COUNTIFS('FC Calculation'!$A$5:$A$214,$A14,'FC Calculation'!$D$5:$D$214,D$5,'FC Calculation'!$T$5:$T$214,"&gt;0")=0,"",SUMIFS('FC Calculation'!$T$5:$T$214,'FC Calculation'!$A$5:$A$214,$A14,'FC Calculation'!$D$5:$D$214,D$5))</f>
        <v>4</v>
      </c>
      <c r="E14" s="31" t="n">
        <f aca="false">IF(COUNTIFS('FC Calculation'!$A$5:$A$214,$A14,'FC Calculation'!$D$5:$D$214,E$5,'FC Calculation'!$T$5:$T$214,"&gt;0")=0,"",SUMIFS('FC Calculation'!$T$5:$T$214,'FC Calculation'!$A$5:$A$214,$A14,'FC Calculation'!$D$5:$D$214,E$5))</f>
        <v>4</v>
      </c>
      <c r="F14" s="31" t="n">
        <f aca="false">IF(COUNTIFS('FC Calculation'!$A$5:$A$214,$A14,'FC Calculation'!$D$5:$D$214,F$5,'FC Calculation'!$T$5:$T$214,"&gt;0")=0,"",SUMIFS('FC Calculation'!$T$5:$T$214,'FC Calculation'!$A$5:$A$214,$A14,'FC Calculation'!$D$5:$D$214,F$5))</f>
        <v>4</v>
      </c>
      <c r="G14" s="31" t="n">
        <f aca="false">IF(COUNTIFS('FC Calculation'!$A$5:$A$214,$A14,'FC Calculation'!$D$5:$D$214,G$5,'FC Calculation'!$T$5:$T$214,"&gt;0")=0,"",SUMIFS('FC Calculation'!$T$5:$T$214,'FC Calculation'!$A$5:$A$214,$A14,'FC Calculation'!$D$5:$D$214,G$5))</f>
        <v>4</v>
      </c>
      <c r="H14" s="31" t="n">
        <f aca="false">IF(COUNTIFS('FC Calculation'!$A$5:$A$214,$A14,'FC Calculation'!$D$5:$D$214,H$5,'FC Calculation'!$T$5:$T$214,"&gt;0")=0,"",SUMIFS('FC Calculation'!$T$5:$T$214,'FC Calculation'!$A$5:$A$214,$A14,'FC Calculation'!$D$5:$D$214,H$5))</f>
        <v>4</v>
      </c>
      <c r="I14" s="31" t="n">
        <f aca="false">IF(COUNTIFS('FC Calculation'!$A$5:$A$214,$A14,'FC Calculation'!$D$5:$D$214,I$5,'FC Calculation'!$T$5:$T$214,"&gt;0")=0,"",SUMIFS('FC Calculation'!$T$5:$T$214,'FC Calculation'!$A$5:$A$214,$A14,'FC Calculation'!$D$5:$D$214,I$5))</f>
        <v>4</v>
      </c>
      <c r="J14" s="31" t="n">
        <f aca="false">IF(COUNTIFS('LxI Assessment'!$A$5:$A$394,$A14,'LxI Assessment'!$D$5:$D$394,J$5,'LxI Assessment'!$F$5:$F$394,"N/A")&gt;0,"N/A",IF(COUNTIFS('LxI Assessment'!$A$5:$A$394,$A14,'LxI Assessment'!$D$5:$D$394,J$5,'LxI Assessment'!$S$5:$S$394,"&gt;0")=0,"",SUMIFS('LxI Assessment'!$S$5:$S$394,'LxI Assessment'!$A$5:$A$394,$A14,'LxI Assessment'!$D$5:$D$394,J$5)))</f>
        <v>5</v>
      </c>
      <c r="K14" s="31" t="n">
        <f aca="false">IF(COUNTIFS('LxI Assessment'!$A$5:$A$394,$A14,'LxI Assessment'!$D$5:$D$394,K$5,'LxI Assessment'!$F$5:$F$394,"N/A")&gt;0,"N/A",IF(COUNTIFS('LxI Assessment'!$A$5:$A$394,$A14,'LxI Assessment'!$D$5:$D$394,K$5,'LxI Assessment'!$S$5:$S$394,"&gt;0")=0,"",SUMIFS('LxI Assessment'!$S$5:$S$394,'LxI Assessment'!$A$5:$A$394,$A14,'LxI Assessment'!$D$5:$D$394,K$5)))</f>
        <v>5</v>
      </c>
      <c r="L14" s="31" t="n">
        <f aca="false">IF(COUNTIFS('LxI Assessment'!$A$5:$A$394,$A14,'LxI Assessment'!$D$5:$D$394,L$5,'LxI Assessment'!$F$5:$F$394,"N/A")&gt;0,"N/A",IF(COUNTIFS('LxI Assessment'!$A$5:$A$394,$A14,'LxI Assessment'!$D$5:$D$394,L$5,'LxI Assessment'!$S$5:$S$394,"&gt;0")=0,"",SUMIFS('LxI Assessment'!$S$5:$S$394,'LxI Assessment'!$A$5:$A$394,$A14,'LxI Assessment'!$D$5:$D$394,L$5)))</f>
        <v>3</v>
      </c>
      <c r="M14" s="31" t="str">
        <f aca="false">IF(COUNTIFS('LxI Assessment'!$A$5:$A$394,$A14,'LxI Assessment'!$D$5:$D$394,M$5,'LxI Assessment'!$F$5:$F$394,"N/A")&gt;0,"N/A",IF(COUNTIFS('LxI Assessment'!$A$5:$A$394,$A14,'LxI Assessment'!$D$5:$D$394,M$5,'LxI Assessment'!$S$5:$S$394,"&gt;0")=0,"",SUMIFS('LxI Assessment'!$S$5:$S$394,'LxI Assessment'!$A$5:$A$394,$A14,'LxI Assessment'!$D$5:$D$394,M$5)))</f>
        <v>N/A</v>
      </c>
      <c r="N14" s="31" t="n">
        <f aca="false">IF(COUNTIFS('LxI Assessment'!$A$5:$A$394,$A14,'LxI Assessment'!$D$5:$D$394,N$5,'LxI Assessment'!$F$5:$F$394,"N/A")&gt;0,"N/A",IF(COUNTIFS('LxI Assessment'!$A$5:$A$394,$A14,'LxI Assessment'!$D$5:$D$394,N$5,'LxI Assessment'!$S$5:$S$394,"&gt;0")=0,"",SUMIFS('LxI Assessment'!$S$5:$S$394,'LxI Assessment'!$A$5:$A$394,$A14,'LxI Assessment'!$D$5:$D$394,N$5)))</f>
        <v>4</v>
      </c>
      <c r="O14" s="31" t="n">
        <f aca="false">IF(COUNTIFS('LxI Assessment'!$A$5:$A$394,$A14,'LxI Assessment'!$D$5:$D$394,O$5,'LxI Assessment'!$F$5:$F$394,"N/A")&gt;0,"N/A",IF(COUNTIFS('LxI Assessment'!$A$5:$A$394,$A14,'LxI Assessment'!$D$5:$D$394,O$5,'LxI Assessment'!$S$5:$S$394,"&gt;0")=0,"",SUMIFS('LxI Assessment'!$S$5:$S$394,'LxI Assessment'!$A$5:$A$394,$A14,'LxI Assessment'!$D$5:$D$394,O$5)))</f>
        <v>4</v>
      </c>
      <c r="P14" s="31" t="n">
        <f aca="false">IF(COUNTIFS('LxI Assessment'!$A$5:$A$394,$A14,'LxI Assessment'!$D$5:$D$394,P$5,'LxI Assessment'!$F$5:$F$394,"N/A")&gt;0,"N/A",IF(COUNTIFS('LxI Assessment'!$A$5:$A$394,$A14,'LxI Assessment'!$D$5:$D$394,P$5,'LxI Assessment'!$S$5:$S$394,"&gt;0")=0,"",SUMIFS('LxI Assessment'!$S$5:$S$394,'LxI Assessment'!$A$5:$A$394,$A14,'LxI Assessment'!$D$5:$D$394,P$5)))</f>
        <v>5</v>
      </c>
      <c r="Q14" s="31" t="n">
        <f aca="false">IF(COUNTIFS('LxI Assessment'!$A$5:$A$394,$A14,'LxI Assessment'!$D$5:$D$394,Q$5,'LxI Assessment'!$F$5:$F$394,"N/A")&gt;0,"N/A",IF(COUNTIFS('LxI Assessment'!$A$5:$A$394,$A14,'LxI Assessment'!$D$5:$D$394,Q$5,'LxI Assessment'!$S$5:$S$394,"&gt;0")=0,"",SUMIFS('LxI Assessment'!$S$5:$S$394,'LxI Assessment'!$A$5:$A$394,$A14,'LxI Assessment'!$D$5:$D$394,Q$5)))</f>
        <v>5</v>
      </c>
      <c r="R14" s="31" t="n">
        <f aca="false">IF(COUNTIFS('LxI Assessment'!$A$5:$A$394,$A14,'LxI Assessment'!$D$5:$D$394,R$5,'LxI Assessment'!$F$5:$F$394,"N/A")&gt;0,"N/A",IF(COUNTIFS('LxI Assessment'!$A$5:$A$394,$A14,'LxI Assessment'!$D$5:$D$394,R$5,'LxI Assessment'!$S$5:$S$394,"&gt;0")=0,"",SUMIFS('LxI Assessment'!$S$5:$S$394,'LxI Assessment'!$A$5:$A$394,$A14,'LxI Assessment'!$D$5:$D$394,R$5)))</f>
        <v>5</v>
      </c>
      <c r="S14" s="31" t="n">
        <f aca="false">IF(COUNTIFS('LxI Assessment'!$A$5:$A$394,$A14,'LxI Assessment'!$D$5:$D$394,S$5,'LxI Assessment'!$F$5:$F$394,"N/A")&gt;0,"N/A",IF(COUNTIFS('LxI Assessment'!$A$5:$A$394,$A14,'LxI Assessment'!$D$5:$D$394,S$5,'LxI Assessment'!$S$5:$S$394,"&gt;0")=0,"",SUMIFS('LxI Assessment'!$S$5:$S$394,'LxI Assessment'!$A$5:$A$394,$A14,'LxI Assessment'!$D$5:$D$394,S$5)))</f>
        <v>5</v>
      </c>
      <c r="T14" s="31" t="n">
        <f aca="false">IF(COUNTIFS('LxI Assessment'!$A$5:$A$394,$A14,'LxI Assessment'!$D$5:$D$394,T$5,'LxI Assessment'!$F$5:$F$394,"N/A")&gt;0,"N/A",IF(COUNTIFS('LxI Assessment'!$A$5:$A$394,$A14,'LxI Assessment'!$D$5:$D$394,T$5,'LxI Assessment'!$S$5:$S$394,"&gt;0")=0,"",SUMIFS('LxI Assessment'!$S$5:$S$394,'LxI Assessment'!$A$5:$A$394,$A14,'LxI Assessment'!$D$5:$D$394,T$5)))</f>
        <v>3</v>
      </c>
      <c r="U14" s="31" t="n">
        <f aca="false">IF(COUNTIFS('LxI Assessment'!$A$5:$A$394,$A14,'LxI Assessment'!$D$5:$D$394,U$5,'LxI Assessment'!$F$5:$F$394,"N/A")&gt;0,"N/A",IF(COUNTIFS('LxI Assessment'!$A$5:$A$394,$A14,'LxI Assessment'!$D$5:$D$394,U$5,'LxI Assessment'!$S$5:$S$394,"&gt;0")=0,"",SUMIFS('LxI Assessment'!$S$5:$S$394,'LxI Assessment'!$A$5:$A$394,$A14,'LxI Assessment'!$D$5:$D$394,U$5)))</f>
        <v>4</v>
      </c>
      <c r="V14" s="31" t="n">
        <f aca="false">IF(COUNTIFS('LxI Assessment'!$A$5:$A$394,$A14,'LxI Assessment'!$D$5:$D$394,V$5,'LxI Assessment'!$F$5:$F$394,"N/A")&gt;0,"N/A",IF(COUNTIFS('LxI Assessment'!$A$5:$A$394,$A14,'LxI Assessment'!$D$5:$D$394,V$5,'LxI Assessment'!$S$5:$S$394,"&gt;0")=0,"",SUMIFS('LxI Assessment'!$S$5:$S$394,'LxI Assessment'!$A$5:$A$394,$A14,'LxI Assessment'!$D$5:$D$394,V$5)))</f>
        <v>4</v>
      </c>
      <c r="W14" s="34" t="n">
        <f aca="false">MAX(C14:V14)</f>
        <v>5</v>
      </c>
      <c r="X14" s="29" t="n">
        <f aca="false">IFERROR(AVERAGE(C14:V14),"")</f>
        <v>4.21052631578947</v>
      </c>
      <c r="Y14" s="31" t="n">
        <f aca="false">COUNTIF(C14:V14,5)</f>
        <v>6</v>
      </c>
      <c r="Z14" s="31" t="n">
        <f aca="false">COUNTIF(C14:V14,4)</f>
        <v>11</v>
      </c>
      <c r="AA14" s="7" t="str">
        <f aca="false">IF(W14=0,"",INDEX(Config!$B$5:$B$9,W14))</f>
        <v>High</v>
      </c>
    </row>
    <row r="15" customFormat="false" ht="15" hidden="false" customHeight="false" outlineLevel="0" collapsed="false">
      <c r="A15" s="26" t="str">
        <f aca="false">Entities!A14</f>
        <v>AE</v>
      </c>
      <c r="B15" s="26" t="str">
        <f aca="false">Entities!B14</f>
        <v>Arab Bank – UAE</v>
      </c>
      <c r="C15" s="31" t="n">
        <f aca="false">IF(COUNTIFS('FC Calculation'!$A$5:$A$214,$A15,'FC Calculation'!$D$5:$D$214,C$5,'FC Calculation'!$T$5:$T$214,"&gt;0")=0,"",SUMIFS('FC Calculation'!$T$5:$T$214,'FC Calculation'!$A$5:$A$214,$A15,'FC Calculation'!$D$5:$D$214,C$5))</f>
        <v>3</v>
      </c>
      <c r="D15" s="31" t="n">
        <f aca="false">IF(COUNTIFS('FC Calculation'!$A$5:$A$214,$A15,'FC Calculation'!$D$5:$D$214,D$5,'FC Calculation'!$T$5:$T$214,"&gt;0")=0,"",SUMIFS('FC Calculation'!$T$5:$T$214,'FC Calculation'!$A$5:$A$214,$A15,'FC Calculation'!$D$5:$D$214,D$5))</f>
        <v>3</v>
      </c>
      <c r="E15" s="31" t="n">
        <f aca="false">IF(COUNTIFS('FC Calculation'!$A$5:$A$214,$A15,'FC Calculation'!$D$5:$D$214,E$5,'FC Calculation'!$T$5:$T$214,"&gt;0")=0,"",SUMIFS('FC Calculation'!$T$5:$T$214,'FC Calculation'!$A$5:$A$214,$A15,'FC Calculation'!$D$5:$D$214,E$5))</f>
        <v>2</v>
      </c>
      <c r="F15" s="31" t="n">
        <f aca="false">IF(COUNTIFS('FC Calculation'!$A$5:$A$214,$A15,'FC Calculation'!$D$5:$D$214,F$5,'FC Calculation'!$T$5:$T$214,"&gt;0")=0,"",SUMIFS('FC Calculation'!$T$5:$T$214,'FC Calculation'!$A$5:$A$214,$A15,'FC Calculation'!$D$5:$D$214,F$5))</f>
        <v>3</v>
      </c>
      <c r="G15" s="31" t="n">
        <f aca="false">IF(COUNTIFS('FC Calculation'!$A$5:$A$214,$A15,'FC Calculation'!$D$5:$D$214,G$5,'FC Calculation'!$T$5:$T$214,"&gt;0")=0,"",SUMIFS('FC Calculation'!$T$5:$T$214,'FC Calculation'!$A$5:$A$214,$A15,'FC Calculation'!$D$5:$D$214,G$5))</f>
        <v>3</v>
      </c>
      <c r="H15" s="31" t="n">
        <f aca="false">IF(COUNTIFS('FC Calculation'!$A$5:$A$214,$A15,'FC Calculation'!$D$5:$D$214,H$5,'FC Calculation'!$T$5:$T$214,"&gt;0")=0,"",SUMIFS('FC Calculation'!$T$5:$T$214,'FC Calculation'!$A$5:$A$214,$A15,'FC Calculation'!$D$5:$D$214,H$5))</f>
        <v>3</v>
      </c>
      <c r="I15" s="31" t="n">
        <f aca="false">IF(COUNTIFS('FC Calculation'!$A$5:$A$214,$A15,'FC Calculation'!$D$5:$D$214,I$5,'FC Calculation'!$T$5:$T$214,"&gt;0")=0,"",SUMIFS('FC Calculation'!$T$5:$T$214,'FC Calculation'!$A$5:$A$214,$A15,'FC Calculation'!$D$5:$D$214,I$5))</f>
        <v>3</v>
      </c>
      <c r="J15" s="31" t="n">
        <f aca="false">IF(COUNTIFS('LxI Assessment'!$A$5:$A$394,$A15,'LxI Assessment'!$D$5:$D$394,J$5,'LxI Assessment'!$F$5:$F$394,"N/A")&gt;0,"N/A",IF(COUNTIFS('LxI Assessment'!$A$5:$A$394,$A15,'LxI Assessment'!$D$5:$D$394,J$5,'LxI Assessment'!$S$5:$S$394,"&gt;0")=0,"",SUMIFS('LxI Assessment'!$S$5:$S$394,'LxI Assessment'!$A$5:$A$394,$A15,'LxI Assessment'!$D$5:$D$394,J$5)))</f>
        <v>3</v>
      </c>
      <c r="K15" s="31" t="n">
        <f aca="false">IF(COUNTIFS('LxI Assessment'!$A$5:$A$394,$A15,'LxI Assessment'!$D$5:$D$394,K$5,'LxI Assessment'!$F$5:$F$394,"N/A")&gt;0,"N/A",IF(COUNTIFS('LxI Assessment'!$A$5:$A$394,$A15,'LxI Assessment'!$D$5:$D$394,K$5,'LxI Assessment'!$S$5:$S$394,"&gt;0")=0,"",SUMIFS('LxI Assessment'!$S$5:$S$394,'LxI Assessment'!$A$5:$A$394,$A15,'LxI Assessment'!$D$5:$D$394,K$5)))</f>
        <v>3</v>
      </c>
      <c r="L15" s="31" t="n">
        <f aca="false">IF(COUNTIFS('LxI Assessment'!$A$5:$A$394,$A15,'LxI Assessment'!$D$5:$D$394,L$5,'LxI Assessment'!$F$5:$F$394,"N/A")&gt;0,"N/A",IF(COUNTIFS('LxI Assessment'!$A$5:$A$394,$A15,'LxI Assessment'!$D$5:$D$394,L$5,'LxI Assessment'!$S$5:$S$394,"&gt;0")=0,"",SUMIFS('LxI Assessment'!$S$5:$S$394,'LxI Assessment'!$A$5:$A$394,$A15,'LxI Assessment'!$D$5:$D$394,L$5)))</f>
        <v>5</v>
      </c>
      <c r="M15" s="31" t="str">
        <f aca="false">IF(COUNTIFS('LxI Assessment'!$A$5:$A$394,$A15,'LxI Assessment'!$D$5:$D$394,M$5,'LxI Assessment'!$F$5:$F$394,"N/A")&gt;0,"N/A",IF(COUNTIFS('LxI Assessment'!$A$5:$A$394,$A15,'LxI Assessment'!$D$5:$D$394,M$5,'LxI Assessment'!$S$5:$S$394,"&gt;0")=0,"",SUMIFS('LxI Assessment'!$S$5:$S$394,'LxI Assessment'!$A$5:$A$394,$A15,'LxI Assessment'!$D$5:$D$394,M$5)))</f>
        <v>N/A</v>
      </c>
      <c r="N15" s="31" t="n">
        <f aca="false">IF(COUNTIFS('LxI Assessment'!$A$5:$A$394,$A15,'LxI Assessment'!$D$5:$D$394,N$5,'LxI Assessment'!$F$5:$F$394,"N/A")&gt;0,"N/A",IF(COUNTIFS('LxI Assessment'!$A$5:$A$394,$A15,'LxI Assessment'!$D$5:$D$394,N$5,'LxI Assessment'!$S$5:$S$394,"&gt;0")=0,"",SUMIFS('LxI Assessment'!$S$5:$S$394,'LxI Assessment'!$A$5:$A$394,$A15,'LxI Assessment'!$D$5:$D$394,N$5)))</f>
        <v>2</v>
      </c>
      <c r="O15" s="31" t="n">
        <f aca="false">IF(COUNTIFS('LxI Assessment'!$A$5:$A$394,$A15,'LxI Assessment'!$D$5:$D$394,O$5,'LxI Assessment'!$F$5:$F$394,"N/A")&gt;0,"N/A",IF(COUNTIFS('LxI Assessment'!$A$5:$A$394,$A15,'LxI Assessment'!$D$5:$D$394,O$5,'LxI Assessment'!$S$5:$S$394,"&gt;0")=0,"",SUMIFS('LxI Assessment'!$S$5:$S$394,'LxI Assessment'!$A$5:$A$394,$A15,'LxI Assessment'!$D$5:$D$394,O$5)))</f>
        <v>3</v>
      </c>
      <c r="P15" s="31" t="n">
        <f aca="false">IF(COUNTIFS('LxI Assessment'!$A$5:$A$394,$A15,'LxI Assessment'!$D$5:$D$394,P$5,'LxI Assessment'!$F$5:$F$394,"N/A")&gt;0,"N/A",IF(COUNTIFS('LxI Assessment'!$A$5:$A$394,$A15,'LxI Assessment'!$D$5:$D$394,P$5,'LxI Assessment'!$S$5:$S$394,"&gt;0")=0,"",SUMIFS('LxI Assessment'!$S$5:$S$394,'LxI Assessment'!$A$5:$A$394,$A15,'LxI Assessment'!$D$5:$D$394,P$5)))</f>
        <v>2</v>
      </c>
      <c r="Q15" s="31" t="n">
        <f aca="false">IF(COUNTIFS('LxI Assessment'!$A$5:$A$394,$A15,'LxI Assessment'!$D$5:$D$394,Q$5,'LxI Assessment'!$F$5:$F$394,"N/A")&gt;0,"N/A",IF(COUNTIFS('LxI Assessment'!$A$5:$A$394,$A15,'LxI Assessment'!$D$5:$D$394,Q$5,'LxI Assessment'!$S$5:$S$394,"&gt;0")=0,"",SUMIFS('LxI Assessment'!$S$5:$S$394,'LxI Assessment'!$A$5:$A$394,$A15,'LxI Assessment'!$D$5:$D$394,Q$5)))</f>
        <v>2</v>
      </c>
      <c r="R15" s="31" t="n">
        <f aca="false">IF(COUNTIFS('LxI Assessment'!$A$5:$A$394,$A15,'LxI Assessment'!$D$5:$D$394,R$5,'LxI Assessment'!$F$5:$F$394,"N/A")&gt;0,"N/A",IF(COUNTIFS('LxI Assessment'!$A$5:$A$394,$A15,'LxI Assessment'!$D$5:$D$394,R$5,'LxI Assessment'!$S$5:$S$394,"&gt;0")=0,"",SUMIFS('LxI Assessment'!$S$5:$S$394,'LxI Assessment'!$A$5:$A$394,$A15,'LxI Assessment'!$D$5:$D$394,R$5)))</f>
        <v>3</v>
      </c>
      <c r="S15" s="31" t="n">
        <f aca="false">IF(COUNTIFS('LxI Assessment'!$A$5:$A$394,$A15,'LxI Assessment'!$D$5:$D$394,S$5,'LxI Assessment'!$F$5:$F$394,"N/A")&gt;0,"N/A",IF(COUNTIFS('LxI Assessment'!$A$5:$A$394,$A15,'LxI Assessment'!$D$5:$D$394,S$5,'LxI Assessment'!$S$5:$S$394,"&gt;0")=0,"",SUMIFS('LxI Assessment'!$S$5:$S$394,'LxI Assessment'!$A$5:$A$394,$A15,'LxI Assessment'!$D$5:$D$394,S$5)))</f>
        <v>4</v>
      </c>
      <c r="T15" s="31" t="n">
        <f aca="false">IF(COUNTIFS('LxI Assessment'!$A$5:$A$394,$A15,'LxI Assessment'!$D$5:$D$394,T$5,'LxI Assessment'!$F$5:$F$394,"N/A")&gt;0,"N/A",IF(COUNTIFS('LxI Assessment'!$A$5:$A$394,$A15,'LxI Assessment'!$D$5:$D$394,T$5,'LxI Assessment'!$S$5:$S$394,"&gt;0")=0,"",SUMIFS('LxI Assessment'!$S$5:$S$394,'LxI Assessment'!$A$5:$A$394,$A15,'LxI Assessment'!$D$5:$D$394,T$5)))</f>
        <v>2</v>
      </c>
      <c r="U15" s="31" t="n">
        <f aca="false">IF(COUNTIFS('LxI Assessment'!$A$5:$A$394,$A15,'LxI Assessment'!$D$5:$D$394,U$5,'LxI Assessment'!$F$5:$F$394,"N/A")&gt;0,"N/A",IF(COUNTIFS('LxI Assessment'!$A$5:$A$394,$A15,'LxI Assessment'!$D$5:$D$394,U$5,'LxI Assessment'!$S$5:$S$394,"&gt;0")=0,"",SUMIFS('LxI Assessment'!$S$5:$S$394,'LxI Assessment'!$A$5:$A$394,$A15,'LxI Assessment'!$D$5:$D$394,U$5)))</f>
        <v>3</v>
      </c>
      <c r="V15" s="31" t="n">
        <f aca="false">IF(COUNTIFS('LxI Assessment'!$A$5:$A$394,$A15,'LxI Assessment'!$D$5:$D$394,V$5,'LxI Assessment'!$F$5:$F$394,"N/A")&gt;0,"N/A",IF(COUNTIFS('LxI Assessment'!$A$5:$A$394,$A15,'LxI Assessment'!$D$5:$D$394,V$5,'LxI Assessment'!$S$5:$S$394,"&gt;0")=0,"",SUMIFS('LxI Assessment'!$S$5:$S$394,'LxI Assessment'!$A$5:$A$394,$A15,'LxI Assessment'!$D$5:$D$394,V$5)))</f>
        <v>2</v>
      </c>
      <c r="W15" s="34" t="n">
        <f aca="false">MAX(C15:V15)</f>
        <v>5</v>
      </c>
      <c r="X15" s="29" t="n">
        <f aca="false">IFERROR(AVERAGE(C15:V15),"")</f>
        <v>2.84210526315789</v>
      </c>
      <c r="Y15" s="31" t="n">
        <f aca="false">COUNTIF(C15:V15,5)</f>
        <v>1</v>
      </c>
      <c r="Z15" s="31" t="n">
        <f aca="false">COUNTIF(C15:V15,4)</f>
        <v>1</v>
      </c>
      <c r="AA15" s="7" t="str">
        <f aca="false">IF(W15=0,"",INDEX(Config!$B$5:$B$9,W15))</f>
        <v>High</v>
      </c>
    </row>
    <row r="16" customFormat="false" ht="15" hidden="false" customHeight="false" outlineLevel="0" collapsed="false">
      <c r="A16" s="26" t="str">
        <f aca="false">Entities!A15</f>
        <v>BH</v>
      </c>
      <c r="B16" s="26" t="str">
        <f aca="false">Entities!B15</f>
        <v>Arab Bank – Bahrain</v>
      </c>
      <c r="C16" s="31" t="n">
        <f aca="false">IF(COUNTIFS('FC Calculation'!$A$5:$A$214,$A16,'FC Calculation'!$D$5:$D$214,C$5,'FC Calculation'!$T$5:$T$214,"&gt;0")=0,"",SUMIFS('FC Calculation'!$T$5:$T$214,'FC Calculation'!$A$5:$A$214,$A16,'FC Calculation'!$D$5:$D$214,C$5))</f>
        <v>3</v>
      </c>
      <c r="D16" s="31" t="n">
        <f aca="false">IF(COUNTIFS('FC Calculation'!$A$5:$A$214,$A16,'FC Calculation'!$D$5:$D$214,D$5,'FC Calculation'!$T$5:$T$214,"&gt;0")=0,"",SUMIFS('FC Calculation'!$T$5:$T$214,'FC Calculation'!$A$5:$A$214,$A16,'FC Calculation'!$D$5:$D$214,D$5))</f>
        <v>3</v>
      </c>
      <c r="E16" s="31" t="n">
        <f aca="false">IF(COUNTIFS('FC Calculation'!$A$5:$A$214,$A16,'FC Calculation'!$D$5:$D$214,E$5,'FC Calculation'!$T$5:$T$214,"&gt;0")=0,"",SUMIFS('FC Calculation'!$T$5:$T$214,'FC Calculation'!$A$5:$A$214,$A16,'FC Calculation'!$D$5:$D$214,E$5))</f>
        <v>3</v>
      </c>
      <c r="F16" s="31" t="n">
        <f aca="false">IF(COUNTIFS('FC Calculation'!$A$5:$A$214,$A16,'FC Calculation'!$D$5:$D$214,F$5,'FC Calculation'!$T$5:$T$214,"&gt;0")=0,"",SUMIFS('FC Calculation'!$T$5:$T$214,'FC Calculation'!$A$5:$A$214,$A16,'FC Calculation'!$D$5:$D$214,F$5))</f>
        <v>3</v>
      </c>
      <c r="G16" s="31" t="n">
        <f aca="false">IF(COUNTIFS('FC Calculation'!$A$5:$A$214,$A16,'FC Calculation'!$D$5:$D$214,G$5,'FC Calculation'!$T$5:$T$214,"&gt;0")=0,"",SUMIFS('FC Calculation'!$T$5:$T$214,'FC Calculation'!$A$5:$A$214,$A16,'FC Calculation'!$D$5:$D$214,G$5))</f>
        <v>3</v>
      </c>
      <c r="H16" s="31" t="n">
        <f aca="false">IF(COUNTIFS('FC Calculation'!$A$5:$A$214,$A16,'FC Calculation'!$D$5:$D$214,H$5,'FC Calculation'!$T$5:$T$214,"&gt;0")=0,"",SUMIFS('FC Calculation'!$T$5:$T$214,'FC Calculation'!$A$5:$A$214,$A16,'FC Calculation'!$D$5:$D$214,H$5))</f>
        <v>2</v>
      </c>
      <c r="I16" s="31" t="n">
        <f aca="false">IF(COUNTIFS('FC Calculation'!$A$5:$A$214,$A16,'FC Calculation'!$D$5:$D$214,I$5,'FC Calculation'!$T$5:$T$214,"&gt;0")=0,"",SUMIFS('FC Calculation'!$T$5:$T$214,'FC Calculation'!$A$5:$A$214,$A16,'FC Calculation'!$D$5:$D$214,I$5))</f>
        <v>3</v>
      </c>
      <c r="J16" s="31" t="n">
        <f aca="false">IF(COUNTIFS('LxI Assessment'!$A$5:$A$394,$A16,'LxI Assessment'!$D$5:$D$394,J$5,'LxI Assessment'!$F$5:$F$394,"N/A")&gt;0,"N/A",IF(COUNTIFS('LxI Assessment'!$A$5:$A$394,$A16,'LxI Assessment'!$D$5:$D$394,J$5,'LxI Assessment'!$S$5:$S$394,"&gt;0")=0,"",SUMIFS('LxI Assessment'!$S$5:$S$394,'LxI Assessment'!$A$5:$A$394,$A16,'LxI Assessment'!$D$5:$D$394,J$5)))</f>
        <v>3</v>
      </c>
      <c r="K16" s="31" t="n">
        <f aca="false">IF(COUNTIFS('LxI Assessment'!$A$5:$A$394,$A16,'LxI Assessment'!$D$5:$D$394,K$5,'LxI Assessment'!$F$5:$F$394,"N/A")&gt;0,"N/A",IF(COUNTIFS('LxI Assessment'!$A$5:$A$394,$A16,'LxI Assessment'!$D$5:$D$394,K$5,'LxI Assessment'!$S$5:$S$394,"&gt;0")=0,"",SUMIFS('LxI Assessment'!$S$5:$S$394,'LxI Assessment'!$A$5:$A$394,$A16,'LxI Assessment'!$D$5:$D$394,K$5)))</f>
        <v>3</v>
      </c>
      <c r="L16" s="31" t="n">
        <f aca="false">IF(COUNTIFS('LxI Assessment'!$A$5:$A$394,$A16,'LxI Assessment'!$D$5:$D$394,L$5,'LxI Assessment'!$F$5:$F$394,"N/A")&gt;0,"N/A",IF(COUNTIFS('LxI Assessment'!$A$5:$A$394,$A16,'LxI Assessment'!$D$5:$D$394,L$5,'LxI Assessment'!$S$5:$S$394,"&gt;0")=0,"",SUMIFS('LxI Assessment'!$S$5:$S$394,'LxI Assessment'!$A$5:$A$394,$A16,'LxI Assessment'!$D$5:$D$394,L$5)))</f>
        <v>3</v>
      </c>
      <c r="M16" s="31" t="str">
        <f aca="false">IF(COUNTIFS('LxI Assessment'!$A$5:$A$394,$A16,'LxI Assessment'!$D$5:$D$394,M$5,'LxI Assessment'!$F$5:$F$394,"N/A")&gt;0,"N/A",IF(COUNTIFS('LxI Assessment'!$A$5:$A$394,$A16,'LxI Assessment'!$D$5:$D$394,M$5,'LxI Assessment'!$S$5:$S$394,"&gt;0")=0,"",SUMIFS('LxI Assessment'!$S$5:$S$394,'LxI Assessment'!$A$5:$A$394,$A16,'LxI Assessment'!$D$5:$D$394,M$5)))</f>
        <v>N/A</v>
      </c>
      <c r="N16" s="31" t="n">
        <f aca="false">IF(COUNTIFS('LxI Assessment'!$A$5:$A$394,$A16,'LxI Assessment'!$D$5:$D$394,N$5,'LxI Assessment'!$F$5:$F$394,"N/A")&gt;0,"N/A",IF(COUNTIFS('LxI Assessment'!$A$5:$A$394,$A16,'LxI Assessment'!$D$5:$D$394,N$5,'LxI Assessment'!$S$5:$S$394,"&gt;0")=0,"",SUMIFS('LxI Assessment'!$S$5:$S$394,'LxI Assessment'!$A$5:$A$394,$A16,'LxI Assessment'!$D$5:$D$394,N$5)))</f>
        <v>3</v>
      </c>
      <c r="O16" s="31" t="n">
        <f aca="false">IF(COUNTIFS('LxI Assessment'!$A$5:$A$394,$A16,'LxI Assessment'!$D$5:$D$394,O$5,'LxI Assessment'!$F$5:$F$394,"N/A")&gt;0,"N/A",IF(COUNTIFS('LxI Assessment'!$A$5:$A$394,$A16,'LxI Assessment'!$D$5:$D$394,O$5,'LxI Assessment'!$S$5:$S$394,"&gt;0")=0,"",SUMIFS('LxI Assessment'!$S$5:$S$394,'LxI Assessment'!$A$5:$A$394,$A16,'LxI Assessment'!$D$5:$D$394,O$5)))</f>
        <v>3</v>
      </c>
      <c r="P16" s="31" t="n">
        <f aca="false">IF(COUNTIFS('LxI Assessment'!$A$5:$A$394,$A16,'LxI Assessment'!$D$5:$D$394,P$5,'LxI Assessment'!$F$5:$F$394,"N/A")&gt;0,"N/A",IF(COUNTIFS('LxI Assessment'!$A$5:$A$394,$A16,'LxI Assessment'!$D$5:$D$394,P$5,'LxI Assessment'!$S$5:$S$394,"&gt;0")=0,"",SUMIFS('LxI Assessment'!$S$5:$S$394,'LxI Assessment'!$A$5:$A$394,$A16,'LxI Assessment'!$D$5:$D$394,P$5)))</f>
        <v>2</v>
      </c>
      <c r="Q16" s="31" t="n">
        <f aca="false">IF(COUNTIFS('LxI Assessment'!$A$5:$A$394,$A16,'LxI Assessment'!$D$5:$D$394,Q$5,'LxI Assessment'!$F$5:$F$394,"N/A")&gt;0,"N/A",IF(COUNTIFS('LxI Assessment'!$A$5:$A$394,$A16,'LxI Assessment'!$D$5:$D$394,Q$5,'LxI Assessment'!$S$5:$S$394,"&gt;0")=0,"",SUMIFS('LxI Assessment'!$S$5:$S$394,'LxI Assessment'!$A$5:$A$394,$A16,'LxI Assessment'!$D$5:$D$394,Q$5)))</f>
        <v>3</v>
      </c>
      <c r="R16" s="31" t="n">
        <f aca="false">IF(COUNTIFS('LxI Assessment'!$A$5:$A$394,$A16,'LxI Assessment'!$D$5:$D$394,R$5,'LxI Assessment'!$F$5:$F$394,"N/A")&gt;0,"N/A",IF(COUNTIFS('LxI Assessment'!$A$5:$A$394,$A16,'LxI Assessment'!$D$5:$D$394,R$5,'LxI Assessment'!$S$5:$S$394,"&gt;0")=0,"",SUMIFS('LxI Assessment'!$S$5:$S$394,'LxI Assessment'!$A$5:$A$394,$A16,'LxI Assessment'!$D$5:$D$394,R$5)))</f>
        <v>2</v>
      </c>
      <c r="S16" s="31" t="n">
        <f aca="false">IF(COUNTIFS('LxI Assessment'!$A$5:$A$394,$A16,'LxI Assessment'!$D$5:$D$394,S$5,'LxI Assessment'!$F$5:$F$394,"N/A")&gt;0,"N/A",IF(COUNTIFS('LxI Assessment'!$A$5:$A$394,$A16,'LxI Assessment'!$D$5:$D$394,S$5,'LxI Assessment'!$S$5:$S$394,"&gt;0")=0,"",SUMIFS('LxI Assessment'!$S$5:$S$394,'LxI Assessment'!$A$5:$A$394,$A16,'LxI Assessment'!$D$5:$D$394,S$5)))</f>
        <v>3</v>
      </c>
      <c r="T16" s="31" t="n">
        <f aca="false">IF(COUNTIFS('LxI Assessment'!$A$5:$A$394,$A16,'LxI Assessment'!$D$5:$D$394,T$5,'LxI Assessment'!$F$5:$F$394,"N/A")&gt;0,"N/A",IF(COUNTIFS('LxI Assessment'!$A$5:$A$394,$A16,'LxI Assessment'!$D$5:$D$394,T$5,'LxI Assessment'!$S$5:$S$394,"&gt;0")=0,"",SUMIFS('LxI Assessment'!$S$5:$S$394,'LxI Assessment'!$A$5:$A$394,$A16,'LxI Assessment'!$D$5:$D$394,T$5)))</f>
        <v>3</v>
      </c>
      <c r="U16" s="31" t="n">
        <f aca="false">IF(COUNTIFS('LxI Assessment'!$A$5:$A$394,$A16,'LxI Assessment'!$D$5:$D$394,U$5,'LxI Assessment'!$F$5:$F$394,"N/A")&gt;0,"N/A",IF(COUNTIFS('LxI Assessment'!$A$5:$A$394,$A16,'LxI Assessment'!$D$5:$D$394,U$5,'LxI Assessment'!$S$5:$S$394,"&gt;0")=0,"",SUMIFS('LxI Assessment'!$S$5:$S$394,'LxI Assessment'!$A$5:$A$394,$A16,'LxI Assessment'!$D$5:$D$394,U$5)))</f>
        <v>3</v>
      </c>
      <c r="V16" s="31" t="n">
        <f aca="false">IF(COUNTIFS('LxI Assessment'!$A$5:$A$394,$A16,'LxI Assessment'!$D$5:$D$394,V$5,'LxI Assessment'!$F$5:$F$394,"N/A")&gt;0,"N/A",IF(COUNTIFS('LxI Assessment'!$A$5:$A$394,$A16,'LxI Assessment'!$D$5:$D$394,V$5,'LxI Assessment'!$S$5:$S$394,"&gt;0")=0,"",SUMIFS('LxI Assessment'!$S$5:$S$394,'LxI Assessment'!$A$5:$A$394,$A16,'LxI Assessment'!$D$5:$D$394,V$5)))</f>
        <v>3</v>
      </c>
      <c r="W16" s="34" t="n">
        <f aca="false">MAX(C16:V16)</f>
        <v>3</v>
      </c>
      <c r="X16" s="29" t="n">
        <f aca="false">IFERROR(AVERAGE(C16:V16),"")</f>
        <v>2.84210526315789</v>
      </c>
      <c r="Y16" s="31" t="n">
        <f aca="false">COUNTIF(C16:V16,5)</f>
        <v>0</v>
      </c>
      <c r="Z16" s="31" t="n">
        <f aca="false">COUNTIF(C16:V16,4)</f>
        <v>0</v>
      </c>
      <c r="AA16" s="7" t="str">
        <f aca="false">IF(W16=0,"",INDEX(Config!$B$5:$B$9,W16))</f>
        <v>Medium</v>
      </c>
    </row>
    <row r="17" customFormat="false" ht="15" hidden="false" customHeight="false" outlineLevel="0" collapsed="false">
      <c r="A17" s="26" t="str">
        <f aca="false">Entities!A16</f>
        <v>QA</v>
      </c>
      <c r="B17" s="26" t="str">
        <f aca="false">Entities!B16</f>
        <v>Arab Bank – Qatar</v>
      </c>
      <c r="C17" s="31" t="n">
        <f aca="false">IF(COUNTIFS('FC Calculation'!$A$5:$A$214,$A17,'FC Calculation'!$D$5:$D$214,C$5,'FC Calculation'!$T$5:$T$214,"&gt;0")=0,"",SUMIFS('FC Calculation'!$T$5:$T$214,'FC Calculation'!$A$5:$A$214,$A17,'FC Calculation'!$D$5:$D$214,C$5))</f>
        <v>3</v>
      </c>
      <c r="D17" s="31" t="n">
        <f aca="false">IF(COUNTIFS('FC Calculation'!$A$5:$A$214,$A17,'FC Calculation'!$D$5:$D$214,D$5,'FC Calculation'!$T$5:$T$214,"&gt;0")=0,"",SUMIFS('FC Calculation'!$T$5:$T$214,'FC Calculation'!$A$5:$A$214,$A17,'FC Calculation'!$D$5:$D$214,D$5))</f>
        <v>3</v>
      </c>
      <c r="E17" s="31" t="n">
        <f aca="false">IF(COUNTIFS('FC Calculation'!$A$5:$A$214,$A17,'FC Calculation'!$D$5:$D$214,E$5,'FC Calculation'!$T$5:$T$214,"&gt;0")=0,"",SUMIFS('FC Calculation'!$T$5:$T$214,'FC Calculation'!$A$5:$A$214,$A17,'FC Calculation'!$D$5:$D$214,E$5))</f>
        <v>3</v>
      </c>
      <c r="F17" s="31" t="n">
        <f aca="false">IF(COUNTIFS('FC Calculation'!$A$5:$A$214,$A17,'FC Calculation'!$D$5:$D$214,F$5,'FC Calculation'!$T$5:$T$214,"&gt;0")=0,"",SUMIFS('FC Calculation'!$T$5:$T$214,'FC Calculation'!$A$5:$A$214,$A17,'FC Calculation'!$D$5:$D$214,F$5))</f>
        <v>3</v>
      </c>
      <c r="G17" s="31" t="n">
        <f aca="false">IF(COUNTIFS('FC Calculation'!$A$5:$A$214,$A17,'FC Calculation'!$D$5:$D$214,G$5,'FC Calculation'!$T$5:$T$214,"&gt;0")=0,"",SUMIFS('FC Calculation'!$T$5:$T$214,'FC Calculation'!$A$5:$A$214,$A17,'FC Calculation'!$D$5:$D$214,G$5))</f>
        <v>2</v>
      </c>
      <c r="H17" s="31" t="n">
        <f aca="false">IF(COUNTIFS('FC Calculation'!$A$5:$A$214,$A17,'FC Calculation'!$D$5:$D$214,H$5,'FC Calculation'!$T$5:$T$214,"&gt;0")=0,"",SUMIFS('FC Calculation'!$T$5:$T$214,'FC Calculation'!$A$5:$A$214,$A17,'FC Calculation'!$D$5:$D$214,H$5))</f>
        <v>3</v>
      </c>
      <c r="I17" s="31" t="n">
        <f aca="false">IF(COUNTIFS('FC Calculation'!$A$5:$A$214,$A17,'FC Calculation'!$D$5:$D$214,I$5,'FC Calculation'!$T$5:$T$214,"&gt;0")=0,"",SUMIFS('FC Calculation'!$T$5:$T$214,'FC Calculation'!$A$5:$A$214,$A17,'FC Calculation'!$D$5:$D$214,I$5))</f>
        <v>3</v>
      </c>
      <c r="J17" s="31" t="n">
        <f aca="false">IF(COUNTIFS('LxI Assessment'!$A$5:$A$394,$A17,'LxI Assessment'!$D$5:$D$394,J$5,'LxI Assessment'!$F$5:$F$394,"N/A")&gt;0,"N/A",IF(COUNTIFS('LxI Assessment'!$A$5:$A$394,$A17,'LxI Assessment'!$D$5:$D$394,J$5,'LxI Assessment'!$S$5:$S$394,"&gt;0")=0,"",SUMIFS('LxI Assessment'!$S$5:$S$394,'LxI Assessment'!$A$5:$A$394,$A17,'LxI Assessment'!$D$5:$D$394,J$5)))</f>
        <v>2</v>
      </c>
      <c r="K17" s="31" t="n">
        <f aca="false">IF(COUNTIFS('LxI Assessment'!$A$5:$A$394,$A17,'LxI Assessment'!$D$5:$D$394,K$5,'LxI Assessment'!$F$5:$F$394,"N/A")&gt;0,"N/A",IF(COUNTIFS('LxI Assessment'!$A$5:$A$394,$A17,'LxI Assessment'!$D$5:$D$394,K$5,'LxI Assessment'!$S$5:$S$394,"&gt;0")=0,"",SUMIFS('LxI Assessment'!$S$5:$S$394,'LxI Assessment'!$A$5:$A$394,$A17,'LxI Assessment'!$D$5:$D$394,K$5)))</f>
        <v>2</v>
      </c>
      <c r="L17" s="31" t="n">
        <f aca="false">IF(COUNTIFS('LxI Assessment'!$A$5:$A$394,$A17,'LxI Assessment'!$D$5:$D$394,L$5,'LxI Assessment'!$F$5:$F$394,"N/A")&gt;0,"N/A",IF(COUNTIFS('LxI Assessment'!$A$5:$A$394,$A17,'LxI Assessment'!$D$5:$D$394,L$5,'LxI Assessment'!$S$5:$S$394,"&gt;0")=0,"",SUMIFS('LxI Assessment'!$S$5:$S$394,'LxI Assessment'!$A$5:$A$394,$A17,'LxI Assessment'!$D$5:$D$394,L$5)))</f>
        <v>3</v>
      </c>
      <c r="M17" s="31" t="str">
        <f aca="false">IF(COUNTIFS('LxI Assessment'!$A$5:$A$394,$A17,'LxI Assessment'!$D$5:$D$394,M$5,'LxI Assessment'!$F$5:$F$394,"N/A")&gt;0,"N/A",IF(COUNTIFS('LxI Assessment'!$A$5:$A$394,$A17,'LxI Assessment'!$D$5:$D$394,M$5,'LxI Assessment'!$S$5:$S$394,"&gt;0")=0,"",SUMIFS('LxI Assessment'!$S$5:$S$394,'LxI Assessment'!$A$5:$A$394,$A17,'LxI Assessment'!$D$5:$D$394,M$5)))</f>
        <v>N/A</v>
      </c>
      <c r="N17" s="31" t="n">
        <f aca="false">IF(COUNTIFS('LxI Assessment'!$A$5:$A$394,$A17,'LxI Assessment'!$D$5:$D$394,N$5,'LxI Assessment'!$F$5:$F$394,"N/A")&gt;0,"N/A",IF(COUNTIFS('LxI Assessment'!$A$5:$A$394,$A17,'LxI Assessment'!$D$5:$D$394,N$5,'LxI Assessment'!$S$5:$S$394,"&gt;0")=0,"",SUMIFS('LxI Assessment'!$S$5:$S$394,'LxI Assessment'!$A$5:$A$394,$A17,'LxI Assessment'!$D$5:$D$394,N$5)))</f>
        <v>3</v>
      </c>
      <c r="O17" s="31" t="n">
        <f aca="false">IF(COUNTIFS('LxI Assessment'!$A$5:$A$394,$A17,'LxI Assessment'!$D$5:$D$394,O$5,'LxI Assessment'!$F$5:$F$394,"N/A")&gt;0,"N/A",IF(COUNTIFS('LxI Assessment'!$A$5:$A$394,$A17,'LxI Assessment'!$D$5:$D$394,O$5,'LxI Assessment'!$S$5:$S$394,"&gt;0")=0,"",SUMIFS('LxI Assessment'!$S$5:$S$394,'LxI Assessment'!$A$5:$A$394,$A17,'LxI Assessment'!$D$5:$D$394,O$5)))</f>
        <v>3</v>
      </c>
      <c r="P17" s="31" t="n">
        <f aca="false">IF(COUNTIFS('LxI Assessment'!$A$5:$A$394,$A17,'LxI Assessment'!$D$5:$D$394,P$5,'LxI Assessment'!$F$5:$F$394,"N/A")&gt;0,"N/A",IF(COUNTIFS('LxI Assessment'!$A$5:$A$394,$A17,'LxI Assessment'!$D$5:$D$394,P$5,'LxI Assessment'!$S$5:$S$394,"&gt;0")=0,"",SUMIFS('LxI Assessment'!$S$5:$S$394,'LxI Assessment'!$A$5:$A$394,$A17,'LxI Assessment'!$D$5:$D$394,P$5)))</f>
        <v>3</v>
      </c>
      <c r="Q17" s="31" t="n">
        <f aca="false">IF(COUNTIFS('LxI Assessment'!$A$5:$A$394,$A17,'LxI Assessment'!$D$5:$D$394,Q$5,'LxI Assessment'!$F$5:$F$394,"N/A")&gt;0,"N/A",IF(COUNTIFS('LxI Assessment'!$A$5:$A$394,$A17,'LxI Assessment'!$D$5:$D$394,Q$5,'LxI Assessment'!$S$5:$S$394,"&gt;0")=0,"",SUMIFS('LxI Assessment'!$S$5:$S$394,'LxI Assessment'!$A$5:$A$394,$A17,'LxI Assessment'!$D$5:$D$394,Q$5)))</f>
        <v>2</v>
      </c>
      <c r="R17" s="31" t="n">
        <f aca="false">IF(COUNTIFS('LxI Assessment'!$A$5:$A$394,$A17,'LxI Assessment'!$D$5:$D$394,R$5,'LxI Assessment'!$F$5:$F$394,"N/A")&gt;0,"N/A",IF(COUNTIFS('LxI Assessment'!$A$5:$A$394,$A17,'LxI Assessment'!$D$5:$D$394,R$5,'LxI Assessment'!$S$5:$S$394,"&gt;0")=0,"",SUMIFS('LxI Assessment'!$S$5:$S$394,'LxI Assessment'!$A$5:$A$394,$A17,'LxI Assessment'!$D$5:$D$394,R$5)))</f>
        <v>3</v>
      </c>
      <c r="S17" s="31" t="n">
        <f aca="false">IF(COUNTIFS('LxI Assessment'!$A$5:$A$394,$A17,'LxI Assessment'!$D$5:$D$394,S$5,'LxI Assessment'!$F$5:$F$394,"N/A")&gt;0,"N/A",IF(COUNTIFS('LxI Assessment'!$A$5:$A$394,$A17,'LxI Assessment'!$D$5:$D$394,S$5,'LxI Assessment'!$S$5:$S$394,"&gt;0")=0,"",SUMIFS('LxI Assessment'!$S$5:$S$394,'LxI Assessment'!$A$5:$A$394,$A17,'LxI Assessment'!$D$5:$D$394,S$5)))</f>
        <v>2</v>
      </c>
      <c r="T17" s="31" t="n">
        <f aca="false">IF(COUNTIFS('LxI Assessment'!$A$5:$A$394,$A17,'LxI Assessment'!$D$5:$D$394,T$5,'LxI Assessment'!$F$5:$F$394,"N/A")&gt;0,"N/A",IF(COUNTIFS('LxI Assessment'!$A$5:$A$394,$A17,'LxI Assessment'!$D$5:$D$394,T$5,'LxI Assessment'!$S$5:$S$394,"&gt;0")=0,"",SUMIFS('LxI Assessment'!$S$5:$S$394,'LxI Assessment'!$A$5:$A$394,$A17,'LxI Assessment'!$D$5:$D$394,T$5)))</f>
        <v>2</v>
      </c>
      <c r="U17" s="31" t="n">
        <f aca="false">IF(COUNTIFS('LxI Assessment'!$A$5:$A$394,$A17,'LxI Assessment'!$D$5:$D$394,U$5,'LxI Assessment'!$F$5:$F$394,"N/A")&gt;0,"N/A",IF(COUNTIFS('LxI Assessment'!$A$5:$A$394,$A17,'LxI Assessment'!$D$5:$D$394,U$5,'LxI Assessment'!$S$5:$S$394,"&gt;0")=0,"",SUMIFS('LxI Assessment'!$S$5:$S$394,'LxI Assessment'!$A$5:$A$394,$A17,'LxI Assessment'!$D$5:$D$394,U$5)))</f>
        <v>4</v>
      </c>
      <c r="V17" s="31" t="n">
        <f aca="false">IF(COUNTIFS('LxI Assessment'!$A$5:$A$394,$A17,'LxI Assessment'!$D$5:$D$394,V$5,'LxI Assessment'!$F$5:$F$394,"N/A")&gt;0,"N/A",IF(COUNTIFS('LxI Assessment'!$A$5:$A$394,$A17,'LxI Assessment'!$D$5:$D$394,V$5,'LxI Assessment'!$S$5:$S$394,"&gt;0")=0,"",SUMIFS('LxI Assessment'!$S$5:$S$394,'LxI Assessment'!$A$5:$A$394,$A17,'LxI Assessment'!$D$5:$D$394,V$5)))</f>
        <v>2</v>
      </c>
      <c r="W17" s="34" t="n">
        <f aca="false">MAX(C17:V17)</f>
        <v>4</v>
      </c>
      <c r="X17" s="29" t="n">
        <f aca="false">IFERROR(AVERAGE(C17:V17),"")</f>
        <v>2.68421052631579</v>
      </c>
      <c r="Y17" s="31" t="n">
        <f aca="false">COUNTIF(C17:V17,5)</f>
        <v>0</v>
      </c>
      <c r="Z17" s="31" t="n">
        <f aca="false">COUNTIF(C17:V17,4)</f>
        <v>1</v>
      </c>
      <c r="AA17" s="7" t="str">
        <f aca="false">IF(W17=0,"",INDEX(Config!$B$5:$B$9,W17))</f>
        <v>Medium-High</v>
      </c>
    </row>
    <row r="18" customFormat="false" ht="15" hidden="false" customHeight="false" outlineLevel="0" collapsed="false">
      <c r="A18" s="26" t="str">
        <f aca="false">Entities!A17</f>
        <v>SA</v>
      </c>
      <c r="B18" s="26" t="str">
        <f aca="false">Entities!B17</f>
        <v>Arab National Bank (affiliate)</v>
      </c>
      <c r="C18" s="31" t="n">
        <f aca="false">IF(COUNTIFS('FC Calculation'!$A$5:$A$214,$A18,'FC Calculation'!$D$5:$D$214,C$5,'FC Calculation'!$T$5:$T$214,"&gt;0")=0,"",SUMIFS('FC Calculation'!$T$5:$T$214,'FC Calculation'!$A$5:$A$214,$A18,'FC Calculation'!$D$5:$D$214,C$5))</f>
        <v>3</v>
      </c>
      <c r="D18" s="31" t="n">
        <f aca="false">IF(COUNTIFS('FC Calculation'!$A$5:$A$214,$A18,'FC Calculation'!$D$5:$D$214,D$5,'FC Calculation'!$T$5:$T$214,"&gt;0")=0,"",SUMIFS('FC Calculation'!$T$5:$T$214,'FC Calculation'!$A$5:$A$214,$A18,'FC Calculation'!$D$5:$D$214,D$5))</f>
        <v>3</v>
      </c>
      <c r="E18" s="31" t="n">
        <f aca="false">IF(COUNTIFS('FC Calculation'!$A$5:$A$214,$A18,'FC Calculation'!$D$5:$D$214,E$5,'FC Calculation'!$T$5:$T$214,"&gt;0")=0,"",SUMIFS('FC Calculation'!$T$5:$T$214,'FC Calculation'!$A$5:$A$214,$A18,'FC Calculation'!$D$5:$D$214,E$5))</f>
        <v>3</v>
      </c>
      <c r="F18" s="31" t="n">
        <f aca="false">IF(COUNTIFS('FC Calculation'!$A$5:$A$214,$A18,'FC Calculation'!$D$5:$D$214,F$5,'FC Calculation'!$T$5:$T$214,"&gt;0")=0,"",SUMIFS('FC Calculation'!$T$5:$T$214,'FC Calculation'!$A$5:$A$214,$A18,'FC Calculation'!$D$5:$D$214,F$5))</f>
        <v>3</v>
      </c>
      <c r="G18" s="31" t="n">
        <f aca="false">IF(COUNTIFS('FC Calculation'!$A$5:$A$214,$A18,'FC Calculation'!$D$5:$D$214,G$5,'FC Calculation'!$T$5:$T$214,"&gt;0")=0,"",SUMIFS('FC Calculation'!$T$5:$T$214,'FC Calculation'!$A$5:$A$214,$A18,'FC Calculation'!$D$5:$D$214,G$5))</f>
        <v>3</v>
      </c>
      <c r="H18" s="31" t="n">
        <f aca="false">IF(COUNTIFS('FC Calculation'!$A$5:$A$214,$A18,'FC Calculation'!$D$5:$D$214,H$5,'FC Calculation'!$T$5:$T$214,"&gt;0")=0,"",SUMIFS('FC Calculation'!$T$5:$T$214,'FC Calculation'!$A$5:$A$214,$A18,'FC Calculation'!$D$5:$D$214,H$5))</f>
        <v>3</v>
      </c>
      <c r="I18" s="31" t="n">
        <f aca="false">IF(COUNTIFS('FC Calculation'!$A$5:$A$214,$A18,'FC Calculation'!$D$5:$D$214,I$5,'FC Calculation'!$T$5:$T$214,"&gt;0")=0,"",SUMIFS('FC Calculation'!$T$5:$T$214,'FC Calculation'!$A$5:$A$214,$A18,'FC Calculation'!$D$5:$D$214,I$5))</f>
        <v>3</v>
      </c>
      <c r="J18" s="31" t="n">
        <f aca="false">IF(COUNTIFS('LxI Assessment'!$A$5:$A$394,$A18,'LxI Assessment'!$D$5:$D$394,J$5,'LxI Assessment'!$F$5:$F$394,"N/A")&gt;0,"N/A",IF(COUNTIFS('LxI Assessment'!$A$5:$A$394,$A18,'LxI Assessment'!$D$5:$D$394,J$5,'LxI Assessment'!$S$5:$S$394,"&gt;0")=0,"",SUMIFS('LxI Assessment'!$S$5:$S$394,'LxI Assessment'!$A$5:$A$394,$A18,'LxI Assessment'!$D$5:$D$394,J$5)))</f>
        <v>4</v>
      </c>
      <c r="K18" s="31" t="n">
        <f aca="false">IF(COUNTIFS('LxI Assessment'!$A$5:$A$394,$A18,'LxI Assessment'!$D$5:$D$394,K$5,'LxI Assessment'!$F$5:$F$394,"N/A")&gt;0,"N/A",IF(COUNTIFS('LxI Assessment'!$A$5:$A$394,$A18,'LxI Assessment'!$D$5:$D$394,K$5,'LxI Assessment'!$S$5:$S$394,"&gt;0")=0,"",SUMIFS('LxI Assessment'!$S$5:$S$394,'LxI Assessment'!$A$5:$A$394,$A18,'LxI Assessment'!$D$5:$D$394,K$5)))</f>
        <v>4</v>
      </c>
      <c r="L18" s="31" t="n">
        <f aca="false">IF(COUNTIFS('LxI Assessment'!$A$5:$A$394,$A18,'LxI Assessment'!$D$5:$D$394,L$5,'LxI Assessment'!$F$5:$F$394,"N/A")&gt;0,"N/A",IF(COUNTIFS('LxI Assessment'!$A$5:$A$394,$A18,'LxI Assessment'!$D$5:$D$394,L$5,'LxI Assessment'!$S$5:$S$394,"&gt;0")=0,"",SUMIFS('LxI Assessment'!$S$5:$S$394,'LxI Assessment'!$A$5:$A$394,$A18,'LxI Assessment'!$D$5:$D$394,L$5)))</f>
        <v>2</v>
      </c>
      <c r="M18" s="31" t="str">
        <f aca="false">IF(COUNTIFS('LxI Assessment'!$A$5:$A$394,$A18,'LxI Assessment'!$D$5:$D$394,M$5,'LxI Assessment'!$F$5:$F$394,"N/A")&gt;0,"N/A",IF(COUNTIFS('LxI Assessment'!$A$5:$A$394,$A18,'LxI Assessment'!$D$5:$D$394,M$5,'LxI Assessment'!$S$5:$S$394,"&gt;0")=0,"",SUMIFS('LxI Assessment'!$S$5:$S$394,'LxI Assessment'!$A$5:$A$394,$A18,'LxI Assessment'!$D$5:$D$394,M$5)))</f>
        <v>N/A</v>
      </c>
      <c r="N18" s="31" t="n">
        <f aca="false">IF(COUNTIFS('LxI Assessment'!$A$5:$A$394,$A18,'LxI Assessment'!$D$5:$D$394,N$5,'LxI Assessment'!$F$5:$F$394,"N/A")&gt;0,"N/A",IF(COUNTIFS('LxI Assessment'!$A$5:$A$394,$A18,'LxI Assessment'!$D$5:$D$394,N$5,'LxI Assessment'!$S$5:$S$394,"&gt;0")=0,"",SUMIFS('LxI Assessment'!$S$5:$S$394,'LxI Assessment'!$A$5:$A$394,$A18,'LxI Assessment'!$D$5:$D$394,N$5)))</f>
        <v>2</v>
      </c>
      <c r="O18" s="31" t="n">
        <f aca="false">IF(COUNTIFS('LxI Assessment'!$A$5:$A$394,$A18,'LxI Assessment'!$D$5:$D$394,O$5,'LxI Assessment'!$F$5:$F$394,"N/A")&gt;0,"N/A",IF(COUNTIFS('LxI Assessment'!$A$5:$A$394,$A18,'LxI Assessment'!$D$5:$D$394,O$5,'LxI Assessment'!$S$5:$S$394,"&gt;0")=0,"",SUMIFS('LxI Assessment'!$S$5:$S$394,'LxI Assessment'!$A$5:$A$394,$A18,'LxI Assessment'!$D$5:$D$394,O$5)))</f>
        <v>3</v>
      </c>
      <c r="P18" s="31" t="n">
        <f aca="false">IF(COUNTIFS('LxI Assessment'!$A$5:$A$394,$A18,'LxI Assessment'!$D$5:$D$394,P$5,'LxI Assessment'!$F$5:$F$394,"N/A")&gt;0,"N/A",IF(COUNTIFS('LxI Assessment'!$A$5:$A$394,$A18,'LxI Assessment'!$D$5:$D$394,P$5,'LxI Assessment'!$S$5:$S$394,"&gt;0")=0,"",SUMIFS('LxI Assessment'!$S$5:$S$394,'LxI Assessment'!$A$5:$A$394,$A18,'LxI Assessment'!$D$5:$D$394,P$5)))</f>
        <v>4</v>
      </c>
      <c r="Q18" s="31" t="n">
        <f aca="false">IF(COUNTIFS('LxI Assessment'!$A$5:$A$394,$A18,'LxI Assessment'!$D$5:$D$394,Q$5,'LxI Assessment'!$F$5:$F$394,"N/A")&gt;0,"N/A",IF(COUNTIFS('LxI Assessment'!$A$5:$A$394,$A18,'LxI Assessment'!$D$5:$D$394,Q$5,'LxI Assessment'!$S$5:$S$394,"&gt;0")=0,"",SUMIFS('LxI Assessment'!$S$5:$S$394,'LxI Assessment'!$A$5:$A$394,$A18,'LxI Assessment'!$D$5:$D$394,Q$5)))</f>
        <v>3</v>
      </c>
      <c r="R18" s="31" t="n">
        <f aca="false">IF(COUNTIFS('LxI Assessment'!$A$5:$A$394,$A18,'LxI Assessment'!$D$5:$D$394,R$5,'LxI Assessment'!$F$5:$F$394,"N/A")&gt;0,"N/A",IF(COUNTIFS('LxI Assessment'!$A$5:$A$394,$A18,'LxI Assessment'!$D$5:$D$394,R$5,'LxI Assessment'!$S$5:$S$394,"&gt;0")=0,"",SUMIFS('LxI Assessment'!$S$5:$S$394,'LxI Assessment'!$A$5:$A$394,$A18,'LxI Assessment'!$D$5:$D$394,R$5)))</f>
        <v>3</v>
      </c>
      <c r="S18" s="31" t="n">
        <f aca="false">IF(COUNTIFS('LxI Assessment'!$A$5:$A$394,$A18,'LxI Assessment'!$D$5:$D$394,S$5,'LxI Assessment'!$F$5:$F$394,"N/A")&gt;0,"N/A",IF(COUNTIFS('LxI Assessment'!$A$5:$A$394,$A18,'LxI Assessment'!$D$5:$D$394,S$5,'LxI Assessment'!$S$5:$S$394,"&gt;0")=0,"",SUMIFS('LxI Assessment'!$S$5:$S$394,'LxI Assessment'!$A$5:$A$394,$A18,'LxI Assessment'!$D$5:$D$394,S$5)))</f>
        <v>3</v>
      </c>
      <c r="T18" s="31" t="n">
        <f aca="false">IF(COUNTIFS('LxI Assessment'!$A$5:$A$394,$A18,'LxI Assessment'!$D$5:$D$394,T$5,'LxI Assessment'!$F$5:$F$394,"N/A")&gt;0,"N/A",IF(COUNTIFS('LxI Assessment'!$A$5:$A$394,$A18,'LxI Assessment'!$D$5:$D$394,T$5,'LxI Assessment'!$S$5:$S$394,"&gt;0")=0,"",SUMIFS('LxI Assessment'!$S$5:$S$394,'LxI Assessment'!$A$5:$A$394,$A18,'LxI Assessment'!$D$5:$D$394,T$5)))</f>
        <v>1</v>
      </c>
      <c r="U18" s="31" t="n">
        <f aca="false">IF(COUNTIFS('LxI Assessment'!$A$5:$A$394,$A18,'LxI Assessment'!$D$5:$D$394,U$5,'LxI Assessment'!$F$5:$F$394,"N/A")&gt;0,"N/A",IF(COUNTIFS('LxI Assessment'!$A$5:$A$394,$A18,'LxI Assessment'!$D$5:$D$394,U$5,'LxI Assessment'!$S$5:$S$394,"&gt;0")=0,"",SUMIFS('LxI Assessment'!$S$5:$S$394,'LxI Assessment'!$A$5:$A$394,$A18,'LxI Assessment'!$D$5:$D$394,U$5)))</f>
        <v>2</v>
      </c>
      <c r="V18" s="31" t="n">
        <f aca="false">IF(COUNTIFS('LxI Assessment'!$A$5:$A$394,$A18,'LxI Assessment'!$D$5:$D$394,V$5,'LxI Assessment'!$F$5:$F$394,"N/A")&gt;0,"N/A",IF(COUNTIFS('LxI Assessment'!$A$5:$A$394,$A18,'LxI Assessment'!$D$5:$D$394,V$5,'LxI Assessment'!$S$5:$S$394,"&gt;0")=0,"",SUMIFS('LxI Assessment'!$S$5:$S$394,'LxI Assessment'!$A$5:$A$394,$A18,'LxI Assessment'!$D$5:$D$394,V$5)))</f>
        <v>3</v>
      </c>
      <c r="W18" s="34" t="n">
        <f aca="false">MAX(C18:V18)</f>
        <v>4</v>
      </c>
      <c r="X18" s="29" t="n">
        <f aca="false">IFERROR(AVERAGE(C18:V18),"")</f>
        <v>2.89473684210526</v>
      </c>
      <c r="Y18" s="31" t="n">
        <f aca="false">COUNTIF(C18:V18,5)</f>
        <v>0</v>
      </c>
      <c r="Z18" s="31" t="n">
        <f aca="false">COUNTIF(C18:V18,4)</f>
        <v>3</v>
      </c>
      <c r="AA18" s="7" t="str">
        <f aca="false">IF(W18=0,"",INDEX(Config!$B$5:$B$9,W18))</f>
        <v>Medium-High</v>
      </c>
    </row>
    <row r="19" customFormat="false" ht="15" hidden="false" customHeight="false" outlineLevel="0" collapsed="false">
      <c r="A19" s="26" t="str">
        <f aca="false">Entities!A18</f>
        <v>OM</v>
      </c>
      <c r="B19" s="26" t="str">
        <f aca="false">Entities!B18</f>
        <v>Oman Arab Bank (affiliate)</v>
      </c>
      <c r="C19" s="31" t="n">
        <f aca="false">IF(COUNTIFS('FC Calculation'!$A$5:$A$214,$A19,'FC Calculation'!$D$5:$D$214,C$5,'FC Calculation'!$T$5:$T$214,"&gt;0")=0,"",SUMIFS('FC Calculation'!$T$5:$T$214,'FC Calculation'!$A$5:$A$214,$A19,'FC Calculation'!$D$5:$D$214,C$5))</f>
        <v>3</v>
      </c>
      <c r="D19" s="31" t="n">
        <f aca="false">IF(COUNTIFS('FC Calculation'!$A$5:$A$214,$A19,'FC Calculation'!$D$5:$D$214,D$5,'FC Calculation'!$T$5:$T$214,"&gt;0")=0,"",SUMIFS('FC Calculation'!$T$5:$T$214,'FC Calculation'!$A$5:$A$214,$A19,'FC Calculation'!$D$5:$D$214,D$5))</f>
        <v>3</v>
      </c>
      <c r="E19" s="31" t="n">
        <f aca="false">IF(COUNTIFS('FC Calculation'!$A$5:$A$214,$A19,'FC Calculation'!$D$5:$D$214,E$5,'FC Calculation'!$T$5:$T$214,"&gt;0")=0,"",SUMIFS('FC Calculation'!$T$5:$T$214,'FC Calculation'!$A$5:$A$214,$A19,'FC Calculation'!$D$5:$D$214,E$5))</f>
        <v>3</v>
      </c>
      <c r="F19" s="31" t="n">
        <f aca="false">IF(COUNTIFS('FC Calculation'!$A$5:$A$214,$A19,'FC Calculation'!$D$5:$D$214,F$5,'FC Calculation'!$T$5:$T$214,"&gt;0")=0,"",SUMIFS('FC Calculation'!$T$5:$T$214,'FC Calculation'!$A$5:$A$214,$A19,'FC Calculation'!$D$5:$D$214,F$5))</f>
        <v>3</v>
      </c>
      <c r="G19" s="31" t="n">
        <f aca="false">IF(COUNTIFS('FC Calculation'!$A$5:$A$214,$A19,'FC Calculation'!$D$5:$D$214,G$5,'FC Calculation'!$T$5:$T$214,"&gt;0")=0,"",SUMIFS('FC Calculation'!$T$5:$T$214,'FC Calculation'!$A$5:$A$214,$A19,'FC Calculation'!$D$5:$D$214,G$5))</f>
        <v>3</v>
      </c>
      <c r="H19" s="31" t="n">
        <f aca="false">IF(COUNTIFS('FC Calculation'!$A$5:$A$214,$A19,'FC Calculation'!$D$5:$D$214,H$5,'FC Calculation'!$T$5:$T$214,"&gt;0")=0,"",SUMIFS('FC Calculation'!$T$5:$T$214,'FC Calculation'!$A$5:$A$214,$A19,'FC Calculation'!$D$5:$D$214,H$5))</f>
        <v>3</v>
      </c>
      <c r="I19" s="31" t="n">
        <f aca="false">IF(COUNTIFS('FC Calculation'!$A$5:$A$214,$A19,'FC Calculation'!$D$5:$D$214,I$5,'FC Calculation'!$T$5:$T$214,"&gt;0")=0,"",SUMIFS('FC Calculation'!$T$5:$T$214,'FC Calculation'!$A$5:$A$214,$A19,'FC Calculation'!$D$5:$D$214,I$5))</f>
        <v>3</v>
      </c>
      <c r="J19" s="31" t="n">
        <f aca="false">IF(COUNTIFS('LxI Assessment'!$A$5:$A$394,$A19,'LxI Assessment'!$D$5:$D$394,J$5,'LxI Assessment'!$F$5:$F$394,"N/A")&gt;0,"N/A",IF(COUNTIFS('LxI Assessment'!$A$5:$A$394,$A19,'LxI Assessment'!$D$5:$D$394,J$5,'LxI Assessment'!$S$5:$S$394,"&gt;0")=0,"",SUMIFS('LxI Assessment'!$S$5:$S$394,'LxI Assessment'!$A$5:$A$394,$A19,'LxI Assessment'!$D$5:$D$394,J$5)))</f>
        <v>3</v>
      </c>
      <c r="K19" s="31" t="n">
        <f aca="false">IF(COUNTIFS('LxI Assessment'!$A$5:$A$394,$A19,'LxI Assessment'!$D$5:$D$394,K$5,'LxI Assessment'!$F$5:$F$394,"N/A")&gt;0,"N/A",IF(COUNTIFS('LxI Assessment'!$A$5:$A$394,$A19,'LxI Assessment'!$D$5:$D$394,K$5,'LxI Assessment'!$S$5:$S$394,"&gt;0")=0,"",SUMIFS('LxI Assessment'!$S$5:$S$394,'LxI Assessment'!$A$5:$A$394,$A19,'LxI Assessment'!$D$5:$D$394,K$5)))</f>
        <v>3</v>
      </c>
      <c r="L19" s="31" t="n">
        <f aca="false">IF(COUNTIFS('LxI Assessment'!$A$5:$A$394,$A19,'LxI Assessment'!$D$5:$D$394,L$5,'LxI Assessment'!$F$5:$F$394,"N/A")&gt;0,"N/A",IF(COUNTIFS('LxI Assessment'!$A$5:$A$394,$A19,'LxI Assessment'!$D$5:$D$394,L$5,'LxI Assessment'!$S$5:$S$394,"&gt;0")=0,"",SUMIFS('LxI Assessment'!$S$5:$S$394,'LxI Assessment'!$A$5:$A$394,$A19,'LxI Assessment'!$D$5:$D$394,L$5)))</f>
        <v>3</v>
      </c>
      <c r="M19" s="31" t="str">
        <f aca="false">IF(COUNTIFS('LxI Assessment'!$A$5:$A$394,$A19,'LxI Assessment'!$D$5:$D$394,M$5,'LxI Assessment'!$F$5:$F$394,"N/A")&gt;0,"N/A",IF(COUNTIFS('LxI Assessment'!$A$5:$A$394,$A19,'LxI Assessment'!$D$5:$D$394,M$5,'LxI Assessment'!$S$5:$S$394,"&gt;0")=0,"",SUMIFS('LxI Assessment'!$S$5:$S$394,'LxI Assessment'!$A$5:$A$394,$A19,'LxI Assessment'!$D$5:$D$394,M$5)))</f>
        <v>N/A</v>
      </c>
      <c r="N19" s="31" t="n">
        <f aca="false">IF(COUNTIFS('LxI Assessment'!$A$5:$A$394,$A19,'LxI Assessment'!$D$5:$D$394,N$5,'LxI Assessment'!$F$5:$F$394,"N/A")&gt;0,"N/A",IF(COUNTIFS('LxI Assessment'!$A$5:$A$394,$A19,'LxI Assessment'!$D$5:$D$394,N$5,'LxI Assessment'!$S$5:$S$394,"&gt;0")=0,"",SUMIFS('LxI Assessment'!$S$5:$S$394,'LxI Assessment'!$A$5:$A$394,$A19,'LxI Assessment'!$D$5:$D$394,N$5)))</f>
        <v>2</v>
      </c>
      <c r="O19" s="31" t="n">
        <f aca="false">IF(COUNTIFS('LxI Assessment'!$A$5:$A$394,$A19,'LxI Assessment'!$D$5:$D$394,O$5,'LxI Assessment'!$F$5:$F$394,"N/A")&gt;0,"N/A",IF(COUNTIFS('LxI Assessment'!$A$5:$A$394,$A19,'LxI Assessment'!$D$5:$D$394,O$5,'LxI Assessment'!$S$5:$S$394,"&gt;0")=0,"",SUMIFS('LxI Assessment'!$S$5:$S$394,'LxI Assessment'!$A$5:$A$394,$A19,'LxI Assessment'!$D$5:$D$394,O$5)))</f>
        <v>2</v>
      </c>
      <c r="P19" s="31" t="n">
        <f aca="false">IF(COUNTIFS('LxI Assessment'!$A$5:$A$394,$A19,'LxI Assessment'!$D$5:$D$394,P$5,'LxI Assessment'!$F$5:$F$394,"N/A")&gt;0,"N/A",IF(COUNTIFS('LxI Assessment'!$A$5:$A$394,$A19,'LxI Assessment'!$D$5:$D$394,P$5,'LxI Assessment'!$S$5:$S$394,"&gt;0")=0,"",SUMIFS('LxI Assessment'!$S$5:$S$394,'LxI Assessment'!$A$5:$A$394,$A19,'LxI Assessment'!$D$5:$D$394,P$5)))</f>
        <v>3</v>
      </c>
      <c r="Q19" s="31" t="n">
        <f aca="false">IF(COUNTIFS('LxI Assessment'!$A$5:$A$394,$A19,'LxI Assessment'!$D$5:$D$394,Q$5,'LxI Assessment'!$F$5:$F$394,"N/A")&gt;0,"N/A",IF(COUNTIFS('LxI Assessment'!$A$5:$A$394,$A19,'LxI Assessment'!$D$5:$D$394,Q$5,'LxI Assessment'!$S$5:$S$394,"&gt;0")=0,"",SUMIFS('LxI Assessment'!$S$5:$S$394,'LxI Assessment'!$A$5:$A$394,$A19,'LxI Assessment'!$D$5:$D$394,Q$5)))</f>
        <v>3</v>
      </c>
      <c r="R19" s="31" t="n">
        <f aca="false">IF(COUNTIFS('LxI Assessment'!$A$5:$A$394,$A19,'LxI Assessment'!$D$5:$D$394,R$5,'LxI Assessment'!$F$5:$F$394,"N/A")&gt;0,"N/A",IF(COUNTIFS('LxI Assessment'!$A$5:$A$394,$A19,'LxI Assessment'!$D$5:$D$394,R$5,'LxI Assessment'!$S$5:$S$394,"&gt;0")=0,"",SUMIFS('LxI Assessment'!$S$5:$S$394,'LxI Assessment'!$A$5:$A$394,$A19,'LxI Assessment'!$D$5:$D$394,R$5)))</f>
        <v>4</v>
      </c>
      <c r="S19" s="31" t="n">
        <f aca="false">IF(COUNTIFS('LxI Assessment'!$A$5:$A$394,$A19,'LxI Assessment'!$D$5:$D$394,S$5,'LxI Assessment'!$F$5:$F$394,"N/A")&gt;0,"N/A",IF(COUNTIFS('LxI Assessment'!$A$5:$A$394,$A19,'LxI Assessment'!$D$5:$D$394,S$5,'LxI Assessment'!$S$5:$S$394,"&gt;0")=0,"",SUMIFS('LxI Assessment'!$S$5:$S$394,'LxI Assessment'!$A$5:$A$394,$A19,'LxI Assessment'!$D$5:$D$394,S$5)))</f>
        <v>1</v>
      </c>
      <c r="T19" s="31" t="n">
        <f aca="false">IF(COUNTIFS('LxI Assessment'!$A$5:$A$394,$A19,'LxI Assessment'!$D$5:$D$394,T$5,'LxI Assessment'!$F$5:$F$394,"N/A")&gt;0,"N/A",IF(COUNTIFS('LxI Assessment'!$A$5:$A$394,$A19,'LxI Assessment'!$D$5:$D$394,T$5,'LxI Assessment'!$S$5:$S$394,"&gt;0")=0,"",SUMIFS('LxI Assessment'!$S$5:$S$394,'LxI Assessment'!$A$5:$A$394,$A19,'LxI Assessment'!$D$5:$D$394,T$5)))</f>
        <v>3</v>
      </c>
      <c r="U19" s="31" t="n">
        <f aca="false">IF(COUNTIFS('LxI Assessment'!$A$5:$A$394,$A19,'LxI Assessment'!$D$5:$D$394,U$5,'LxI Assessment'!$F$5:$F$394,"N/A")&gt;0,"N/A",IF(COUNTIFS('LxI Assessment'!$A$5:$A$394,$A19,'LxI Assessment'!$D$5:$D$394,U$5,'LxI Assessment'!$S$5:$S$394,"&gt;0")=0,"",SUMIFS('LxI Assessment'!$S$5:$S$394,'LxI Assessment'!$A$5:$A$394,$A19,'LxI Assessment'!$D$5:$D$394,U$5)))</f>
        <v>3</v>
      </c>
      <c r="V19" s="31" t="n">
        <f aca="false">IF(COUNTIFS('LxI Assessment'!$A$5:$A$394,$A19,'LxI Assessment'!$D$5:$D$394,V$5,'LxI Assessment'!$F$5:$F$394,"N/A")&gt;0,"N/A",IF(COUNTIFS('LxI Assessment'!$A$5:$A$394,$A19,'LxI Assessment'!$D$5:$D$394,V$5,'LxI Assessment'!$S$5:$S$394,"&gt;0")=0,"",SUMIFS('LxI Assessment'!$S$5:$S$394,'LxI Assessment'!$A$5:$A$394,$A19,'LxI Assessment'!$D$5:$D$394,V$5)))</f>
        <v>4</v>
      </c>
      <c r="W19" s="34" t="n">
        <f aca="false">MAX(C19:V19)</f>
        <v>4</v>
      </c>
      <c r="X19" s="29" t="n">
        <f aca="false">IFERROR(AVERAGE(C19:V19),"")</f>
        <v>2.89473684210526</v>
      </c>
      <c r="Y19" s="31" t="n">
        <f aca="false">COUNTIF(C19:V19,5)</f>
        <v>0</v>
      </c>
      <c r="Z19" s="31" t="n">
        <f aca="false">COUNTIF(C19:V19,4)</f>
        <v>2</v>
      </c>
      <c r="AA19" s="7" t="str">
        <f aca="false">IF(W19=0,"",INDEX(Config!$B$5:$B$9,W19))</f>
        <v>Medium-High</v>
      </c>
    </row>
    <row r="20" customFormat="false" ht="15" hidden="false" customHeight="false" outlineLevel="0" collapsed="false">
      <c r="A20" s="26" t="str">
        <f aca="false">Entities!A19</f>
        <v>IQ</v>
      </c>
      <c r="B20" s="26" t="str">
        <f aca="false">Entities!B19</f>
        <v>Arab Bank Iraq</v>
      </c>
      <c r="C20" s="31" t="n">
        <f aca="false">IF(COUNTIFS('FC Calculation'!$A$5:$A$214,$A20,'FC Calculation'!$D$5:$D$214,C$5,'FC Calculation'!$T$5:$T$214,"&gt;0")=0,"",SUMIFS('FC Calculation'!$T$5:$T$214,'FC Calculation'!$A$5:$A$214,$A20,'FC Calculation'!$D$5:$D$214,C$5))</f>
        <v>4</v>
      </c>
      <c r="D20" s="31" t="n">
        <f aca="false">IF(COUNTIFS('FC Calculation'!$A$5:$A$214,$A20,'FC Calculation'!$D$5:$D$214,D$5,'FC Calculation'!$T$5:$T$214,"&gt;0")=0,"",SUMIFS('FC Calculation'!$T$5:$T$214,'FC Calculation'!$A$5:$A$214,$A20,'FC Calculation'!$D$5:$D$214,D$5))</f>
        <v>4</v>
      </c>
      <c r="E20" s="31" t="n">
        <f aca="false">IF(COUNTIFS('FC Calculation'!$A$5:$A$214,$A20,'FC Calculation'!$D$5:$D$214,E$5,'FC Calculation'!$T$5:$T$214,"&gt;0")=0,"",SUMIFS('FC Calculation'!$T$5:$T$214,'FC Calculation'!$A$5:$A$214,$A20,'FC Calculation'!$D$5:$D$214,E$5))</f>
        <v>4</v>
      </c>
      <c r="F20" s="31" t="n">
        <f aca="false">IF(COUNTIFS('FC Calculation'!$A$5:$A$214,$A20,'FC Calculation'!$D$5:$D$214,F$5,'FC Calculation'!$T$5:$T$214,"&gt;0")=0,"",SUMIFS('FC Calculation'!$T$5:$T$214,'FC Calculation'!$A$5:$A$214,$A20,'FC Calculation'!$D$5:$D$214,F$5))</f>
        <v>4</v>
      </c>
      <c r="G20" s="31" t="n">
        <f aca="false">IF(COUNTIFS('FC Calculation'!$A$5:$A$214,$A20,'FC Calculation'!$D$5:$D$214,G$5,'FC Calculation'!$T$5:$T$214,"&gt;0")=0,"",SUMIFS('FC Calculation'!$T$5:$T$214,'FC Calculation'!$A$5:$A$214,$A20,'FC Calculation'!$D$5:$D$214,G$5))</f>
        <v>4</v>
      </c>
      <c r="H20" s="31" t="n">
        <f aca="false">IF(COUNTIFS('FC Calculation'!$A$5:$A$214,$A20,'FC Calculation'!$D$5:$D$214,H$5,'FC Calculation'!$T$5:$T$214,"&gt;0")=0,"",SUMIFS('FC Calculation'!$T$5:$T$214,'FC Calculation'!$A$5:$A$214,$A20,'FC Calculation'!$D$5:$D$214,H$5))</f>
        <v>4</v>
      </c>
      <c r="I20" s="31" t="n">
        <f aca="false">IF(COUNTIFS('FC Calculation'!$A$5:$A$214,$A20,'FC Calculation'!$D$5:$D$214,I$5,'FC Calculation'!$T$5:$T$214,"&gt;0")=0,"",SUMIFS('FC Calculation'!$T$5:$T$214,'FC Calculation'!$A$5:$A$214,$A20,'FC Calculation'!$D$5:$D$214,I$5))</f>
        <v>4</v>
      </c>
      <c r="J20" s="31" t="n">
        <f aca="false">IF(COUNTIFS('LxI Assessment'!$A$5:$A$394,$A20,'LxI Assessment'!$D$5:$D$394,J$5,'LxI Assessment'!$F$5:$F$394,"N/A")&gt;0,"N/A",IF(COUNTIFS('LxI Assessment'!$A$5:$A$394,$A20,'LxI Assessment'!$D$5:$D$394,J$5,'LxI Assessment'!$S$5:$S$394,"&gt;0")=0,"",SUMIFS('LxI Assessment'!$S$5:$S$394,'LxI Assessment'!$A$5:$A$394,$A20,'LxI Assessment'!$D$5:$D$394,J$5)))</f>
        <v>5</v>
      </c>
      <c r="K20" s="31" t="n">
        <f aca="false">IF(COUNTIFS('LxI Assessment'!$A$5:$A$394,$A20,'LxI Assessment'!$D$5:$D$394,K$5,'LxI Assessment'!$F$5:$F$394,"N/A")&gt;0,"N/A",IF(COUNTIFS('LxI Assessment'!$A$5:$A$394,$A20,'LxI Assessment'!$D$5:$D$394,K$5,'LxI Assessment'!$S$5:$S$394,"&gt;0")=0,"",SUMIFS('LxI Assessment'!$S$5:$S$394,'LxI Assessment'!$A$5:$A$394,$A20,'LxI Assessment'!$D$5:$D$394,K$5)))</f>
        <v>3</v>
      </c>
      <c r="L20" s="31" t="n">
        <f aca="false">IF(COUNTIFS('LxI Assessment'!$A$5:$A$394,$A20,'LxI Assessment'!$D$5:$D$394,L$5,'LxI Assessment'!$F$5:$F$394,"N/A")&gt;0,"N/A",IF(COUNTIFS('LxI Assessment'!$A$5:$A$394,$A20,'LxI Assessment'!$D$5:$D$394,L$5,'LxI Assessment'!$S$5:$S$394,"&gt;0")=0,"",SUMIFS('LxI Assessment'!$S$5:$S$394,'LxI Assessment'!$A$5:$A$394,$A20,'LxI Assessment'!$D$5:$D$394,L$5)))</f>
        <v>5</v>
      </c>
      <c r="M20" s="31" t="str">
        <f aca="false">IF(COUNTIFS('LxI Assessment'!$A$5:$A$394,$A20,'LxI Assessment'!$D$5:$D$394,M$5,'LxI Assessment'!$F$5:$F$394,"N/A")&gt;0,"N/A",IF(COUNTIFS('LxI Assessment'!$A$5:$A$394,$A20,'LxI Assessment'!$D$5:$D$394,M$5,'LxI Assessment'!$S$5:$S$394,"&gt;0")=0,"",SUMIFS('LxI Assessment'!$S$5:$S$394,'LxI Assessment'!$A$5:$A$394,$A20,'LxI Assessment'!$D$5:$D$394,M$5)))</f>
        <v>N/A</v>
      </c>
      <c r="N20" s="31" t="n">
        <f aca="false">IF(COUNTIFS('LxI Assessment'!$A$5:$A$394,$A20,'LxI Assessment'!$D$5:$D$394,N$5,'LxI Assessment'!$F$5:$F$394,"N/A")&gt;0,"N/A",IF(COUNTIFS('LxI Assessment'!$A$5:$A$394,$A20,'LxI Assessment'!$D$5:$D$394,N$5,'LxI Assessment'!$S$5:$S$394,"&gt;0")=0,"",SUMIFS('LxI Assessment'!$S$5:$S$394,'LxI Assessment'!$A$5:$A$394,$A20,'LxI Assessment'!$D$5:$D$394,N$5)))</f>
        <v>4</v>
      </c>
      <c r="O20" s="31" t="n">
        <f aca="false">IF(COUNTIFS('LxI Assessment'!$A$5:$A$394,$A20,'LxI Assessment'!$D$5:$D$394,O$5,'LxI Assessment'!$F$5:$F$394,"N/A")&gt;0,"N/A",IF(COUNTIFS('LxI Assessment'!$A$5:$A$394,$A20,'LxI Assessment'!$D$5:$D$394,O$5,'LxI Assessment'!$S$5:$S$394,"&gt;0")=0,"",SUMIFS('LxI Assessment'!$S$5:$S$394,'LxI Assessment'!$A$5:$A$394,$A20,'LxI Assessment'!$D$5:$D$394,O$5)))</f>
        <v>4</v>
      </c>
      <c r="P20" s="31" t="n">
        <f aca="false">IF(COUNTIFS('LxI Assessment'!$A$5:$A$394,$A20,'LxI Assessment'!$D$5:$D$394,P$5,'LxI Assessment'!$F$5:$F$394,"N/A")&gt;0,"N/A",IF(COUNTIFS('LxI Assessment'!$A$5:$A$394,$A20,'LxI Assessment'!$D$5:$D$394,P$5,'LxI Assessment'!$S$5:$S$394,"&gt;0")=0,"",SUMIFS('LxI Assessment'!$S$5:$S$394,'LxI Assessment'!$A$5:$A$394,$A20,'LxI Assessment'!$D$5:$D$394,P$5)))</f>
        <v>5</v>
      </c>
      <c r="Q20" s="31" t="n">
        <f aca="false">IF(COUNTIFS('LxI Assessment'!$A$5:$A$394,$A20,'LxI Assessment'!$D$5:$D$394,Q$5,'LxI Assessment'!$F$5:$F$394,"N/A")&gt;0,"N/A",IF(COUNTIFS('LxI Assessment'!$A$5:$A$394,$A20,'LxI Assessment'!$D$5:$D$394,Q$5,'LxI Assessment'!$S$5:$S$394,"&gt;0")=0,"",SUMIFS('LxI Assessment'!$S$5:$S$394,'LxI Assessment'!$A$5:$A$394,$A20,'LxI Assessment'!$D$5:$D$394,Q$5)))</f>
        <v>5</v>
      </c>
      <c r="R20" s="31" t="n">
        <f aca="false">IF(COUNTIFS('LxI Assessment'!$A$5:$A$394,$A20,'LxI Assessment'!$D$5:$D$394,R$5,'LxI Assessment'!$F$5:$F$394,"N/A")&gt;0,"N/A",IF(COUNTIFS('LxI Assessment'!$A$5:$A$394,$A20,'LxI Assessment'!$D$5:$D$394,R$5,'LxI Assessment'!$S$5:$S$394,"&gt;0")=0,"",SUMIFS('LxI Assessment'!$S$5:$S$394,'LxI Assessment'!$A$5:$A$394,$A20,'LxI Assessment'!$D$5:$D$394,R$5)))</f>
        <v>5</v>
      </c>
      <c r="S20" s="31" t="n">
        <f aca="false">IF(COUNTIFS('LxI Assessment'!$A$5:$A$394,$A20,'LxI Assessment'!$D$5:$D$394,S$5,'LxI Assessment'!$F$5:$F$394,"N/A")&gt;0,"N/A",IF(COUNTIFS('LxI Assessment'!$A$5:$A$394,$A20,'LxI Assessment'!$D$5:$D$394,S$5,'LxI Assessment'!$S$5:$S$394,"&gt;0")=0,"",SUMIFS('LxI Assessment'!$S$5:$S$394,'LxI Assessment'!$A$5:$A$394,$A20,'LxI Assessment'!$D$5:$D$394,S$5)))</f>
        <v>4</v>
      </c>
      <c r="T20" s="31" t="n">
        <f aca="false">IF(COUNTIFS('LxI Assessment'!$A$5:$A$394,$A20,'LxI Assessment'!$D$5:$D$394,T$5,'LxI Assessment'!$F$5:$F$394,"N/A")&gt;0,"N/A",IF(COUNTIFS('LxI Assessment'!$A$5:$A$394,$A20,'LxI Assessment'!$D$5:$D$394,T$5,'LxI Assessment'!$S$5:$S$394,"&gt;0")=0,"",SUMIFS('LxI Assessment'!$S$5:$S$394,'LxI Assessment'!$A$5:$A$394,$A20,'LxI Assessment'!$D$5:$D$394,T$5)))</f>
        <v>3</v>
      </c>
      <c r="U20" s="31" t="n">
        <f aca="false">IF(COUNTIFS('LxI Assessment'!$A$5:$A$394,$A20,'LxI Assessment'!$D$5:$D$394,U$5,'LxI Assessment'!$F$5:$F$394,"N/A")&gt;0,"N/A",IF(COUNTIFS('LxI Assessment'!$A$5:$A$394,$A20,'LxI Assessment'!$D$5:$D$394,U$5,'LxI Assessment'!$S$5:$S$394,"&gt;0")=0,"",SUMIFS('LxI Assessment'!$S$5:$S$394,'LxI Assessment'!$A$5:$A$394,$A20,'LxI Assessment'!$D$5:$D$394,U$5)))</f>
        <v>5</v>
      </c>
      <c r="V20" s="31" t="n">
        <f aca="false">IF(COUNTIFS('LxI Assessment'!$A$5:$A$394,$A20,'LxI Assessment'!$D$5:$D$394,V$5,'LxI Assessment'!$F$5:$F$394,"N/A")&gt;0,"N/A",IF(COUNTIFS('LxI Assessment'!$A$5:$A$394,$A20,'LxI Assessment'!$D$5:$D$394,V$5,'LxI Assessment'!$S$5:$S$394,"&gt;0")=0,"",SUMIFS('LxI Assessment'!$S$5:$S$394,'LxI Assessment'!$A$5:$A$394,$A20,'LxI Assessment'!$D$5:$D$394,V$5)))</f>
        <v>4</v>
      </c>
      <c r="W20" s="34" t="n">
        <f aca="false">MAX(C20:V20)</f>
        <v>5</v>
      </c>
      <c r="X20" s="29" t="n">
        <f aca="false">IFERROR(AVERAGE(C20:V20),"")</f>
        <v>4.21052631578947</v>
      </c>
      <c r="Y20" s="31" t="n">
        <f aca="false">COUNTIF(C20:V20,5)</f>
        <v>6</v>
      </c>
      <c r="Z20" s="31" t="n">
        <f aca="false">COUNTIF(C20:V20,4)</f>
        <v>11</v>
      </c>
      <c r="AA20" s="7" t="str">
        <f aca="false">IF(W20=0,"",INDEX(Config!$B$5:$B$9,W20))</f>
        <v>High</v>
      </c>
    </row>
    <row r="21" customFormat="false" ht="15" hidden="false" customHeight="false" outlineLevel="0" collapsed="false">
      <c r="A21" s="26" t="str">
        <f aca="false">Entities!A20</f>
        <v>YE</v>
      </c>
      <c r="B21" s="26" t="str">
        <f aca="false">Entities!B20</f>
        <v>Arab Bank – Yemen</v>
      </c>
      <c r="C21" s="31" t="n">
        <f aca="false">IF(COUNTIFS('FC Calculation'!$A$5:$A$214,$A21,'FC Calculation'!$D$5:$D$214,C$5,'FC Calculation'!$T$5:$T$214,"&gt;0")=0,"",SUMIFS('FC Calculation'!$T$5:$T$214,'FC Calculation'!$A$5:$A$214,$A21,'FC Calculation'!$D$5:$D$214,C$5))</f>
        <v>4</v>
      </c>
      <c r="D21" s="31" t="n">
        <f aca="false">IF(COUNTIFS('FC Calculation'!$A$5:$A$214,$A21,'FC Calculation'!$D$5:$D$214,D$5,'FC Calculation'!$T$5:$T$214,"&gt;0")=0,"",SUMIFS('FC Calculation'!$T$5:$T$214,'FC Calculation'!$A$5:$A$214,$A21,'FC Calculation'!$D$5:$D$214,D$5))</f>
        <v>4</v>
      </c>
      <c r="E21" s="31" t="n">
        <f aca="false">IF(COUNTIFS('FC Calculation'!$A$5:$A$214,$A21,'FC Calculation'!$D$5:$D$214,E$5,'FC Calculation'!$T$5:$T$214,"&gt;0")=0,"",SUMIFS('FC Calculation'!$T$5:$T$214,'FC Calculation'!$A$5:$A$214,$A21,'FC Calculation'!$D$5:$D$214,E$5))</f>
        <v>4</v>
      </c>
      <c r="F21" s="31" t="n">
        <f aca="false">IF(COUNTIFS('FC Calculation'!$A$5:$A$214,$A21,'FC Calculation'!$D$5:$D$214,F$5,'FC Calculation'!$T$5:$T$214,"&gt;0")=0,"",SUMIFS('FC Calculation'!$T$5:$T$214,'FC Calculation'!$A$5:$A$214,$A21,'FC Calculation'!$D$5:$D$214,F$5))</f>
        <v>4</v>
      </c>
      <c r="G21" s="31" t="n">
        <f aca="false">IF(COUNTIFS('FC Calculation'!$A$5:$A$214,$A21,'FC Calculation'!$D$5:$D$214,G$5,'FC Calculation'!$T$5:$T$214,"&gt;0")=0,"",SUMIFS('FC Calculation'!$T$5:$T$214,'FC Calculation'!$A$5:$A$214,$A21,'FC Calculation'!$D$5:$D$214,G$5))</f>
        <v>4</v>
      </c>
      <c r="H21" s="31" t="n">
        <f aca="false">IF(COUNTIFS('FC Calculation'!$A$5:$A$214,$A21,'FC Calculation'!$D$5:$D$214,H$5,'FC Calculation'!$T$5:$T$214,"&gt;0")=0,"",SUMIFS('FC Calculation'!$T$5:$T$214,'FC Calculation'!$A$5:$A$214,$A21,'FC Calculation'!$D$5:$D$214,H$5))</f>
        <v>4</v>
      </c>
      <c r="I21" s="31" t="n">
        <f aca="false">IF(COUNTIFS('FC Calculation'!$A$5:$A$214,$A21,'FC Calculation'!$D$5:$D$214,I$5,'FC Calculation'!$T$5:$T$214,"&gt;0")=0,"",SUMIFS('FC Calculation'!$T$5:$T$214,'FC Calculation'!$A$5:$A$214,$A21,'FC Calculation'!$D$5:$D$214,I$5))</f>
        <v>4</v>
      </c>
      <c r="J21" s="31" t="n">
        <f aca="false">IF(COUNTIFS('LxI Assessment'!$A$5:$A$394,$A21,'LxI Assessment'!$D$5:$D$394,J$5,'LxI Assessment'!$F$5:$F$394,"N/A")&gt;0,"N/A",IF(COUNTIFS('LxI Assessment'!$A$5:$A$394,$A21,'LxI Assessment'!$D$5:$D$394,J$5,'LxI Assessment'!$S$5:$S$394,"&gt;0")=0,"",SUMIFS('LxI Assessment'!$S$5:$S$394,'LxI Assessment'!$A$5:$A$394,$A21,'LxI Assessment'!$D$5:$D$394,J$5)))</f>
        <v>5</v>
      </c>
      <c r="K21" s="31" t="n">
        <f aca="false">IF(COUNTIFS('LxI Assessment'!$A$5:$A$394,$A21,'LxI Assessment'!$D$5:$D$394,K$5,'LxI Assessment'!$F$5:$F$394,"N/A")&gt;0,"N/A",IF(COUNTIFS('LxI Assessment'!$A$5:$A$394,$A21,'LxI Assessment'!$D$5:$D$394,K$5,'LxI Assessment'!$S$5:$S$394,"&gt;0")=0,"",SUMIFS('LxI Assessment'!$S$5:$S$394,'LxI Assessment'!$A$5:$A$394,$A21,'LxI Assessment'!$D$5:$D$394,K$5)))</f>
        <v>3</v>
      </c>
      <c r="L21" s="31" t="n">
        <f aca="false">IF(COUNTIFS('LxI Assessment'!$A$5:$A$394,$A21,'LxI Assessment'!$D$5:$D$394,L$5,'LxI Assessment'!$F$5:$F$394,"N/A")&gt;0,"N/A",IF(COUNTIFS('LxI Assessment'!$A$5:$A$394,$A21,'LxI Assessment'!$D$5:$D$394,L$5,'LxI Assessment'!$S$5:$S$394,"&gt;0")=0,"",SUMIFS('LxI Assessment'!$S$5:$S$394,'LxI Assessment'!$A$5:$A$394,$A21,'LxI Assessment'!$D$5:$D$394,L$5)))</f>
        <v>4</v>
      </c>
      <c r="M21" s="31" t="str">
        <f aca="false">IF(COUNTIFS('LxI Assessment'!$A$5:$A$394,$A21,'LxI Assessment'!$D$5:$D$394,M$5,'LxI Assessment'!$F$5:$F$394,"N/A")&gt;0,"N/A",IF(COUNTIFS('LxI Assessment'!$A$5:$A$394,$A21,'LxI Assessment'!$D$5:$D$394,M$5,'LxI Assessment'!$S$5:$S$394,"&gt;0")=0,"",SUMIFS('LxI Assessment'!$S$5:$S$394,'LxI Assessment'!$A$5:$A$394,$A21,'LxI Assessment'!$D$5:$D$394,M$5)))</f>
        <v>N/A</v>
      </c>
      <c r="N21" s="31" t="n">
        <f aca="false">IF(COUNTIFS('LxI Assessment'!$A$5:$A$394,$A21,'LxI Assessment'!$D$5:$D$394,N$5,'LxI Assessment'!$F$5:$F$394,"N/A")&gt;0,"N/A",IF(COUNTIFS('LxI Assessment'!$A$5:$A$394,$A21,'LxI Assessment'!$D$5:$D$394,N$5,'LxI Assessment'!$S$5:$S$394,"&gt;0")=0,"",SUMIFS('LxI Assessment'!$S$5:$S$394,'LxI Assessment'!$A$5:$A$394,$A21,'LxI Assessment'!$D$5:$D$394,N$5)))</f>
        <v>5</v>
      </c>
      <c r="O21" s="31" t="n">
        <f aca="false">IF(COUNTIFS('LxI Assessment'!$A$5:$A$394,$A21,'LxI Assessment'!$D$5:$D$394,O$5,'LxI Assessment'!$F$5:$F$394,"N/A")&gt;0,"N/A",IF(COUNTIFS('LxI Assessment'!$A$5:$A$394,$A21,'LxI Assessment'!$D$5:$D$394,O$5,'LxI Assessment'!$S$5:$S$394,"&gt;0")=0,"",SUMIFS('LxI Assessment'!$S$5:$S$394,'LxI Assessment'!$A$5:$A$394,$A21,'LxI Assessment'!$D$5:$D$394,O$5)))</f>
        <v>5</v>
      </c>
      <c r="P21" s="31" t="n">
        <f aca="false">IF(COUNTIFS('LxI Assessment'!$A$5:$A$394,$A21,'LxI Assessment'!$D$5:$D$394,P$5,'LxI Assessment'!$F$5:$F$394,"N/A")&gt;0,"N/A",IF(COUNTIFS('LxI Assessment'!$A$5:$A$394,$A21,'LxI Assessment'!$D$5:$D$394,P$5,'LxI Assessment'!$S$5:$S$394,"&gt;0")=0,"",SUMIFS('LxI Assessment'!$S$5:$S$394,'LxI Assessment'!$A$5:$A$394,$A21,'LxI Assessment'!$D$5:$D$394,P$5)))</f>
        <v>5</v>
      </c>
      <c r="Q21" s="31" t="n">
        <f aca="false">IF(COUNTIFS('LxI Assessment'!$A$5:$A$394,$A21,'LxI Assessment'!$D$5:$D$394,Q$5,'LxI Assessment'!$F$5:$F$394,"N/A")&gt;0,"N/A",IF(COUNTIFS('LxI Assessment'!$A$5:$A$394,$A21,'LxI Assessment'!$D$5:$D$394,Q$5,'LxI Assessment'!$S$5:$S$394,"&gt;0")=0,"",SUMIFS('LxI Assessment'!$S$5:$S$394,'LxI Assessment'!$A$5:$A$394,$A21,'LxI Assessment'!$D$5:$D$394,Q$5)))</f>
        <v>4</v>
      </c>
      <c r="R21" s="31" t="n">
        <f aca="false">IF(COUNTIFS('LxI Assessment'!$A$5:$A$394,$A21,'LxI Assessment'!$D$5:$D$394,R$5,'LxI Assessment'!$F$5:$F$394,"N/A")&gt;0,"N/A",IF(COUNTIFS('LxI Assessment'!$A$5:$A$394,$A21,'LxI Assessment'!$D$5:$D$394,R$5,'LxI Assessment'!$S$5:$S$394,"&gt;0")=0,"",SUMIFS('LxI Assessment'!$S$5:$S$394,'LxI Assessment'!$A$5:$A$394,$A21,'LxI Assessment'!$D$5:$D$394,R$5)))</f>
        <v>5</v>
      </c>
      <c r="S21" s="31" t="n">
        <f aca="false">IF(COUNTIFS('LxI Assessment'!$A$5:$A$394,$A21,'LxI Assessment'!$D$5:$D$394,S$5,'LxI Assessment'!$F$5:$F$394,"N/A")&gt;0,"N/A",IF(COUNTIFS('LxI Assessment'!$A$5:$A$394,$A21,'LxI Assessment'!$D$5:$D$394,S$5,'LxI Assessment'!$S$5:$S$394,"&gt;0")=0,"",SUMIFS('LxI Assessment'!$S$5:$S$394,'LxI Assessment'!$A$5:$A$394,$A21,'LxI Assessment'!$D$5:$D$394,S$5)))</f>
        <v>5</v>
      </c>
      <c r="T21" s="31" t="n">
        <f aca="false">IF(COUNTIFS('LxI Assessment'!$A$5:$A$394,$A21,'LxI Assessment'!$D$5:$D$394,T$5,'LxI Assessment'!$F$5:$F$394,"N/A")&gt;0,"N/A",IF(COUNTIFS('LxI Assessment'!$A$5:$A$394,$A21,'LxI Assessment'!$D$5:$D$394,T$5,'LxI Assessment'!$S$5:$S$394,"&gt;0")=0,"",SUMIFS('LxI Assessment'!$S$5:$S$394,'LxI Assessment'!$A$5:$A$394,$A21,'LxI Assessment'!$D$5:$D$394,T$5)))</f>
        <v>4</v>
      </c>
      <c r="U21" s="31" t="n">
        <f aca="false">IF(COUNTIFS('LxI Assessment'!$A$5:$A$394,$A21,'LxI Assessment'!$D$5:$D$394,U$5,'LxI Assessment'!$F$5:$F$394,"N/A")&gt;0,"N/A",IF(COUNTIFS('LxI Assessment'!$A$5:$A$394,$A21,'LxI Assessment'!$D$5:$D$394,U$5,'LxI Assessment'!$S$5:$S$394,"&gt;0")=0,"",SUMIFS('LxI Assessment'!$S$5:$S$394,'LxI Assessment'!$A$5:$A$394,$A21,'LxI Assessment'!$D$5:$D$394,U$5)))</f>
        <v>3</v>
      </c>
      <c r="V21" s="31" t="n">
        <f aca="false">IF(COUNTIFS('LxI Assessment'!$A$5:$A$394,$A21,'LxI Assessment'!$D$5:$D$394,V$5,'LxI Assessment'!$F$5:$F$394,"N/A")&gt;0,"N/A",IF(COUNTIFS('LxI Assessment'!$A$5:$A$394,$A21,'LxI Assessment'!$D$5:$D$394,V$5,'LxI Assessment'!$S$5:$S$394,"&gt;0")=0,"",SUMIFS('LxI Assessment'!$S$5:$S$394,'LxI Assessment'!$A$5:$A$394,$A21,'LxI Assessment'!$D$5:$D$394,V$5)))</f>
        <v>5</v>
      </c>
      <c r="W21" s="34" t="n">
        <f aca="false">MAX(C21:V21)</f>
        <v>5</v>
      </c>
      <c r="X21" s="29" t="n">
        <f aca="false">IFERROR(AVERAGE(C21:V21),"")</f>
        <v>4.26315789473684</v>
      </c>
      <c r="Y21" s="31" t="n">
        <f aca="false">COUNTIF(C21:V21,5)</f>
        <v>7</v>
      </c>
      <c r="Z21" s="31" t="n">
        <f aca="false">COUNTIF(C21:V21,4)</f>
        <v>10</v>
      </c>
      <c r="AA21" s="7" t="str">
        <f aca="false">IF(W21=0,"",INDEX(Config!$B$5:$B$9,W21))</f>
        <v>High</v>
      </c>
    </row>
    <row r="22" customFormat="false" ht="15" hidden="false" customHeight="false" outlineLevel="0" collapsed="false">
      <c r="A22" s="26" t="str">
        <f aca="false">Entities!A21</f>
        <v>EG</v>
      </c>
      <c r="B22" s="26" t="str">
        <f aca="false">Entities!B21</f>
        <v>Arab Bank – Egypt</v>
      </c>
      <c r="C22" s="31" t="n">
        <f aca="false">IF(COUNTIFS('FC Calculation'!$A$5:$A$214,$A22,'FC Calculation'!$D$5:$D$214,C$5,'FC Calculation'!$T$5:$T$214,"&gt;0")=0,"",SUMIFS('FC Calculation'!$T$5:$T$214,'FC Calculation'!$A$5:$A$214,$A22,'FC Calculation'!$D$5:$D$214,C$5))</f>
        <v>2</v>
      </c>
      <c r="D22" s="31" t="n">
        <f aca="false">IF(COUNTIFS('FC Calculation'!$A$5:$A$214,$A22,'FC Calculation'!$D$5:$D$214,D$5,'FC Calculation'!$T$5:$T$214,"&gt;0")=0,"",SUMIFS('FC Calculation'!$T$5:$T$214,'FC Calculation'!$A$5:$A$214,$A22,'FC Calculation'!$D$5:$D$214,D$5))</f>
        <v>2</v>
      </c>
      <c r="E22" s="31" t="n">
        <f aca="false">IF(COUNTIFS('FC Calculation'!$A$5:$A$214,$A22,'FC Calculation'!$D$5:$D$214,E$5,'FC Calculation'!$T$5:$T$214,"&gt;0")=0,"",SUMIFS('FC Calculation'!$T$5:$T$214,'FC Calculation'!$A$5:$A$214,$A22,'FC Calculation'!$D$5:$D$214,E$5))</f>
        <v>2</v>
      </c>
      <c r="F22" s="31" t="n">
        <f aca="false">IF(COUNTIFS('FC Calculation'!$A$5:$A$214,$A22,'FC Calculation'!$D$5:$D$214,F$5,'FC Calculation'!$T$5:$T$214,"&gt;0")=0,"",SUMIFS('FC Calculation'!$T$5:$T$214,'FC Calculation'!$A$5:$A$214,$A22,'FC Calculation'!$D$5:$D$214,F$5))</f>
        <v>2</v>
      </c>
      <c r="G22" s="31" t="n">
        <f aca="false">IF(COUNTIFS('FC Calculation'!$A$5:$A$214,$A22,'FC Calculation'!$D$5:$D$214,G$5,'FC Calculation'!$T$5:$T$214,"&gt;0")=0,"",SUMIFS('FC Calculation'!$T$5:$T$214,'FC Calculation'!$A$5:$A$214,$A22,'FC Calculation'!$D$5:$D$214,G$5))</f>
        <v>2</v>
      </c>
      <c r="H22" s="31" t="n">
        <f aca="false">IF(COUNTIFS('FC Calculation'!$A$5:$A$214,$A22,'FC Calculation'!$D$5:$D$214,H$5,'FC Calculation'!$T$5:$T$214,"&gt;0")=0,"",SUMIFS('FC Calculation'!$T$5:$T$214,'FC Calculation'!$A$5:$A$214,$A22,'FC Calculation'!$D$5:$D$214,H$5))</f>
        <v>3</v>
      </c>
      <c r="I22" s="31" t="n">
        <f aca="false">IF(COUNTIFS('FC Calculation'!$A$5:$A$214,$A22,'FC Calculation'!$D$5:$D$214,I$5,'FC Calculation'!$T$5:$T$214,"&gt;0")=0,"",SUMIFS('FC Calculation'!$T$5:$T$214,'FC Calculation'!$A$5:$A$214,$A22,'FC Calculation'!$D$5:$D$214,I$5))</f>
        <v>2</v>
      </c>
      <c r="J22" s="31" t="n">
        <f aca="false">IF(COUNTIFS('LxI Assessment'!$A$5:$A$394,$A22,'LxI Assessment'!$D$5:$D$394,J$5,'LxI Assessment'!$F$5:$F$394,"N/A")&gt;0,"N/A",IF(COUNTIFS('LxI Assessment'!$A$5:$A$394,$A22,'LxI Assessment'!$D$5:$D$394,J$5,'LxI Assessment'!$S$5:$S$394,"&gt;0")=0,"",SUMIFS('LxI Assessment'!$S$5:$S$394,'LxI Assessment'!$A$5:$A$394,$A22,'LxI Assessment'!$D$5:$D$394,J$5)))</f>
        <v>2</v>
      </c>
      <c r="K22" s="31" t="n">
        <f aca="false">IF(COUNTIFS('LxI Assessment'!$A$5:$A$394,$A22,'LxI Assessment'!$D$5:$D$394,K$5,'LxI Assessment'!$F$5:$F$394,"N/A")&gt;0,"N/A",IF(COUNTIFS('LxI Assessment'!$A$5:$A$394,$A22,'LxI Assessment'!$D$5:$D$394,K$5,'LxI Assessment'!$S$5:$S$394,"&gt;0")=0,"",SUMIFS('LxI Assessment'!$S$5:$S$394,'LxI Assessment'!$A$5:$A$394,$A22,'LxI Assessment'!$D$5:$D$394,K$5)))</f>
        <v>3</v>
      </c>
      <c r="L22" s="31" t="n">
        <f aca="false">IF(COUNTIFS('LxI Assessment'!$A$5:$A$394,$A22,'LxI Assessment'!$D$5:$D$394,L$5,'LxI Assessment'!$F$5:$F$394,"N/A")&gt;0,"N/A",IF(COUNTIFS('LxI Assessment'!$A$5:$A$394,$A22,'LxI Assessment'!$D$5:$D$394,L$5,'LxI Assessment'!$S$5:$S$394,"&gt;0")=0,"",SUMIFS('LxI Assessment'!$S$5:$S$394,'LxI Assessment'!$A$5:$A$394,$A22,'LxI Assessment'!$D$5:$D$394,L$5)))</f>
        <v>3</v>
      </c>
      <c r="M22" s="31" t="str">
        <f aca="false">IF(COUNTIFS('LxI Assessment'!$A$5:$A$394,$A22,'LxI Assessment'!$D$5:$D$394,M$5,'LxI Assessment'!$F$5:$F$394,"N/A")&gt;0,"N/A",IF(COUNTIFS('LxI Assessment'!$A$5:$A$394,$A22,'LxI Assessment'!$D$5:$D$394,M$5,'LxI Assessment'!$S$5:$S$394,"&gt;0")=0,"",SUMIFS('LxI Assessment'!$S$5:$S$394,'LxI Assessment'!$A$5:$A$394,$A22,'LxI Assessment'!$D$5:$D$394,M$5)))</f>
        <v>N/A</v>
      </c>
      <c r="N22" s="31" t="n">
        <f aca="false">IF(COUNTIFS('LxI Assessment'!$A$5:$A$394,$A22,'LxI Assessment'!$D$5:$D$394,N$5,'LxI Assessment'!$F$5:$F$394,"N/A")&gt;0,"N/A",IF(COUNTIFS('LxI Assessment'!$A$5:$A$394,$A22,'LxI Assessment'!$D$5:$D$394,N$5,'LxI Assessment'!$S$5:$S$394,"&gt;0")=0,"",SUMIFS('LxI Assessment'!$S$5:$S$394,'LxI Assessment'!$A$5:$A$394,$A22,'LxI Assessment'!$D$5:$D$394,N$5)))</f>
        <v>3</v>
      </c>
      <c r="O22" s="31" t="n">
        <f aca="false">IF(COUNTIFS('LxI Assessment'!$A$5:$A$394,$A22,'LxI Assessment'!$D$5:$D$394,O$5,'LxI Assessment'!$F$5:$F$394,"N/A")&gt;0,"N/A",IF(COUNTIFS('LxI Assessment'!$A$5:$A$394,$A22,'LxI Assessment'!$D$5:$D$394,O$5,'LxI Assessment'!$S$5:$S$394,"&gt;0")=0,"",SUMIFS('LxI Assessment'!$S$5:$S$394,'LxI Assessment'!$A$5:$A$394,$A22,'LxI Assessment'!$D$5:$D$394,O$5)))</f>
        <v>3</v>
      </c>
      <c r="P22" s="31" t="n">
        <f aca="false">IF(COUNTIFS('LxI Assessment'!$A$5:$A$394,$A22,'LxI Assessment'!$D$5:$D$394,P$5,'LxI Assessment'!$F$5:$F$394,"N/A")&gt;0,"N/A",IF(COUNTIFS('LxI Assessment'!$A$5:$A$394,$A22,'LxI Assessment'!$D$5:$D$394,P$5,'LxI Assessment'!$S$5:$S$394,"&gt;0")=0,"",SUMIFS('LxI Assessment'!$S$5:$S$394,'LxI Assessment'!$A$5:$A$394,$A22,'LxI Assessment'!$D$5:$D$394,P$5)))</f>
        <v>2</v>
      </c>
      <c r="Q22" s="31" t="n">
        <f aca="false">IF(COUNTIFS('LxI Assessment'!$A$5:$A$394,$A22,'LxI Assessment'!$D$5:$D$394,Q$5,'LxI Assessment'!$F$5:$F$394,"N/A")&gt;0,"N/A",IF(COUNTIFS('LxI Assessment'!$A$5:$A$394,$A22,'LxI Assessment'!$D$5:$D$394,Q$5,'LxI Assessment'!$S$5:$S$394,"&gt;0")=0,"",SUMIFS('LxI Assessment'!$S$5:$S$394,'LxI Assessment'!$A$5:$A$394,$A22,'LxI Assessment'!$D$5:$D$394,Q$5)))</f>
        <v>3</v>
      </c>
      <c r="R22" s="31" t="n">
        <f aca="false">IF(COUNTIFS('LxI Assessment'!$A$5:$A$394,$A22,'LxI Assessment'!$D$5:$D$394,R$5,'LxI Assessment'!$F$5:$F$394,"N/A")&gt;0,"N/A",IF(COUNTIFS('LxI Assessment'!$A$5:$A$394,$A22,'LxI Assessment'!$D$5:$D$394,R$5,'LxI Assessment'!$S$5:$S$394,"&gt;0")=0,"",SUMIFS('LxI Assessment'!$S$5:$S$394,'LxI Assessment'!$A$5:$A$394,$A22,'LxI Assessment'!$D$5:$D$394,R$5)))</f>
        <v>3</v>
      </c>
      <c r="S22" s="31" t="n">
        <f aca="false">IF(COUNTIFS('LxI Assessment'!$A$5:$A$394,$A22,'LxI Assessment'!$D$5:$D$394,S$5,'LxI Assessment'!$F$5:$F$394,"N/A")&gt;0,"N/A",IF(COUNTIFS('LxI Assessment'!$A$5:$A$394,$A22,'LxI Assessment'!$D$5:$D$394,S$5,'LxI Assessment'!$S$5:$S$394,"&gt;0")=0,"",SUMIFS('LxI Assessment'!$S$5:$S$394,'LxI Assessment'!$A$5:$A$394,$A22,'LxI Assessment'!$D$5:$D$394,S$5)))</f>
        <v>2</v>
      </c>
      <c r="T22" s="31" t="n">
        <f aca="false">IF(COUNTIFS('LxI Assessment'!$A$5:$A$394,$A22,'LxI Assessment'!$D$5:$D$394,T$5,'LxI Assessment'!$F$5:$F$394,"N/A")&gt;0,"N/A",IF(COUNTIFS('LxI Assessment'!$A$5:$A$394,$A22,'LxI Assessment'!$D$5:$D$394,T$5,'LxI Assessment'!$S$5:$S$394,"&gt;0")=0,"",SUMIFS('LxI Assessment'!$S$5:$S$394,'LxI Assessment'!$A$5:$A$394,$A22,'LxI Assessment'!$D$5:$D$394,T$5)))</f>
        <v>2</v>
      </c>
      <c r="U22" s="31" t="n">
        <f aca="false">IF(COUNTIFS('LxI Assessment'!$A$5:$A$394,$A22,'LxI Assessment'!$D$5:$D$394,U$5,'LxI Assessment'!$F$5:$F$394,"N/A")&gt;0,"N/A",IF(COUNTIFS('LxI Assessment'!$A$5:$A$394,$A22,'LxI Assessment'!$D$5:$D$394,U$5,'LxI Assessment'!$S$5:$S$394,"&gt;0")=0,"",SUMIFS('LxI Assessment'!$S$5:$S$394,'LxI Assessment'!$A$5:$A$394,$A22,'LxI Assessment'!$D$5:$D$394,U$5)))</f>
        <v>3</v>
      </c>
      <c r="V22" s="31" t="n">
        <f aca="false">IF(COUNTIFS('LxI Assessment'!$A$5:$A$394,$A22,'LxI Assessment'!$D$5:$D$394,V$5,'LxI Assessment'!$F$5:$F$394,"N/A")&gt;0,"N/A",IF(COUNTIFS('LxI Assessment'!$A$5:$A$394,$A22,'LxI Assessment'!$D$5:$D$394,V$5,'LxI Assessment'!$S$5:$S$394,"&gt;0")=0,"",SUMIFS('LxI Assessment'!$S$5:$S$394,'LxI Assessment'!$A$5:$A$394,$A22,'LxI Assessment'!$D$5:$D$394,V$5)))</f>
        <v>3</v>
      </c>
      <c r="W22" s="34" t="n">
        <f aca="false">MAX(C22:V22)</f>
        <v>3</v>
      </c>
      <c r="X22" s="29" t="n">
        <f aca="false">IFERROR(AVERAGE(C22:V22),"")</f>
        <v>2.47368421052632</v>
      </c>
      <c r="Y22" s="31" t="n">
        <f aca="false">COUNTIF(C22:V22,5)</f>
        <v>0</v>
      </c>
      <c r="Z22" s="31" t="n">
        <f aca="false">COUNTIF(C22:V22,4)</f>
        <v>0</v>
      </c>
      <c r="AA22" s="7" t="str">
        <f aca="false">IF(W22=0,"",INDEX(Config!$B$5:$B$9,W22))</f>
        <v>Medium</v>
      </c>
    </row>
    <row r="23" customFormat="false" ht="15" hidden="false" customHeight="false" outlineLevel="0" collapsed="false">
      <c r="A23" s="26" t="str">
        <f aca="false">Entities!A22</f>
        <v>DZ</v>
      </c>
      <c r="B23" s="26" t="str">
        <f aca="false">Entities!B22</f>
        <v>Arab Bank – Algeria</v>
      </c>
      <c r="C23" s="31" t="n">
        <f aca="false">IF(COUNTIFS('FC Calculation'!$A$5:$A$214,$A23,'FC Calculation'!$D$5:$D$214,C$5,'FC Calculation'!$T$5:$T$214,"&gt;0")=0,"",SUMIFS('FC Calculation'!$T$5:$T$214,'FC Calculation'!$A$5:$A$214,$A23,'FC Calculation'!$D$5:$D$214,C$5))</f>
        <v>3</v>
      </c>
      <c r="D23" s="31" t="n">
        <f aca="false">IF(COUNTIFS('FC Calculation'!$A$5:$A$214,$A23,'FC Calculation'!$D$5:$D$214,D$5,'FC Calculation'!$T$5:$T$214,"&gt;0")=0,"",SUMIFS('FC Calculation'!$T$5:$T$214,'FC Calculation'!$A$5:$A$214,$A23,'FC Calculation'!$D$5:$D$214,D$5))</f>
        <v>3</v>
      </c>
      <c r="E23" s="31" t="n">
        <f aca="false">IF(COUNTIFS('FC Calculation'!$A$5:$A$214,$A23,'FC Calculation'!$D$5:$D$214,E$5,'FC Calculation'!$T$5:$T$214,"&gt;0")=0,"",SUMIFS('FC Calculation'!$T$5:$T$214,'FC Calculation'!$A$5:$A$214,$A23,'FC Calculation'!$D$5:$D$214,E$5))</f>
        <v>3</v>
      </c>
      <c r="F23" s="31" t="n">
        <f aca="false">IF(COUNTIFS('FC Calculation'!$A$5:$A$214,$A23,'FC Calculation'!$D$5:$D$214,F$5,'FC Calculation'!$T$5:$T$214,"&gt;0")=0,"",SUMIFS('FC Calculation'!$T$5:$T$214,'FC Calculation'!$A$5:$A$214,$A23,'FC Calculation'!$D$5:$D$214,F$5))</f>
        <v>3</v>
      </c>
      <c r="G23" s="31" t="n">
        <f aca="false">IF(COUNTIFS('FC Calculation'!$A$5:$A$214,$A23,'FC Calculation'!$D$5:$D$214,G$5,'FC Calculation'!$T$5:$T$214,"&gt;0")=0,"",SUMIFS('FC Calculation'!$T$5:$T$214,'FC Calculation'!$A$5:$A$214,$A23,'FC Calculation'!$D$5:$D$214,G$5))</f>
        <v>3</v>
      </c>
      <c r="H23" s="31" t="n">
        <f aca="false">IF(COUNTIFS('FC Calculation'!$A$5:$A$214,$A23,'FC Calculation'!$D$5:$D$214,H$5,'FC Calculation'!$T$5:$T$214,"&gt;0")=0,"",SUMIFS('FC Calculation'!$T$5:$T$214,'FC Calculation'!$A$5:$A$214,$A23,'FC Calculation'!$D$5:$D$214,H$5))</f>
        <v>3</v>
      </c>
      <c r="I23" s="31" t="n">
        <f aca="false">IF(COUNTIFS('FC Calculation'!$A$5:$A$214,$A23,'FC Calculation'!$D$5:$D$214,I$5,'FC Calculation'!$T$5:$T$214,"&gt;0")=0,"",SUMIFS('FC Calculation'!$T$5:$T$214,'FC Calculation'!$A$5:$A$214,$A23,'FC Calculation'!$D$5:$D$214,I$5))</f>
        <v>3</v>
      </c>
      <c r="J23" s="31" t="n">
        <f aca="false">IF(COUNTIFS('LxI Assessment'!$A$5:$A$394,$A23,'LxI Assessment'!$D$5:$D$394,J$5,'LxI Assessment'!$F$5:$F$394,"N/A")&gt;0,"N/A",IF(COUNTIFS('LxI Assessment'!$A$5:$A$394,$A23,'LxI Assessment'!$D$5:$D$394,J$5,'LxI Assessment'!$S$5:$S$394,"&gt;0")=0,"",SUMIFS('LxI Assessment'!$S$5:$S$394,'LxI Assessment'!$A$5:$A$394,$A23,'LxI Assessment'!$D$5:$D$394,J$5)))</f>
        <v>3</v>
      </c>
      <c r="K23" s="31" t="n">
        <f aca="false">IF(COUNTIFS('LxI Assessment'!$A$5:$A$394,$A23,'LxI Assessment'!$D$5:$D$394,K$5,'LxI Assessment'!$F$5:$F$394,"N/A")&gt;0,"N/A",IF(COUNTIFS('LxI Assessment'!$A$5:$A$394,$A23,'LxI Assessment'!$D$5:$D$394,K$5,'LxI Assessment'!$S$5:$S$394,"&gt;0")=0,"",SUMIFS('LxI Assessment'!$S$5:$S$394,'LxI Assessment'!$A$5:$A$394,$A23,'LxI Assessment'!$D$5:$D$394,K$5)))</f>
        <v>3</v>
      </c>
      <c r="L23" s="31" t="n">
        <f aca="false">IF(COUNTIFS('LxI Assessment'!$A$5:$A$394,$A23,'LxI Assessment'!$D$5:$D$394,L$5,'LxI Assessment'!$F$5:$F$394,"N/A")&gt;0,"N/A",IF(COUNTIFS('LxI Assessment'!$A$5:$A$394,$A23,'LxI Assessment'!$D$5:$D$394,L$5,'LxI Assessment'!$S$5:$S$394,"&gt;0")=0,"",SUMIFS('LxI Assessment'!$S$5:$S$394,'LxI Assessment'!$A$5:$A$394,$A23,'LxI Assessment'!$D$5:$D$394,L$5)))</f>
        <v>3</v>
      </c>
      <c r="M23" s="31" t="str">
        <f aca="false">IF(COUNTIFS('LxI Assessment'!$A$5:$A$394,$A23,'LxI Assessment'!$D$5:$D$394,M$5,'LxI Assessment'!$F$5:$F$394,"N/A")&gt;0,"N/A",IF(COUNTIFS('LxI Assessment'!$A$5:$A$394,$A23,'LxI Assessment'!$D$5:$D$394,M$5,'LxI Assessment'!$S$5:$S$394,"&gt;0")=0,"",SUMIFS('LxI Assessment'!$S$5:$S$394,'LxI Assessment'!$A$5:$A$394,$A23,'LxI Assessment'!$D$5:$D$394,M$5)))</f>
        <v>N/A</v>
      </c>
      <c r="N23" s="31" t="n">
        <f aca="false">IF(COUNTIFS('LxI Assessment'!$A$5:$A$394,$A23,'LxI Assessment'!$D$5:$D$394,N$5,'LxI Assessment'!$F$5:$F$394,"N/A")&gt;0,"N/A",IF(COUNTIFS('LxI Assessment'!$A$5:$A$394,$A23,'LxI Assessment'!$D$5:$D$394,N$5,'LxI Assessment'!$S$5:$S$394,"&gt;0")=0,"",SUMIFS('LxI Assessment'!$S$5:$S$394,'LxI Assessment'!$A$5:$A$394,$A23,'LxI Assessment'!$D$5:$D$394,N$5)))</f>
        <v>3</v>
      </c>
      <c r="O23" s="31" t="n">
        <f aca="false">IF(COUNTIFS('LxI Assessment'!$A$5:$A$394,$A23,'LxI Assessment'!$D$5:$D$394,O$5,'LxI Assessment'!$F$5:$F$394,"N/A")&gt;0,"N/A",IF(COUNTIFS('LxI Assessment'!$A$5:$A$394,$A23,'LxI Assessment'!$D$5:$D$394,O$5,'LxI Assessment'!$S$5:$S$394,"&gt;0")=0,"",SUMIFS('LxI Assessment'!$S$5:$S$394,'LxI Assessment'!$A$5:$A$394,$A23,'LxI Assessment'!$D$5:$D$394,O$5)))</f>
        <v>4</v>
      </c>
      <c r="P23" s="31" t="n">
        <f aca="false">IF(COUNTIFS('LxI Assessment'!$A$5:$A$394,$A23,'LxI Assessment'!$D$5:$D$394,P$5,'LxI Assessment'!$F$5:$F$394,"N/A")&gt;0,"N/A",IF(COUNTIFS('LxI Assessment'!$A$5:$A$394,$A23,'LxI Assessment'!$D$5:$D$394,P$5,'LxI Assessment'!$S$5:$S$394,"&gt;0")=0,"",SUMIFS('LxI Assessment'!$S$5:$S$394,'LxI Assessment'!$A$5:$A$394,$A23,'LxI Assessment'!$D$5:$D$394,P$5)))</f>
        <v>4</v>
      </c>
      <c r="Q23" s="31" t="n">
        <f aca="false">IF(COUNTIFS('LxI Assessment'!$A$5:$A$394,$A23,'LxI Assessment'!$D$5:$D$394,Q$5,'LxI Assessment'!$F$5:$F$394,"N/A")&gt;0,"N/A",IF(COUNTIFS('LxI Assessment'!$A$5:$A$394,$A23,'LxI Assessment'!$D$5:$D$394,Q$5,'LxI Assessment'!$S$5:$S$394,"&gt;0")=0,"",SUMIFS('LxI Assessment'!$S$5:$S$394,'LxI Assessment'!$A$5:$A$394,$A23,'LxI Assessment'!$D$5:$D$394,Q$5)))</f>
        <v>3</v>
      </c>
      <c r="R23" s="31" t="n">
        <f aca="false">IF(COUNTIFS('LxI Assessment'!$A$5:$A$394,$A23,'LxI Assessment'!$D$5:$D$394,R$5,'LxI Assessment'!$F$5:$F$394,"N/A")&gt;0,"N/A",IF(COUNTIFS('LxI Assessment'!$A$5:$A$394,$A23,'LxI Assessment'!$D$5:$D$394,R$5,'LxI Assessment'!$S$5:$S$394,"&gt;0")=0,"",SUMIFS('LxI Assessment'!$S$5:$S$394,'LxI Assessment'!$A$5:$A$394,$A23,'LxI Assessment'!$D$5:$D$394,R$5)))</f>
        <v>4</v>
      </c>
      <c r="S23" s="31" t="n">
        <f aca="false">IF(COUNTIFS('LxI Assessment'!$A$5:$A$394,$A23,'LxI Assessment'!$D$5:$D$394,S$5,'LxI Assessment'!$F$5:$F$394,"N/A")&gt;0,"N/A",IF(COUNTIFS('LxI Assessment'!$A$5:$A$394,$A23,'LxI Assessment'!$D$5:$D$394,S$5,'LxI Assessment'!$S$5:$S$394,"&gt;0")=0,"",SUMIFS('LxI Assessment'!$S$5:$S$394,'LxI Assessment'!$A$5:$A$394,$A23,'LxI Assessment'!$D$5:$D$394,S$5)))</f>
        <v>3</v>
      </c>
      <c r="T23" s="31" t="n">
        <f aca="false">IF(COUNTIFS('LxI Assessment'!$A$5:$A$394,$A23,'LxI Assessment'!$D$5:$D$394,T$5,'LxI Assessment'!$F$5:$F$394,"N/A")&gt;0,"N/A",IF(COUNTIFS('LxI Assessment'!$A$5:$A$394,$A23,'LxI Assessment'!$D$5:$D$394,T$5,'LxI Assessment'!$S$5:$S$394,"&gt;0")=0,"",SUMIFS('LxI Assessment'!$S$5:$S$394,'LxI Assessment'!$A$5:$A$394,$A23,'LxI Assessment'!$D$5:$D$394,T$5)))</f>
        <v>4</v>
      </c>
      <c r="U23" s="31" t="n">
        <f aca="false">IF(COUNTIFS('LxI Assessment'!$A$5:$A$394,$A23,'LxI Assessment'!$D$5:$D$394,U$5,'LxI Assessment'!$F$5:$F$394,"N/A")&gt;0,"N/A",IF(COUNTIFS('LxI Assessment'!$A$5:$A$394,$A23,'LxI Assessment'!$D$5:$D$394,U$5,'LxI Assessment'!$S$5:$S$394,"&gt;0")=0,"",SUMIFS('LxI Assessment'!$S$5:$S$394,'LxI Assessment'!$A$5:$A$394,$A23,'LxI Assessment'!$D$5:$D$394,U$5)))</f>
        <v>3</v>
      </c>
      <c r="V23" s="31" t="n">
        <f aca="false">IF(COUNTIFS('LxI Assessment'!$A$5:$A$394,$A23,'LxI Assessment'!$D$5:$D$394,V$5,'LxI Assessment'!$F$5:$F$394,"N/A")&gt;0,"N/A",IF(COUNTIFS('LxI Assessment'!$A$5:$A$394,$A23,'LxI Assessment'!$D$5:$D$394,V$5,'LxI Assessment'!$S$5:$S$394,"&gt;0")=0,"",SUMIFS('LxI Assessment'!$S$5:$S$394,'LxI Assessment'!$A$5:$A$394,$A23,'LxI Assessment'!$D$5:$D$394,V$5)))</f>
        <v>3</v>
      </c>
      <c r="W23" s="34" t="n">
        <f aca="false">MAX(C23:V23)</f>
        <v>4</v>
      </c>
      <c r="X23" s="29" t="n">
        <f aca="false">IFERROR(AVERAGE(C23:V23),"")</f>
        <v>3.21052631578947</v>
      </c>
      <c r="Y23" s="31" t="n">
        <f aca="false">COUNTIF(C23:V23,5)</f>
        <v>0</v>
      </c>
      <c r="Z23" s="31" t="n">
        <f aca="false">COUNTIF(C23:V23,4)</f>
        <v>4</v>
      </c>
      <c r="AA23" s="7" t="str">
        <f aca="false">IF(W23=0,"",INDEX(Config!$B$5:$B$9,W23))</f>
        <v>Medium-High</v>
      </c>
    </row>
    <row r="24" customFormat="false" ht="15" hidden="false" customHeight="false" outlineLevel="0" collapsed="false">
      <c r="A24" s="26" t="str">
        <f aca="false">Entities!A23</f>
        <v>MA</v>
      </c>
      <c r="B24" s="26" t="str">
        <f aca="false">Entities!B23</f>
        <v>Arab Bank – Morocco</v>
      </c>
      <c r="C24" s="31" t="n">
        <f aca="false">IF(COUNTIFS('FC Calculation'!$A$5:$A$214,$A24,'FC Calculation'!$D$5:$D$214,C$5,'FC Calculation'!$T$5:$T$214,"&gt;0")=0,"",SUMIFS('FC Calculation'!$T$5:$T$214,'FC Calculation'!$A$5:$A$214,$A24,'FC Calculation'!$D$5:$D$214,C$5))</f>
        <v>3</v>
      </c>
      <c r="D24" s="31" t="n">
        <f aca="false">IF(COUNTIFS('FC Calculation'!$A$5:$A$214,$A24,'FC Calculation'!$D$5:$D$214,D$5,'FC Calculation'!$T$5:$T$214,"&gt;0")=0,"",SUMIFS('FC Calculation'!$T$5:$T$214,'FC Calculation'!$A$5:$A$214,$A24,'FC Calculation'!$D$5:$D$214,D$5))</f>
        <v>3</v>
      </c>
      <c r="E24" s="31" t="n">
        <f aca="false">IF(COUNTIFS('FC Calculation'!$A$5:$A$214,$A24,'FC Calculation'!$D$5:$D$214,E$5,'FC Calculation'!$T$5:$T$214,"&gt;0")=0,"",SUMIFS('FC Calculation'!$T$5:$T$214,'FC Calculation'!$A$5:$A$214,$A24,'FC Calculation'!$D$5:$D$214,E$5))</f>
        <v>3</v>
      </c>
      <c r="F24" s="31" t="n">
        <f aca="false">IF(COUNTIFS('FC Calculation'!$A$5:$A$214,$A24,'FC Calculation'!$D$5:$D$214,F$5,'FC Calculation'!$T$5:$T$214,"&gt;0")=0,"",SUMIFS('FC Calculation'!$T$5:$T$214,'FC Calculation'!$A$5:$A$214,$A24,'FC Calculation'!$D$5:$D$214,F$5))</f>
        <v>3</v>
      </c>
      <c r="G24" s="31" t="n">
        <f aca="false">IF(COUNTIFS('FC Calculation'!$A$5:$A$214,$A24,'FC Calculation'!$D$5:$D$214,G$5,'FC Calculation'!$T$5:$T$214,"&gt;0")=0,"",SUMIFS('FC Calculation'!$T$5:$T$214,'FC Calculation'!$A$5:$A$214,$A24,'FC Calculation'!$D$5:$D$214,G$5))</f>
        <v>3</v>
      </c>
      <c r="H24" s="31" t="n">
        <f aca="false">IF(COUNTIFS('FC Calculation'!$A$5:$A$214,$A24,'FC Calculation'!$D$5:$D$214,H$5,'FC Calculation'!$T$5:$T$214,"&gt;0")=0,"",SUMIFS('FC Calculation'!$T$5:$T$214,'FC Calculation'!$A$5:$A$214,$A24,'FC Calculation'!$D$5:$D$214,H$5))</f>
        <v>3</v>
      </c>
      <c r="I24" s="31" t="n">
        <f aca="false">IF(COUNTIFS('FC Calculation'!$A$5:$A$214,$A24,'FC Calculation'!$D$5:$D$214,I$5,'FC Calculation'!$T$5:$T$214,"&gt;0")=0,"",SUMIFS('FC Calculation'!$T$5:$T$214,'FC Calculation'!$A$5:$A$214,$A24,'FC Calculation'!$D$5:$D$214,I$5))</f>
        <v>3</v>
      </c>
      <c r="J24" s="31" t="n">
        <f aca="false">IF(COUNTIFS('LxI Assessment'!$A$5:$A$394,$A24,'LxI Assessment'!$D$5:$D$394,J$5,'LxI Assessment'!$F$5:$F$394,"N/A")&gt;0,"N/A",IF(COUNTIFS('LxI Assessment'!$A$5:$A$394,$A24,'LxI Assessment'!$D$5:$D$394,J$5,'LxI Assessment'!$S$5:$S$394,"&gt;0")=0,"",SUMIFS('LxI Assessment'!$S$5:$S$394,'LxI Assessment'!$A$5:$A$394,$A24,'LxI Assessment'!$D$5:$D$394,J$5)))</f>
        <v>3</v>
      </c>
      <c r="K24" s="31" t="n">
        <f aca="false">IF(COUNTIFS('LxI Assessment'!$A$5:$A$394,$A24,'LxI Assessment'!$D$5:$D$394,K$5,'LxI Assessment'!$F$5:$F$394,"N/A")&gt;0,"N/A",IF(COUNTIFS('LxI Assessment'!$A$5:$A$394,$A24,'LxI Assessment'!$D$5:$D$394,K$5,'LxI Assessment'!$S$5:$S$394,"&gt;0")=0,"",SUMIFS('LxI Assessment'!$S$5:$S$394,'LxI Assessment'!$A$5:$A$394,$A24,'LxI Assessment'!$D$5:$D$394,K$5)))</f>
        <v>2</v>
      </c>
      <c r="L24" s="31" t="n">
        <f aca="false">IF(COUNTIFS('LxI Assessment'!$A$5:$A$394,$A24,'LxI Assessment'!$D$5:$D$394,L$5,'LxI Assessment'!$F$5:$F$394,"N/A")&gt;0,"N/A",IF(COUNTIFS('LxI Assessment'!$A$5:$A$394,$A24,'LxI Assessment'!$D$5:$D$394,L$5,'LxI Assessment'!$S$5:$S$394,"&gt;0")=0,"",SUMIFS('LxI Assessment'!$S$5:$S$394,'LxI Assessment'!$A$5:$A$394,$A24,'LxI Assessment'!$D$5:$D$394,L$5)))</f>
        <v>1</v>
      </c>
      <c r="M24" s="31" t="str">
        <f aca="false">IF(COUNTIFS('LxI Assessment'!$A$5:$A$394,$A24,'LxI Assessment'!$D$5:$D$394,M$5,'LxI Assessment'!$F$5:$F$394,"N/A")&gt;0,"N/A",IF(COUNTIFS('LxI Assessment'!$A$5:$A$394,$A24,'LxI Assessment'!$D$5:$D$394,M$5,'LxI Assessment'!$S$5:$S$394,"&gt;0")=0,"",SUMIFS('LxI Assessment'!$S$5:$S$394,'LxI Assessment'!$A$5:$A$394,$A24,'LxI Assessment'!$D$5:$D$394,M$5)))</f>
        <v>N/A</v>
      </c>
      <c r="N24" s="31" t="n">
        <f aca="false">IF(COUNTIFS('LxI Assessment'!$A$5:$A$394,$A24,'LxI Assessment'!$D$5:$D$394,N$5,'LxI Assessment'!$F$5:$F$394,"N/A")&gt;0,"N/A",IF(COUNTIFS('LxI Assessment'!$A$5:$A$394,$A24,'LxI Assessment'!$D$5:$D$394,N$5,'LxI Assessment'!$S$5:$S$394,"&gt;0")=0,"",SUMIFS('LxI Assessment'!$S$5:$S$394,'LxI Assessment'!$A$5:$A$394,$A24,'LxI Assessment'!$D$5:$D$394,N$5)))</f>
        <v>4</v>
      </c>
      <c r="O24" s="31" t="n">
        <f aca="false">IF(COUNTIFS('LxI Assessment'!$A$5:$A$394,$A24,'LxI Assessment'!$D$5:$D$394,O$5,'LxI Assessment'!$F$5:$F$394,"N/A")&gt;0,"N/A",IF(COUNTIFS('LxI Assessment'!$A$5:$A$394,$A24,'LxI Assessment'!$D$5:$D$394,O$5,'LxI Assessment'!$S$5:$S$394,"&gt;0")=0,"",SUMIFS('LxI Assessment'!$S$5:$S$394,'LxI Assessment'!$A$5:$A$394,$A24,'LxI Assessment'!$D$5:$D$394,O$5)))</f>
        <v>3</v>
      </c>
      <c r="P24" s="31" t="n">
        <f aca="false">IF(COUNTIFS('LxI Assessment'!$A$5:$A$394,$A24,'LxI Assessment'!$D$5:$D$394,P$5,'LxI Assessment'!$F$5:$F$394,"N/A")&gt;0,"N/A",IF(COUNTIFS('LxI Assessment'!$A$5:$A$394,$A24,'LxI Assessment'!$D$5:$D$394,P$5,'LxI Assessment'!$S$5:$S$394,"&gt;0")=0,"",SUMIFS('LxI Assessment'!$S$5:$S$394,'LxI Assessment'!$A$5:$A$394,$A24,'LxI Assessment'!$D$5:$D$394,P$5)))</f>
        <v>3</v>
      </c>
      <c r="Q24" s="31" t="n">
        <f aca="false">IF(COUNTIFS('LxI Assessment'!$A$5:$A$394,$A24,'LxI Assessment'!$D$5:$D$394,Q$5,'LxI Assessment'!$F$5:$F$394,"N/A")&gt;0,"N/A",IF(COUNTIFS('LxI Assessment'!$A$5:$A$394,$A24,'LxI Assessment'!$D$5:$D$394,Q$5,'LxI Assessment'!$S$5:$S$394,"&gt;0")=0,"",SUMIFS('LxI Assessment'!$S$5:$S$394,'LxI Assessment'!$A$5:$A$394,$A24,'LxI Assessment'!$D$5:$D$394,Q$5)))</f>
        <v>3</v>
      </c>
      <c r="R24" s="31" t="n">
        <f aca="false">IF(COUNTIFS('LxI Assessment'!$A$5:$A$394,$A24,'LxI Assessment'!$D$5:$D$394,R$5,'LxI Assessment'!$F$5:$F$394,"N/A")&gt;0,"N/A",IF(COUNTIFS('LxI Assessment'!$A$5:$A$394,$A24,'LxI Assessment'!$D$5:$D$394,R$5,'LxI Assessment'!$S$5:$S$394,"&gt;0")=0,"",SUMIFS('LxI Assessment'!$S$5:$S$394,'LxI Assessment'!$A$5:$A$394,$A24,'LxI Assessment'!$D$5:$D$394,R$5)))</f>
        <v>3</v>
      </c>
      <c r="S24" s="31" t="n">
        <f aca="false">IF(COUNTIFS('LxI Assessment'!$A$5:$A$394,$A24,'LxI Assessment'!$D$5:$D$394,S$5,'LxI Assessment'!$F$5:$F$394,"N/A")&gt;0,"N/A",IF(COUNTIFS('LxI Assessment'!$A$5:$A$394,$A24,'LxI Assessment'!$D$5:$D$394,S$5,'LxI Assessment'!$S$5:$S$394,"&gt;0")=0,"",SUMIFS('LxI Assessment'!$S$5:$S$394,'LxI Assessment'!$A$5:$A$394,$A24,'LxI Assessment'!$D$5:$D$394,S$5)))</f>
        <v>3</v>
      </c>
      <c r="T24" s="31" t="n">
        <f aca="false">IF(COUNTIFS('LxI Assessment'!$A$5:$A$394,$A24,'LxI Assessment'!$D$5:$D$394,T$5,'LxI Assessment'!$F$5:$F$394,"N/A")&gt;0,"N/A",IF(COUNTIFS('LxI Assessment'!$A$5:$A$394,$A24,'LxI Assessment'!$D$5:$D$394,T$5,'LxI Assessment'!$S$5:$S$394,"&gt;0")=0,"",SUMIFS('LxI Assessment'!$S$5:$S$394,'LxI Assessment'!$A$5:$A$394,$A24,'LxI Assessment'!$D$5:$D$394,T$5)))</f>
        <v>3</v>
      </c>
      <c r="U24" s="31" t="n">
        <f aca="false">IF(COUNTIFS('LxI Assessment'!$A$5:$A$394,$A24,'LxI Assessment'!$D$5:$D$394,U$5,'LxI Assessment'!$F$5:$F$394,"N/A")&gt;0,"N/A",IF(COUNTIFS('LxI Assessment'!$A$5:$A$394,$A24,'LxI Assessment'!$D$5:$D$394,U$5,'LxI Assessment'!$S$5:$S$394,"&gt;0")=0,"",SUMIFS('LxI Assessment'!$S$5:$S$394,'LxI Assessment'!$A$5:$A$394,$A24,'LxI Assessment'!$D$5:$D$394,U$5)))</f>
        <v>4</v>
      </c>
      <c r="V24" s="31" t="n">
        <f aca="false">IF(COUNTIFS('LxI Assessment'!$A$5:$A$394,$A24,'LxI Assessment'!$D$5:$D$394,V$5,'LxI Assessment'!$F$5:$F$394,"N/A")&gt;0,"N/A",IF(COUNTIFS('LxI Assessment'!$A$5:$A$394,$A24,'LxI Assessment'!$D$5:$D$394,V$5,'LxI Assessment'!$S$5:$S$394,"&gt;0")=0,"",SUMIFS('LxI Assessment'!$S$5:$S$394,'LxI Assessment'!$A$5:$A$394,$A24,'LxI Assessment'!$D$5:$D$394,V$5)))</f>
        <v>3</v>
      </c>
      <c r="W24" s="34" t="n">
        <f aca="false">MAX(C24:V24)</f>
        <v>4</v>
      </c>
      <c r="X24" s="29" t="n">
        <f aca="false">IFERROR(AVERAGE(C24:V24),"")</f>
        <v>2.94736842105263</v>
      </c>
      <c r="Y24" s="31" t="n">
        <f aca="false">COUNTIF(C24:V24,5)</f>
        <v>0</v>
      </c>
      <c r="Z24" s="31" t="n">
        <f aca="false">COUNTIF(C24:V24,4)</f>
        <v>2</v>
      </c>
      <c r="AA24" s="7" t="str">
        <f aca="false">IF(W24=0,"",INDEX(Config!$B$5:$B$9,W24))</f>
        <v>Medium-High</v>
      </c>
    </row>
    <row r="25" customFormat="false" ht="15" hidden="false" customHeight="false" outlineLevel="0" collapsed="false">
      <c r="A25" s="26" t="str">
        <f aca="false">Entities!A24</f>
        <v>TN</v>
      </c>
      <c r="B25" s="26" t="str">
        <f aca="false">Entities!B24</f>
        <v>Arab Tunisian Bank</v>
      </c>
      <c r="C25" s="31" t="n">
        <f aca="false">IF(COUNTIFS('FC Calculation'!$A$5:$A$214,$A25,'FC Calculation'!$D$5:$D$214,C$5,'FC Calculation'!$T$5:$T$214,"&gt;0")=0,"",SUMIFS('FC Calculation'!$T$5:$T$214,'FC Calculation'!$A$5:$A$214,$A25,'FC Calculation'!$D$5:$D$214,C$5))</f>
        <v>3</v>
      </c>
      <c r="D25" s="31" t="n">
        <f aca="false">IF(COUNTIFS('FC Calculation'!$A$5:$A$214,$A25,'FC Calculation'!$D$5:$D$214,D$5,'FC Calculation'!$T$5:$T$214,"&gt;0")=0,"",SUMIFS('FC Calculation'!$T$5:$T$214,'FC Calculation'!$A$5:$A$214,$A25,'FC Calculation'!$D$5:$D$214,D$5))</f>
        <v>3</v>
      </c>
      <c r="E25" s="31" t="n">
        <f aca="false">IF(COUNTIFS('FC Calculation'!$A$5:$A$214,$A25,'FC Calculation'!$D$5:$D$214,E$5,'FC Calculation'!$T$5:$T$214,"&gt;0")=0,"",SUMIFS('FC Calculation'!$T$5:$T$214,'FC Calculation'!$A$5:$A$214,$A25,'FC Calculation'!$D$5:$D$214,E$5))</f>
        <v>3</v>
      </c>
      <c r="F25" s="31" t="n">
        <f aca="false">IF(COUNTIFS('FC Calculation'!$A$5:$A$214,$A25,'FC Calculation'!$D$5:$D$214,F$5,'FC Calculation'!$T$5:$T$214,"&gt;0")=0,"",SUMIFS('FC Calculation'!$T$5:$T$214,'FC Calculation'!$A$5:$A$214,$A25,'FC Calculation'!$D$5:$D$214,F$5))</f>
        <v>3</v>
      </c>
      <c r="G25" s="31" t="n">
        <f aca="false">IF(COUNTIFS('FC Calculation'!$A$5:$A$214,$A25,'FC Calculation'!$D$5:$D$214,G$5,'FC Calculation'!$T$5:$T$214,"&gt;0")=0,"",SUMIFS('FC Calculation'!$T$5:$T$214,'FC Calculation'!$A$5:$A$214,$A25,'FC Calculation'!$D$5:$D$214,G$5))</f>
        <v>3</v>
      </c>
      <c r="H25" s="31" t="n">
        <f aca="false">IF(COUNTIFS('FC Calculation'!$A$5:$A$214,$A25,'FC Calculation'!$D$5:$D$214,H$5,'FC Calculation'!$T$5:$T$214,"&gt;0")=0,"",SUMIFS('FC Calculation'!$T$5:$T$214,'FC Calculation'!$A$5:$A$214,$A25,'FC Calculation'!$D$5:$D$214,H$5))</f>
        <v>3</v>
      </c>
      <c r="I25" s="31" t="n">
        <f aca="false">IF(COUNTIFS('FC Calculation'!$A$5:$A$214,$A25,'FC Calculation'!$D$5:$D$214,I$5,'FC Calculation'!$T$5:$T$214,"&gt;0")=0,"",SUMIFS('FC Calculation'!$T$5:$T$214,'FC Calculation'!$A$5:$A$214,$A25,'FC Calculation'!$D$5:$D$214,I$5))</f>
        <v>3</v>
      </c>
      <c r="J25" s="31" t="n">
        <f aca="false">IF(COUNTIFS('LxI Assessment'!$A$5:$A$394,$A25,'LxI Assessment'!$D$5:$D$394,J$5,'LxI Assessment'!$F$5:$F$394,"N/A")&gt;0,"N/A",IF(COUNTIFS('LxI Assessment'!$A$5:$A$394,$A25,'LxI Assessment'!$D$5:$D$394,J$5,'LxI Assessment'!$S$5:$S$394,"&gt;0")=0,"",SUMIFS('LxI Assessment'!$S$5:$S$394,'LxI Assessment'!$A$5:$A$394,$A25,'LxI Assessment'!$D$5:$D$394,J$5)))</f>
        <v>4</v>
      </c>
      <c r="K25" s="31" t="n">
        <f aca="false">IF(COUNTIFS('LxI Assessment'!$A$5:$A$394,$A25,'LxI Assessment'!$D$5:$D$394,K$5,'LxI Assessment'!$F$5:$F$394,"N/A")&gt;0,"N/A",IF(COUNTIFS('LxI Assessment'!$A$5:$A$394,$A25,'LxI Assessment'!$D$5:$D$394,K$5,'LxI Assessment'!$S$5:$S$394,"&gt;0")=0,"",SUMIFS('LxI Assessment'!$S$5:$S$394,'LxI Assessment'!$A$5:$A$394,$A25,'LxI Assessment'!$D$5:$D$394,K$5)))</f>
        <v>3</v>
      </c>
      <c r="L25" s="31" t="n">
        <f aca="false">IF(COUNTIFS('LxI Assessment'!$A$5:$A$394,$A25,'LxI Assessment'!$D$5:$D$394,L$5,'LxI Assessment'!$F$5:$F$394,"N/A")&gt;0,"N/A",IF(COUNTIFS('LxI Assessment'!$A$5:$A$394,$A25,'LxI Assessment'!$D$5:$D$394,L$5,'LxI Assessment'!$S$5:$S$394,"&gt;0")=0,"",SUMIFS('LxI Assessment'!$S$5:$S$394,'LxI Assessment'!$A$5:$A$394,$A25,'LxI Assessment'!$D$5:$D$394,L$5)))</f>
        <v>2</v>
      </c>
      <c r="M25" s="31" t="str">
        <f aca="false">IF(COUNTIFS('LxI Assessment'!$A$5:$A$394,$A25,'LxI Assessment'!$D$5:$D$394,M$5,'LxI Assessment'!$F$5:$F$394,"N/A")&gt;0,"N/A",IF(COUNTIFS('LxI Assessment'!$A$5:$A$394,$A25,'LxI Assessment'!$D$5:$D$394,M$5,'LxI Assessment'!$S$5:$S$394,"&gt;0")=0,"",SUMIFS('LxI Assessment'!$S$5:$S$394,'LxI Assessment'!$A$5:$A$394,$A25,'LxI Assessment'!$D$5:$D$394,M$5)))</f>
        <v>N/A</v>
      </c>
      <c r="N25" s="31" t="n">
        <f aca="false">IF(COUNTIFS('LxI Assessment'!$A$5:$A$394,$A25,'LxI Assessment'!$D$5:$D$394,N$5,'LxI Assessment'!$F$5:$F$394,"N/A")&gt;0,"N/A",IF(COUNTIFS('LxI Assessment'!$A$5:$A$394,$A25,'LxI Assessment'!$D$5:$D$394,N$5,'LxI Assessment'!$S$5:$S$394,"&gt;0")=0,"",SUMIFS('LxI Assessment'!$S$5:$S$394,'LxI Assessment'!$A$5:$A$394,$A25,'LxI Assessment'!$D$5:$D$394,N$5)))</f>
        <v>4</v>
      </c>
      <c r="O25" s="31" t="n">
        <f aca="false">IF(COUNTIFS('LxI Assessment'!$A$5:$A$394,$A25,'LxI Assessment'!$D$5:$D$394,O$5,'LxI Assessment'!$F$5:$F$394,"N/A")&gt;0,"N/A",IF(COUNTIFS('LxI Assessment'!$A$5:$A$394,$A25,'LxI Assessment'!$D$5:$D$394,O$5,'LxI Assessment'!$S$5:$S$394,"&gt;0")=0,"",SUMIFS('LxI Assessment'!$S$5:$S$394,'LxI Assessment'!$A$5:$A$394,$A25,'LxI Assessment'!$D$5:$D$394,O$5)))</f>
        <v>3</v>
      </c>
      <c r="P25" s="31" t="n">
        <f aca="false">IF(COUNTIFS('LxI Assessment'!$A$5:$A$394,$A25,'LxI Assessment'!$D$5:$D$394,P$5,'LxI Assessment'!$F$5:$F$394,"N/A")&gt;0,"N/A",IF(COUNTIFS('LxI Assessment'!$A$5:$A$394,$A25,'LxI Assessment'!$D$5:$D$394,P$5,'LxI Assessment'!$S$5:$S$394,"&gt;0")=0,"",SUMIFS('LxI Assessment'!$S$5:$S$394,'LxI Assessment'!$A$5:$A$394,$A25,'LxI Assessment'!$D$5:$D$394,P$5)))</f>
        <v>2</v>
      </c>
      <c r="Q25" s="31" t="n">
        <f aca="false">IF(COUNTIFS('LxI Assessment'!$A$5:$A$394,$A25,'LxI Assessment'!$D$5:$D$394,Q$5,'LxI Assessment'!$F$5:$F$394,"N/A")&gt;0,"N/A",IF(COUNTIFS('LxI Assessment'!$A$5:$A$394,$A25,'LxI Assessment'!$D$5:$D$394,Q$5,'LxI Assessment'!$S$5:$S$394,"&gt;0")=0,"",SUMIFS('LxI Assessment'!$S$5:$S$394,'LxI Assessment'!$A$5:$A$394,$A25,'LxI Assessment'!$D$5:$D$394,Q$5)))</f>
        <v>4</v>
      </c>
      <c r="R25" s="31" t="n">
        <f aca="false">IF(COUNTIFS('LxI Assessment'!$A$5:$A$394,$A25,'LxI Assessment'!$D$5:$D$394,R$5,'LxI Assessment'!$F$5:$F$394,"N/A")&gt;0,"N/A",IF(COUNTIFS('LxI Assessment'!$A$5:$A$394,$A25,'LxI Assessment'!$D$5:$D$394,R$5,'LxI Assessment'!$S$5:$S$394,"&gt;0")=0,"",SUMIFS('LxI Assessment'!$S$5:$S$394,'LxI Assessment'!$A$5:$A$394,$A25,'LxI Assessment'!$D$5:$D$394,R$5)))</f>
        <v>3</v>
      </c>
      <c r="S25" s="31" t="n">
        <f aca="false">IF(COUNTIFS('LxI Assessment'!$A$5:$A$394,$A25,'LxI Assessment'!$D$5:$D$394,S$5,'LxI Assessment'!$F$5:$F$394,"N/A")&gt;0,"N/A",IF(COUNTIFS('LxI Assessment'!$A$5:$A$394,$A25,'LxI Assessment'!$D$5:$D$394,S$5,'LxI Assessment'!$S$5:$S$394,"&gt;0")=0,"",SUMIFS('LxI Assessment'!$S$5:$S$394,'LxI Assessment'!$A$5:$A$394,$A25,'LxI Assessment'!$D$5:$D$394,S$5)))</f>
        <v>3</v>
      </c>
      <c r="T25" s="31" t="n">
        <f aca="false">IF(COUNTIFS('LxI Assessment'!$A$5:$A$394,$A25,'LxI Assessment'!$D$5:$D$394,T$5,'LxI Assessment'!$F$5:$F$394,"N/A")&gt;0,"N/A",IF(COUNTIFS('LxI Assessment'!$A$5:$A$394,$A25,'LxI Assessment'!$D$5:$D$394,T$5,'LxI Assessment'!$S$5:$S$394,"&gt;0")=0,"",SUMIFS('LxI Assessment'!$S$5:$S$394,'LxI Assessment'!$A$5:$A$394,$A25,'LxI Assessment'!$D$5:$D$394,T$5)))</f>
        <v>1</v>
      </c>
      <c r="U25" s="31" t="n">
        <f aca="false">IF(COUNTIFS('LxI Assessment'!$A$5:$A$394,$A25,'LxI Assessment'!$D$5:$D$394,U$5,'LxI Assessment'!$F$5:$F$394,"N/A")&gt;0,"N/A",IF(COUNTIFS('LxI Assessment'!$A$5:$A$394,$A25,'LxI Assessment'!$D$5:$D$394,U$5,'LxI Assessment'!$S$5:$S$394,"&gt;0")=0,"",SUMIFS('LxI Assessment'!$S$5:$S$394,'LxI Assessment'!$A$5:$A$394,$A25,'LxI Assessment'!$D$5:$D$394,U$5)))</f>
        <v>3</v>
      </c>
      <c r="V25" s="31" t="n">
        <f aca="false">IF(COUNTIFS('LxI Assessment'!$A$5:$A$394,$A25,'LxI Assessment'!$D$5:$D$394,V$5,'LxI Assessment'!$F$5:$F$394,"N/A")&gt;0,"N/A",IF(COUNTIFS('LxI Assessment'!$A$5:$A$394,$A25,'LxI Assessment'!$D$5:$D$394,V$5,'LxI Assessment'!$S$5:$S$394,"&gt;0")=0,"",SUMIFS('LxI Assessment'!$S$5:$S$394,'LxI Assessment'!$A$5:$A$394,$A25,'LxI Assessment'!$D$5:$D$394,V$5)))</f>
        <v>3</v>
      </c>
      <c r="W25" s="34" t="n">
        <f aca="false">MAX(C25:V25)</f>
        <v>4</v>
      </c>
      <c r="X25" s="29" t="n">
        <f aca="false">IFERROR(AVERAGE(C25:V25),"")</f>
        <v>2.94736842105263</v>
      </c>
      <c r="Y25" s="31" t="n">
        <f aca="false">COUNTIF(C25:V25,5)</f>
        <v>0</v>
      </c>
      <c r="Z25" s="31" t="n">
        <f aca="false">COUNTIF(C25:V25,4)</f>
        <v>3</v>
      </c>
      <c r="AA25" s="7" t="str">
        <f aca="false">IF(W25=0,"",INDEX(Config!$B$5:$B$9,W25))</f>
        <v>Medium-High</v>
      </c>
    </row>
    <row r="26" customFormat="false" ht="15" hidden="false" customHeight="false" outlineLevel="0" collapsed="false">
      <c r="A26" s="26" t="str">
        <f aca="false">Entities!A25</f>
        <v>SD</v>
      </c>
      <c r="B26" s="26" t="str">
        <f aca="false">Entities!B25</f>
        <v>Arab Sudanese Bank</v>
      </c>
      <c r="C26" s="31" t="n">
        <f aca="false">IF(COUNTIFS('FC Calculation'!$A$5:$A$214,$A26,'FC Calculation'!$D$5:$D$214,C$5,'FC Calculation'!$T$5:$T$214,"&gt;0")=0,"",SUMIFS('FC Calculation'!$T$5:$T$214,'FC Calculation'!$A$5:$A$214,$A26,'FC Calculation'!$D$5:$D$214,C$5))</f>
        <v>5</v>
      </c>
      <c r="D26" s="31" t="n">
        <f aca="false">IF(COUNTIFS('FC Calculation'!$A$5:$A$214,$A26,'FC Calculation'!$D$5:$D$214,D$5,'FC Calculation'!$T$5:$T$214,"&gt;0")=0,"",SUMIFS('FC Calculation'!$T$5:$T$214,'FC Calculation'!$A$5:$A$214,$A26,'FC Calculation'!$D$5:$D$214,D$5))</f>
        <v>5</v>
      </c>
      <c r="E26" s="31" t="n">
        <f aca="false">IF(COUNTIFS('FC Calculation'!$A$5:$A$214,$A26,'FC Calculation'!$D$5:$D$214,E$5,'FC Calculation'!$T$5:$T$214,"&gt;0")=0,"",SUMIFS('FC Calculation'!$T$5:$T$214,'FC Calculation'!$A$5:$A$214,$A26,'FC Calculation'!$D$5:$D$214,E$5))</f>
        <v>4</v>
      </c>
      <c r="F26" s="31" t="n">
        <f aca="false">IF(COUNTIFS('FC Calculation'!$A$5:$A$214,$A26,'FC Calculation'!$D$5:$D$214,F$5,'FC Calculation'!$T$5:$T$214,"&gt;0")=0,"",SUMIFS('FC Calculation'!$T$5:$T$214,'FC Calculation'!$A$5:$A$214,$A26,'FC Calculation'!$D$5:$D$214,F$5))</f>
        <v>4</v>
      </c>
      <c r="G26" s="31" t="n">
        <f aca="false">IF(COUNTIFS('FC Calculation'!$A$5:$A$214,$A26,'FC Calculation'!$D$5:$D$214,G$5,'FC Calculation'!$T$5:$T$214,"&gt;0")=0,"",SUMIFS('FC Calculation'!$T$5:$T$214,'FC Calculation'!$A$5:$A$214,$A26,'FC Calculation'!$D$5:$D$214,G$5))</f>
        <v>4</v>
      </c>
      <c r="H26" s="31" t="n">
        <f aca="false">IF(COUNTIFS('FC Calculation'!$A$5:$A$214,$A26,'FC Calculation'!$D$5:$D$214,H$5,'FC Calculation'!$T$5:$T$214,"&gt;0")=0,"",SUMIFS('FC Calculation'!$T$5:$T$214,'FC Calculation'!$A$5:$A$214,$A26,'FC Calculation'!$D$5:$D$214,H$5))</f>
        <v>5</v>
      </c>
      <c r="I26" s="31" t="n">
        <f aca="false">IF(COUNTIFS('FC Calculation'!$A$5:$A$214,$A26,'FC Calculation'!$D$5:$D$214,I$5,'FC Calculation'!$T$5:$T$214,"&gt;0")=0,"",SUMIFS('FC Calculation'!$T$5:$T$214,'FC Calculation'!$A$5:$A$214,$A26,'FC Calculation'!$D$5:$D$214,I$5))</f>
        <v>4</v>
      </c>
      <c r="J26" s="31" t="n">
        <f aca="false">IF(COUNTIFS('LxI Assessment'!$A$5:$A$394,$A26,'LxI Assessment'!$D$5:$D$394,J$5,'LxI Assessment'!$F$5:$F$394,"N/A")&gt;0,"N/A",IF(COUNTIFS('LxI Assessment'!$A$5:$A$394,$A26,'LxI Assessment'!$D$5:$D$394,J$5,'LxI Assessment'!$S$5:$S$394,"&gt;0")=0,"",SUMIFS('LxI Assessment'!$S$5:$S$394,'LxI Assessment'!$A$5:$A$394,$A26,'LxI Assessment'!$D$5:$D$394,J$5)))</f>
        <v>5</v>
      </c>
      <c r="K26" s="31" t="n">
        <f aca="false">IF(COUNTIFS('LxI Assessment'!$A$5:$A$394,$A26,'LxI Assessment'!$D$5:$D$394,K$5,'LxI Assessment'!$F$5:$F$394,"N/A")&gt;0,"N/A",IF(COUNTIFS('LxI Assessment'!$A$5:$A$394,$A26,'LxI Assessment'!$D$5:$D$394,K$5,'LxI Assessment'!$S$5:$S$394,"&gt;0")=0,"",SUMIFS('LxI Assessment'!$S$5:$S$394,'LxI Assessment'!$A$5:$A$394,$A26,'LxI Assessment'!$D$5:$D$394,K$5)))</f>
        <v>4</v>
      </c>
      <c r="L26" s="31" t="n">
        <f aca="false">IF(COUNTIFS('LxI Assessment'!$A$5:$A$394,$A26,'LxI Assessment'!$D$5:$D$394,L$5,'LxI Assessment'!$F$5:$F$394,"N/A")&gt;0,"N/A",IF(COUNTIFS('LxI Assessment'!$A$5:$A$394,$A26,'LxI Assessment'!$D$5:$D$394,L$5,'LxI Assessment'!$S$5:$S$394,"&gt;0")=0,"",SUMIFS('LxI Assessment'!$S$5:$S$394,'LxI Assessment'!$A$5:$A$394,$A26,'LxI Assessment'!$D$5:$D$394,L$5)))</f>
        <v>4</v>
      </c>
      <c r="M26" s="31" t="str">
        <f aca="false">IF(COUNTIFS('LxI Assessment'!$A$5:$A$394,$A26,'LxI Assessment'!$D$5:$D$394,M$5,'LxI Assessment'!$F$5:$F$394,"N/A")&gt;0,"N/A",IF(COUNTIFS('LxI Assessment'!$A$5:$A$394,$A26,'LxI Assessment'!$D$5:$D$394,M$5,'LxI Assessment'!$S$5:$S$394,"&gt;0")=0,"",SUMIFS('LxI Assessment'!$S$5:$S$394,'LxI Assessment'!$A$5:$A$394,$A26,'LxI Assessment'!$D$5:$D$394,M$5)))</f>
        <v>N/A</v>
      </c>
      <c r="N26" s="31" t="n">
        <f aca="false">IF(COUNTIFS('LxI Assessment'!$A$5:$A$394,$A26,'LxI Assessment'!$D$5:$D$394,N$5,'LxI Assessment'!$F$5:$F$394,"N/A")&gt;0,"N/A",IF(COUNTIFS('LxI Assessment'!$A$5:$A$394,$A26,'LxI Assessment'!$D$5:$D$394,N$5,'LxI Assessment'!$S$5:$S$394,"&gt;0")=0,"",SUMIFS('LxI Assessment'!$S$5:$S$394,'LxI Assessment'!$A$5:$A$394,$A26,'LxI Assessment'!$D$5:$D$394,N$5)))</f>
        <v>5</v>
      </c>
      <c r="O26" s="31" t="n">
        <f aca="false">IF(COUNTIFS('LxI Assessment'!$A$5:$A$394,$A26,'LxI Assessment'!$D$5:$D$394,O$5,'LxI Assessment'!$F$5:$F$394,"N/A")&gt;0,"N/A",IF(COUNTIFS('LxI Assessment'!$A$5:$A$394,$A26,'LxI Assessment'!$D$5:$D$394,O$5,'LxI Assessment'!$S$5:$S$394,"&gt;0")=0,"",SUMIFS('LxI Assessment'!$S$5:$S$394,'LxI Assessment'!$A$5:$A$394,$A26,'LxI Assessment'!$D$5:$D$394,O$5)))</f>
        <v>2</v>
      </c>
      <c r="P26" s="31" t="n">
        <f aca="false">IF(COUNTIFS('LxI Assessment'!$A$5:$A$394,$A26,'LxI Assessment'!$D$5:$D$394,P$5,'LxI Assessment'!$F$5:$F$394,"N/A")&gt;0,"N/A",IF(COUNTIFS('LxI Assessment'!$A$5:$A$394,$A26,'LxI Assessment'!$D$5:$D$394,P$5,'LxI Assessment'!$S$5:$S$394,"&gt;0")=0,"",SUMIFS('LxI Assessment'!$S$5:$S$394,'LxI Assessment'!$A$5:$A$394,$A26,'LxI Assessment'!$D$5:$D$394,P$5)))</f>
        <v>3</v>
      </c>
      <c r="Q26" s="31" t="n">
        <f aca="false">IF(COUNTIFS('LxI Assessment'!$A$5:$A$394,$A26,'LxI Assessment'!$D$5:$D$394,Q$5,'LxI Assessment'!$F$5:$F$394,"N/A")&gt;0,"N/A",IF(COUNTIFS('LxI Assessment'!$A$5:$A$394,$A26,'LxI Assessment'!$D$5:$D$394,Q$5,'LxI Assessment'!$S$5:$S$394,"&gt;0")=0,"",SUMIFS('LxI Assessment'!$S$5:$S$394,'LxI Assessment'!$A$5:$A$394,$A26,'LxI Assessment'!$D$5:$D$394,Q$5)))</f>
        <v>4</v>
      </c>
      <c r="R26" s="31" t="n">
        <f aca="false">IF(COUNTIFS('LxI Assessment'!$A$5:$A$394,$A26,'LxI Assessment'!$D$5:$D$394,R$5,'LxI Assessment'!$F$5:$F$394,"N/A")&gt;0,"N/A",IF(COUNTIFS('LxI Assessment'!$A$5:$A$394,$A26,'LxI Assessment'!$D$5:$D$394,R$5,'LxI Assessment'!$S$5:$S$394,"&gt;0")=0,"",SUMIFS('LxI Assessment'!$S$5:$S$394,'LxI Assessment'!$A$5:$A$394,$A26,'LxI Assessment'!$D$5:$D$394,R$5)))</f>
        <v>5</v>
      </c>
      <c r="S26" s="31" t="n">
        <f aca="false">IF(COUNTIFS('LxI Assessment'!$A$5:$A$394,$A26,'LxI Assessment'!$D$5:$D$394,S$5,'LxI Assessment'!$F$5:$F$394,"N/A")&gt;0,"N/A",IF(COUNTIFS('LxI Assessment'!$A$5:$A$394,$A26,'LxI Assessment'!$D$5:$D$394,S$5,'LxI Assessment'!$S$5:$S$394,"&gt;0")=0,"",SUMIFS('LxI Assessment'!$S$5:$S$394,'LxI Assessment'!$A$5:$A$394,$A26,'LxI Assessment'!$D$5:$D$394,S$5)))</f>
        <v>4</v>
      </c>
      <c r="T26" s="31" t="n">
        <f aca="false">IF(COUNTIFS('LxI Assessment'!$A$5:$A$394,$A26,'LxI Assessment'!$D$5:$D$394,T$5,'LxI Assessment'!$F$5:$F$394,"N/A")&gt;0,"N/A",IF(COUNTIFS('LxI Assessment'!$A$5:$A$394,$A26,'LxI Assessment'!$D$5:$D$394,T$5,'LxI Assessment'!$S$5:$S$394,"&gt;0")=0,"",SUMIFS('LxI Assessment'!$S$5:$S$394,'LxI Assessment'!$A$5:$A$394,$A26,'LxI Assessment'!$D$5:$D$394,T$5)))</f>
        <v>3</v>
      </c>
      <c r="U26" s="31" t="n">
        <f aca="false">IF(COUNTIFS('LxI Assessment'!$A$5:$A$394,$A26,'LxI Assessment'!$D$5:$D$394,U$5,'LxI Assessment'!$F$5:$F$394,"N/A")&gt;0,"N/A",IF(COUNTIFS('LxI Assessment'!$A$5:$A$394,$A26,'LxI Assessment'!$D$5:$D$394,U$5,'LxI Assessment'!$S$5:$S$394,"&gt;0")=0,"",SUMIFS('LxI Assessment'!$S$5:$S$394,'LxI Assessment'!$A$5:$A$394,$A26,'LxI Assessment'!$D$5:$D$394,U$5)))</f>
        <v>4</v>
      </c>
      <c r="V26" s="31" t="n">
        <f aca="false">IF(COUNTIFS('LxI Assessment'!$A$5:$A$394,$A26,'LxI Assessment'!$D$5:$D$394,V$5,'LxI Assessment'!$F$5:$F$394,"N/A")&gt;0,"N/A",IF(COUNTIFS('LxI Assessment'!$A$5:$A$394,$A26,'LxI Assessment'!$D$5:$D$394,V$5,'LxI Assessment'!$S$5:$S$394,"&gt;0")=0,"",SUMIFS('LxI Assessment'!$S$5:$S$394,'LxI Assessment'!$A$5:$A$394,$A26,'LxI Assessment'!$D$5:$D$394,V$5)))</f>
        <v>3</v>
      </c>
      <c r="W26" s="34" t="n">
        <f aca="false">MAX(C26:V26)</f>
        <v>5</v>
      </c>
      <c r="X26" s="29" t="n">
        <f aca="false">IFERROR(AVERAGE(C26:V26),"")</f>
        <v>4.05263157894737</v>
      </c>
      <c r="Y26" s="31" t="n">
        <f aca="false">COUNTIF(C26:V26,5)</f>
        <v>6</v>
      </c>
      <c r="Z26" s="31" t="n">
        <f aca="false">COUNTIF(C26:V26,4)</f>
        <v>9</v>
      </c>
      <c r="AA26" s="7" t="str">
        <f aca="false">IF(W26=0,"",INDEX(Config!$B$5:$B$9,W26))</f>
        <v>High</v>
      </c>
    </row>
    <row r="27" customFormat="false" ht="15" hidden="false" customHeight="false" outlineLevel="0" collapsed="false">
      <c r="A27" s="26" t="str">
        <f aca="false">Entities!A26</f>
        <v>GB</v>
      </c>
      <c r="B27" s="26" t="str">
        <f aca="false">Entities!B26</f>
        <v>Europe Arab Bank – United Kingdom</v>
      </c>
      <c r="C27" s="31" t="n">
        <f aca="false">IF(COUNTIFS('FC Calculation'!$A$5:$A$214,$A27,'FC Calculation'!$D$5:$D$214,C$5,'FC Calculation'!$T$5:$T$214,"&gt;0")=0,"",SUMIFS('FC Calculation'!$T$5:$T$214,'FC Calculation'!$A$5:$A$214,$A27,'FC Calculation'!$D$5:$D$214,C$5))</f>
        <v>2</v>
      </c>
      <c r="D27" s="31" t="n">
        <f aca="false">IF(COUNTIFS('FC Calculation'!$A$5:$A$214,$A27,'FC Calculation'!$D$5:$D$214,D$5,'FC Calculation'!$T$5:$T$214,"&gt;0")=0,"",SUMIFS('FC Calculation'!$T$5:$T$214,'FC Calculation'!$A$5:$A$214,$A27,'FC Calculation'!$D$5:$D$214,D$5))</f>
        <v>2</v>
      </c>
      <c r="E27" s="31" t="n">
        <f aca="false">IF(COUNTIFS('FC Calculation'!$A$5:$A$214,$A27,'FC Calculation'!$D$5:$D$214,E$5,'FC Calculation'!$T$5:$T$214,"&gt;0")=0,"",SUMIFS('FC Calculation'!$T$5:$T$214,'FC Calculation'!$A$5:$A$214,$A27,'FC Calculation'!$D$5:$D$214,E$5))</f>
        <v>2</v>
      </c>
      <c r="F27" s="31" t="n">
        <f aca="false">IF(COUNTIFS('FC Calculation'!$A$5:$A$214,$A27,'FC Calculation'!$D$5:$D$214,F$5,'FC Calculation'!$T$5:$T$214,"&gt;0")=0,"",SUMIFS('FC Calculation'!$T$5:$T$214,'FC Calculation'!$A$5:$A$214,$A27,'FC Calculation'!$D$5:$D$214,F$5))</f>
        <v>2</v>
      </c>
      <c r="G27" s="31" t="n">
        <f aca="false">IF(COUNTIFS('FC Calculation'!$A$5:$A$214,$A27,'FC Calculation'!$D$5:$D$214,G$5,'FC Calculation'!$T$5:$T$214,"&gt;0")=0,"",SUMIFS('FC Calculation'!$T$5:$T$214,'FC Calculation'!$A$5:$A$214,$A27,'FC Calculation'!$D$5:$D$214,G$5))</f>
        <v>2</v>
      </c>
      <c r="H27" s="31" t="n">
        <f aca="false">IF(COUNTIFS('FC Calculation'!$A$5:$A$214,$A27,'FC Calculation'!$D$5:$D$214,H$5,'FC Calculation'!$T$5:$T$214,"&gt;0")=0,"",SUMIFS('FC Calculation'!$T$5:$T$214,'FC Calculation'!$A$5:$A$214,$A27,'FC Calculation'!$D$5:$D$214,H$5))</f>
        <v>2</v>
      </c>
      <c r="I27" s="31" t="n">
        <f aca="false">IF(COUNTIFS('FC Calculation'!$A$5:$A$214,$A27,'FC Calculation'!$D$5:$D$214,I$5,'FC Calculation'!$T$5:$T$214,"&gt;0")=0,"",SUMIFS('FC Calculation'!$T$5:$T$214,'FC Calculation'!$A$5:$A$214,$A27,'FC Calculation'!$D$5:$D$214,I$5))</f>
        <v>2</v>
      </c>
      <c r="J27" s="31" t="n">
        <f aca="false">IF(COUNTIFS('LxI Assessment'!$A$5:$A$394,$A27,'LxI Assessment'!$D$5:$D$394,J$5,'LxI Assessment'!$F$5:$F$394,"N/A")&gt;0,"N/A",IF(COUNTIFS('LxI Assessment'!$A$5:$A$394,$A27,'LxI Assessment'!$D$5:$D$394,J$5,'LxI Assessment'!$S$5:$S$394,"&gt;0")=0,"",SUMIFS('LxI Assessment'!$S$5:$S$394,'LxI Assessment'!$A$5:$A$394,$A27,'LxI Assessment'!$D$5:$D$394,J$5)))</f>
        <v>1</v>
      </c>
      <c r="K27" s="31" t="n">
        <f aca="false">IF(COUNTIFS('LxI Assessment'!$A$5:$A$394,$A27,'LxI Assessment'!$D$5:$D$394,K$5,'LxI Assessment'!$F$5:$F$394,"N/A")&gt;0,"N/A",IF(COUNTIFS('LxI Assessment'!$A$5:$A$394,$A27,'LxI Assessment'!$D$5:$D$394,K$5,'LxI Assessment'!$S$5:$S$394,"&gt;0")=0,"",SUMIFS('LxI Assessment'!$S$5:$S$394,'LxI Assessment'!$A$5:$A$394,$A27,'LxI Assessment'!$D$5:$D$394,K$5)))</f>
        <v>2</v>
      </c>
      <c r="L27" s="31" t="n">
        <f aca="false">IF(COUNTIFS('LxI Assessment'!$A$5:$A$394,$A27,'LxI Assessment'!$D$5:$D$394,L$5,'LxI Assessment'!$F$5:$F$394,"N/A")&gt;0,"N/A",IF(COUNTIFS('LxI Assessment'!$A$5:$A$394,$A27,'LxI Assessment'!$D$5:$D$394,L$5,'LxI Assessment'!$S$5:$S$394,"&gt;0")=0,"",SUMIFS('LxI Assessment'!$S$5:$S$394,'LxI Assessment'!$A$5:$A$394,$A27,'LxI Assessment'!$D$5:$D$394,L$5)))</f>
        <v>1</v>
      </c>
      <c r="M27" s="31" t="str">
        <f aca="false">IF(COUNTIFS('LxI Assessment'!$A$5:$A$394,$A27,'LxI Assessment'!$D$5:$D$394,M$5,'LxI Assessment'!$F$5:$F$394,"N/A")&gt;0,"N/A",IF(COUNTIFS('LxI Assessment'!$A$5:$A$394,$A27,'LxI Assessment'!$D$5:$D$394,M$5,'LxI Assessment'!$S$5:$S$394,"&gt;0")=0,"",SUMIFS('LxI Assessment'!$S$5:$S$394,'LxI Assessment'!$A$5:$A$394,$A27,'LxI Assessment'!$D$5:$D$394,M$5)))</f>
        <v>N/A</v>
      </c>
      <c r="N27" s="31" t="n">
        <f aca="false">IF(COUNTIFS('LxI Assessment'!$A$5:$A$394,$A27,'LxI Assessment'!$D$5:$D$394,N$5,'LxI Assessment'!$F$5:$F$394,"N/A")&gt;0,"N/A",IF(COUNTIFS('LxI Assessment'!$A$5:$A$394,$A27,'LxI Assessment'!$D$5:$D$394,N$5,'LxI Assessment'!$S$5:$S$394,"&gt;0")=0,"",SUMIFS('LxI Assessment'!$S$5:$S$394,'LxI Assessment'!$A$5:$A$394,$A27,'LxI Assessment'!$D$5:$D$394,N$5)))</f>
        <v>2</v>
      </c>
      <c r="O27" s="31" t="n">
        <f aca="false">IF(COUNTIFS('LxI Assessment'!$A$5:$A$394,$A27,'LxI Assessment'!$D$5:$D$394,O$5,'LxI Assessment'!$F$5:$F$394,"N/A")&gt;0,"N/A",IF(COUNTIFS('LxI Assessment'!$A$5:$A$394,$A27,'LxI Assessment'!$D$5:$D$394,O$5,'LxI Assessment'!$S$5:$S$394,"&gt;0")=0,"",SUMIFS('LxI Assessment'!$S$5:$S$394,'LxI Assessment'!$A$5:$A$394,$A27,'LxI Assessment'!$D$5:$D$394,O$5)))</f>
        <v>1</v>
      </c>
      <c r="P27" s="31" t="n">
        <f aca="false">IF(COUNTIFS('LxI Assessment'!$A$5:$A$394,$A27,'LxI Assessment'!$D$5:$D$394,P$5,'LxI Assessment'!$F$5:$F$394,"N/A")&gt;0,"N/A",IF(COUNTIFS('LxI Assessment'!$A$5:$A$394,$A27,'LxI Assessment'!$D$5:$D$394,P$5,'LxI Assessment'!$S$5:$S$394,"&gt;0")=0,"",SUMIFS('LxI Assessment'!$S$5:$S$394,'LxI Assessment'!$A$5:$A$394,$A27,'LxI Assessment'!$D$5:$D$394,P$5)))</f>
        <v>2</v>
      </c>
      <c r="Q27" s="31" t="n">
        <f aca="false">IF(COUNTIFS('LxI Assessment'!$A$5:$A$394,$A27,'LxI Assessment'!$D$5:$D$394,Q$5,'LxI Assessment'!$F$5:$F$394,"N/A")&gt;0,"N/A",IF(COUNTIFS('LxI Assessment'!$A$5:$A$394,$A27,'LxI Assessment'!$D$5:$D$394,Q$5,'LxI Assessment'!$S$5:$S$394,"&gt;0")=0,"",SUMIFS('LxI Assessment'!$S$5:$S$394,'LxI Assessment'!$A$5:$A$394,$A27,'LxI Assessment'!$D$5:$D$394,Q$5)))</f>
        <v>3</v>
      </c>
      <c r="R27" s="31" t="n">
        <f aca="false">IF(COUNTIFS('LxI Assessment'!$A$5:$A$394,$A27,'LxI Assessment'!$D$5:$D$394,R$5,'LxI Assessment'!$F$5:$F$394,"N/A")&gt;0,"N/A",IF(COUNTIFS('LxI Assessment'!$A$5:$A$394,$A27,'LxI Assessment'!$D$5:$D$394,R$5,'LxI Assessment'!$S$5:$S$394,"&gt;0")=0,"",SUMIFS('LxI Assessment'!$S$5:$S$394,'LxI Assessment'!$A$5:$A$394,$A27,'LxI Assessment'!$D$5:$D$394,R$5)))</f>
        <v>1</v>
      </c>
      <c r="S27" s="31" t="n">
        <f aca="false">IF(COUNTIFS('LxI Assessment'!$A$5:$A$394,$A27,'LxI Assessment'!$D$5:$D$394,S$5,'LxI Assessment'!$F$5:$F$394,"N/A")&gt;0,"N/A",IF(COUNTIFS('LxI Assessment'!$A$5:$A$394,$A27,'LxI Assessment'!$D$5:$D$394,S$5,'LxI Assessment'!$S$5:$S$394,"&gt;0")=0,"",SUMIFS('LxI Assessment'!$S$5:$S$394,'LxI Assessment'!$A$5:$A$394,$A27,'LxI Assessment'!$D$5:$D$394,S$5)))</f>
        <v>2</v>
      </c>
      <c r="T27" s="31" t="n">
        <f aca="false">IF(COUNTIFS('LxI Assessment'!$A$5:$A$394,$A27,'LxI Assessment'!$D$5:$D$394,T$5,'LxI Assessment'!$F$5:$F$394,"N/A")&gt;0,"N/A",IF(COUNTIFS('LxI Assessment'!$A$5:$A$394,$A27,'LxI Assessment'!$D$5:$D$394,T$5,'LxI Assessment'!$S$5:$S$394,"&gt;0")=0,"",SUMIFS('LxI Assessment'!$S$5:$S$394,'LxI Assessment'!$A$5:$A$394,$A27,'LxI Assessment'!$D$5:$D$394,T$5)))</f>
        <v>1</v>
      </c>
      <c r="U27" s="31" t="n">
        <f aca="false">IF(COUNTIFS('LxI Assessment'!$A$5:$A$394,$A27,'LxI Assessment'!$D$5:$D$394,U$5,'LxI Assessment'!$F$5:$F$394,"N/A")&gt;0,"N/A",IF(COUNTIFS('LxI Assessment'!$A$5:$A$394,$A27,'LxI Assessment'!$D$5:$D$394,U$5,'LxI Assessment'!$S$5:$S$394,"&gt;0")=0,"",SUMIFS('LxI Assessment'!$S$5:$S$394,'LxI Assessment'!$A$5:$A$394,$A27,'LxI Assessment'!$D$5:$D$394,U$5)))</f>
        <v>2</v>
      </c>
      <c r="V27" s="31" t="n">
        <f aca="false">IF(COUNTIFS('LxI Assessment'!$A$5:$A$394,$A27,'LxI Assessment'!$D$5:$D$394,V$5,'LxI Assessment'!$F$5:$F$394,"N/A")&gt;0,"N/A",IF(COUNTIFS('LxI Assessment'!$A$5:$A$394,$A27,'LxI Assessment'!$D$5:$D$394,V$5,'LxI Assessment'!$S$5:$S$394,"&gt;0")=0,"",SUMIFS('LxI Assessment'!$S$5:$S$394,'LxI Assessment'!$A$5:$A$394,$A27,'LxI Assessment'!$D$5:$D$394,V$5)))</f>
        <v>1</v>
      </c>
      <c r="W27" s="34" t="n">
        <f aca="false">MAX(C27:V27)</f>
        <v>3</v>
      </c>
      <c r="X27" s="29" t="n">
        <f aca="false">IFERROR(AVERAGE(C27:V27),"")</f>
        <v>1.73684210526316</v>
      </c>
      <c r="Y27" s="31" t="n">
        <f aca="false">COUNTIF(C27:V27,5)</f>
        <v>0</v>
      </c>
      <c r="Z27" s="31" t="n">
        <f aca="false">COUNTIF(C27:V27,4)</f>
        <v>0</v>
      </c>
      <c r="AA27" s="7" t="str">
        <f aca="false">IF(W27=0,"",INDEX(Config!$B$5:$B$9,W27))</f>
        <v>Medium</v>
      </c>
    </row>
    <row r="28" customFormat="false" ht="15" hidden="false" customHeight="false" outlineLevel="0" collapsed="false">
      <c r="A28" s="26" t="str">
        <f aca="false">Entities!A27</f>
        <v>FR</v>
      </c>
      <c r="B28" s="26" t="str">
        <f aca="false">Entities!B27</f>
        <v>Arab Bank – France</v>
      </c>
      <c r="C28" s="31" t="n">
        <f aca="false">IF(COUNTIFS('FC Calculation'!$A$5:$A$214,$A28,'FC Calculation'!$D$5:$D$214,C$5,'FC Calculation'!$T$5:$T$214,"&gt;0")=0,"",SUMIFS('FC Calculation'!$T$5:$T$214,'FC Calculation'!$A$5:$A$214,$A28,'FC Calculation'!$D$5:$D$214,C$5))</f>
        <v>1</v>
      </c>
      <c r="D28" s="31" t="n">
        <f aca="false">IF(COUNTIFS('FC Calculation'!$A$5:$A$214,$A28,'FC Calculation'!$D$5:$D$214,D$5,'FC Calculation'!$T$5:$T$214,"&gt;0")=0,"",SUMIFS('FC Calculation'!$T$5:$T$214,'FC Calculation'!$A$5:$A$214,$A28,'FC Calculation'!$D$5:$D$214,D$5))</f>
        <v>1</v>
      </c>
      <c r="E28" s="31" t="n">
        <f aca="false">IF(COUNTIFS('FC Calculation'!$A$5:$A$214,$A28,'FC Calculation'!$D$5:$D$214,E$5,'FC Calculation'!$T$5:$T$214,"&gt;0")=0,"",SUMIFS('FC Calculation'!$T$5:$T$214,'FC Calculation'!$A$5:$A$214,$A28,'FC Calculation'!$D$5:$D$214,E$5))</f>
        <v>1</v>
      </c>
      <c r="F28" s="31" t="n">
        <f aca="false">IF(COUNTIFS('FC Calculation'!$A$5:$A$214,$A28,'FC Calculation'!$D$5:$D$214,F$5,'FC Calculation'!$T$5:$T$214,"&gt;0")=0,"",SUMIFS('FC Calculation'!$T$5:$T$214,'FC Calculation'!$A$5:$A$214,$A28,'FC Calculation'!$D$5:$D$214,F$5))</f>
        <v>2</v>
      </c>
      <c r="G28" s="31" t="n">
        <f aca="false">IF(COUNTIFS('FC Calculation'!$A$5:$A$214,$A28,'FC Calculation'!$D$5:$D$214,G$5,'FC Calculation'!$T$5:$T$214,"&gt;0")=0,"",SUMIFS('FC Calculation'!$T$5:$T$214,'FC Calculation'!$A$5:$A$214,$A28,'FC Calculation'!$D$5:$D$214,G$5))</f>
        <v>2</v>
      </c>
      <c r="H28" s="31" t="n">
        <f aca="false">IF(COUNTIFS('FC Calculation'!$A$5:$A$214,$A28,'FC Calculation'!$D$5:$D$214,H$5,'FC Calculation'!$T$5:$T$214,"&gt;0")=0,"",SUMIFS('FC Calculation'!$T$5:$T$214,'FC Calculation'!$A$5:$A$214,$A28,'FC Calculation'!$D$5:$D$214,H$5))</f>
        <v>2</v>
      </c>
      <c r="I28" s="31" t="n">
        <f aca="false">IF(COUNTIFS('FC Calculation'!$A$5:$A$214,$A28,'FC Calculation'!$D$5:$D$214,I$5,'FC Calculation'!$T$5:$T$214,"&gt;0")=0,"",SUMIFS('FC Calculation'!$T$5:$T$214,'FC Calculation'!$A$5:$A$214,$A28,'FC Calculation'!$D$5:$D$214,I$5))</f>
        <v>2</v>
      </c>
      <c r="J28" s="31" t="n">
        <f aca="false">IF(COUNTIFS('LxI Assessment'!$A$5:$A$394,$A28,'LxI Assessment'!$D$5:$D$394,J$5,'LxI Assessment'!$F$5:$F$394,"N/A")&gt;0,"N/A",IF(COUNTIFS('LxI Assessment'!$A$5:$A$394,$A28,'LxI Assessment'!$D$5:$D$394,J$5,'LxI Assessment'!$S$5:$S$394,"&gt;0")=0,"",SUMIFS('LxI Assessment'!$S$5:$S$394,'LxI Assessment'!$A$5:$A$394,$A28,'LxI Assessment'!$D$5:$D$394,J$5)))</f>
        <v>1</v>
      </c>
      <c r="K28" s="31" t="n">
        <f aca="false">IF(COUNTIFS('LxI Assessment'!$A$5:$A$394,$A28,'LxI Assessment'!$D$5:$D$394,K$5,'LxI Assessment'!$F$5:$F$394,"N/A")&gt;0,"N/A",IF(COUNTIFS('LxI Assessment'!$A$5:$A$394,$A28,'LxI Assessment'!$D$5:$D$394,K$5,'LxI Assessment'!$S$5:$S$394,"&gt;0")=0,"",SUMIFS('LxI Assessment'!$S$5:$S$394,'LxI Assessment'!$A$5:$A$394,$A28,'LxI Assessment'!$D$5:$D$394,K$5)))</f>
        <v>1</v>
      </c>
      <c r="L28" s="31" t="n">
        <f aca="false">IF(COUNTIFS('LxI Assessment'!$A$5:$A$394,$A28,'LxI Assessment'!$D$5:$D$394,L$5,'LxI Assessment'!$F$5:$F$394,"N/A")&gt;0,"N/A",IF(COUNTIFS('LxI Assessment'!$A$5:$A$394,$A28,'LxI Assessment'!$D$5:$D$394,L$5,'LxI Assessment'!$S$5:$S$394,"&gt;0")=0,"",SUMIFS('LxI Assessment'!$S$5:$S$394,'LxI Assessment'!$A$5:$A$394,$A28,'LxI Assessment'!$D$5:$D$394,L$5)))</f>
        <v>2</v>
      </c>
      <c r="M28" s="31" t="str">
        <f aca="false">IF(COUNTIFS('LxI Assessment'!$A$5:$A$394,$A28,'LxI Assessment'!$D$5:$D$394,M$5,'LxI Assessment'!$F$5:$F$394,"N/A")&gt;0,"N/A",IF(COUNTIFS('LxI Assessment'!$A$5:$A$394,$A28,'LxI Assessment'!$D$5:$D$394,M$5,'LxI Assessment'!$S$5:$S$394,"&gt;0")=0,"",SUMIFS('LxI Assessment'!$S$5:$S$394,'LxI Assessment'!$A$5:$A$394,$A28,'LxI Assessment'!$D$5:$D$394,M$5)))</f>
        <v>N/A</v>
      </c>
      <c r="N28" s="31" t="n">
        <f aca="false">IF(COUNTIFS('LxI Assessment'!$A$5:$A$394,$A28,'LxI Assessment'!$D$5:$D$394,N$5,'LxI Assessment'!$F$5:$F$394,"N/A")&gt;0,"N/A",IF(COUNTIFS('LxI Assessment'!$A$5:$A$394,$A28,'LxI Assessment'!$D$5:$D$394,N$5,'LxI Assessment'!$S$5:$S$394,"&gt;0")=0,"",SUMIFS('LxI Assessment'!$S$5:$S$394,'LxI Assessment'!$A$5:$A$394,$A28,'LxI Assessment'!$D$5:$D$394,N$5)))</f>
        <v>2</v>
      </c>
      <c r="O28" s="31" t="n">
        <f aca="false">IF(COUNTIFS('LxI Assessment'!$A$5:$A$394,$A28,'LxI Assessment'!$D$5:$D$394,O$5,'LxI Assessment'!$F$5:$F$394,"N/A")&gt;0,"N/A",IF(COUNTIFS('LxI Assessment'!$A$5:$A$394,$A28,'LxI Assessment'!$D$5:$D$394,O$5,'LxI Assessment'!$S$5:$S$394,"&gt;0")=0,"",SUMIFS('LxI Assessment'!$S$5:$S$394,'LxI Assessment'!$A$5:$A$394,$A28,'LxI Assessment'!$D$5:$D$394,O$5)))</f>
        <v>1</v>
      </c>
      <c r="P28" s="31" t="n">
        <f aca="false">IF(COUNTIFS('LxI Assessment'!$A$5:$A$394,$A28,'LxI Assessment'!$D$5:$D$394,P$5,'LxI Assessment'!$F$5:$F$394,"N/A")&gt;0,"N/A",IF(COUNTIFS('LxI Assessment'!$A$5:$A$394,$A28,'LxI Assessment'!$D$5:$D$394,P$5,'LxI Assessment'!$S$5:$S$394,"&gt;0")=0,"",SUMIFS('LxI Assessment'!$S$5:$S$394,'LxI Assessment'!$A$5:$A$394,$A28,'LxI Assessment'!$D$5:$D$394,P$5)))</f>
        <v>2</v>
      </c>
      <c r="Q28" s="31" t="n">
        <f aca="false">IF(COUNTIFS('LxI Assessment'!$A$5:$A$394,$A28,'LxI Assessment'!$D$5:$D$394,Q$5,'LxI Assessment'!$F$5:$F$394,"N/A")&gt;0,"N/A",IF(COUNTIFS('LxI Assessment'!$A$5:$A$394,$A28,'LxI Assessment'!$D$5:$D$394,Q$5,'LxI Assessment'!$S$5:$S$394,"&gt;0")=0,"",SUMIFS('LxI Assessment'!$S$5:$S$394,'LxI Assessment'!$A$5:$A$394,$A28,'LxI Assessment'!$D$5:$D$394,Q$5)))</f>
        <v>3</v>
      </c>
      <c r="R28" s="31" t="n">
        <f aca="false">IF(COUNTIFS('LxI Assessment'!$A$5:$A$394,$A28,'LxI Assessment'!$D$5:$D$394,R$5,'LxI Assessment'!$F$5:$F$394,"N/A")&gt;0,"N/A",IF(COUNTIFS('LxI Assessment'!$A$5:$A$394,$A28,'LxI Assessment'!$D$5:$D$394,R$5,'LxI Assessment'!$S$5:$S$394,"&gt;0")=0,"",SUMIFS('LxI Assessment'!$S$5:$S$394,'LxI Assessment'!$A$5:$A$394,$A28,'LxI Assessment'!$D$5:$D$394,R$5)))</f>
        <v>2</v>
      </c>
      <c r="S28" s="31" t="n">
        <f aca="false">IF(COUNTIFS('LxI Assessment'!$A$5:$A$394,$A28,'LxI Assessment'!$D$5:$D$394,S$5,'LxI Assessment'!$F$5:$F$394,"N/A")&gt;0,"N/A",IF(COUNTIFS('LxI Assessment'!$A$5:$A$394,$A28,'LxI Assessment'!$D$5:$D$394,S$5,'LxI Assessment'!$S$5:$S$394,"&gt;0")=0,"",SUMIFS('LxI Assessment'!$S$5:$S$394,'LxI Assessment'!$A$5:$A$394,$A28,'LxI Assessment'!$D$5:$D$394,S$5)))</f>
        <v>2</v>
      </c>
      <c r="T28" s="31" t="n">
        <f aca="false">IF(COUNTIFS('LxI Assessment'!$A$5:$A$394,$A28,'LxI Assessment'!$D$5:$D$394,T$5,'LxI Assessment'!$F$5:$F$394,"N/A")&gt;0,"N/A",IF(COUNTIFS('LxI Assessment'!$A$5:$A$394,$A28,'LxI Assessment'!$D$5:$D$394,T$5,'LxI Assessment'!$S$5:$S$394,"&gt;0")=0,"",SUMIFS('LxI Assessment'!$S$5:$S$394,'LxI Assessment'!$A$5:$A$394,$A28,'LxI Assessment'!$D$5:$D$394,T$5)))</f>
        <v>1</v>
      </c>
      <c r="U28" s="31" t="n">
        <f aca="false">IF(COUNTIFS('LxI Assessment'!$A$5:$A$394,$A28,'LxI Assessment'!$D$5:$D$394,U$5,'LxI Assessment'!$F$5:$F$394,"N/A")&gt;0,"N/A",IF(COUNTIFS('LxI Assessment'!$A$5:$A$394,$A28,'LxI Assessment'!$D$5:$D$394,U$5,'LxI Assessment'!$S$5:$S$394,"&gt;0")=0,"",SUMIFS('LxI Assessment'!$S$5:$S$394,'LxI Assessment'!$A$5:$A$394,$A28,'LxI Assessment'!$D$5:$D$394,U$5)))</f>
        <v>2</v>
      </c>
      <c r="V28" s="31" t="n">
        <f aca="false">IF(COUNTIFS('LxI Assessment'!$A$5:$A$394,$A28,'LxI Assessment'!$D$5:$D$394,V$5,'LxI Assessment'!$F$5:$F$394,"N/A")&gt;0,"N/A",IF(COUNTIFS('LxI Assessment'!$A$5:$A$394,$A28,'LxI Assessment'!$D$5:$D$394,V$5,'LxI Assessment'!$S$5:$S$394,"&gt;0")=0,"",SUMIFS('LxI Assessment'!$S$5:$S$394,'LxI Assessment'!$A$5:$A$394,$A28,'LxI Assessment'!$D$5:$D$394,V$5)))</f>
        <v>2</v>
      </c>
      <c r="W28" s="34" t="n">
        <f aca="false">MAX(C28:V28)</f>
        <v>3</v>
      </c>
      <c r="X28" s="29" t="n">
        <f aca="false">IFERROR(AVERAGE(C28:V28),"")</f>
        <v>1.68421052631579</v>
      </c>
      <c r="Y28" s="31" t="n">
        <f aca="false">COUNTIF(C28:V28,5)</f>
        <v>0</v>
      </c>
      <c r="Z28" s="31" t="n">
        <f aca="false">COUNTIF(C28:V28,4)</f>
        <v>0</v>
      </c>
      <c r="AA28" s="7" t="str">
        <f aca="false">IF(W28=0,"",INDEX(Config!$B$5:$B$9,W28))</f>
        <v>Medium</v>
      </c>
    </row>
    <row r="29" customFormat="false" ht="15" hidden="false" customHeight="false" outlineLevel="0" collapsed="false">
      <c r="A29" s="26" t="str">
        <f aca="false">Entities!A28</f>
        <v>DE</v>
      </c>
      <c r="B29" s="26" t="str">
        <f aca="false">Entities!B28</f>
        <v>Arab Bank – Germany</v>
      </c>
      <c r="C29" s="31" t="n">
        <f aca="false">IF(COUNTIFS('FC Calculation'!$A$5:$A$214,$A29,'FC Calculation'!$D$5:$D$214,C$5,'FC Calculation'!$T$5:$T$214,"&gt;0")=0,"",SUMIFS('FC Calculation'!$T$5:$T$214,'FC Calculation'!$A$5:$A$214,$A29,'FC Calculation'!$D$5:$D$214,C$5))</f>
        <v>1</v>
      </c>
      <c r="D29" s="31" t="n">
        <f aca="false">IF(COUNTIFS('FC Calculation'!$A$5:$A$214,$A29,'FC Calculation'!$D$5:$D$214,D$5,'FC Calculation'!$T$5:$T$214,"&gt;0")=0,"",SUMIFS('FC Calculation'!$T$5:$T$214,'FC Calculation'!$A$5:$A$214,$A29,'FC Calculation'!$D$5:$D$214,D$5))</f>
        <v>1</v>
      </c>
      <c r="E29" s="31" t="n">
        <f aca="false">IF(COUNTIFS('FC Calculation'!$A$5:$A$214,$A29,'FC Calculation'!$D$5:$D$214,E$5,'FC Calculation'!$T$5:$T$214,"&gt;0")=0,"",SUMIFS('FC Calculation'!$T$5:$T$214,'FC Calculation'!$A$5:$A$214,$A29,'FC Calculation'!$D$5:$D$214,E$5))</f>
        <v>2</v>
      </c>
      <c r="F29" s="31" t="n">
        <f aca="false">IF(COUNTIFS('FC Calculation'!$A$5:$A$214,$A29,'FC Calculation'!$D$5:$D$214,F$5,'FC Calculation'!$T$5:$T$214,"&gt;0")=0,"",SUMIFS('FC Calculation'!$T$5:$T$214,'FC Calculation'!$A$5:$A$214,$A29,'FC Calculation'!$D$5:$D$214,F$5))</f>
        <v>1</v>
      </c>
      <c r="G29" s="31" t="n">
        <f aca="false">IF(COUNTIFS('FC Calculation'!$A$5:$A$214,$A29,'FC Calculation'!$D$5:$D$214,G$5,'FC Calculation'!$T$5:$T$214,"&gt;0")=0,"",SUMIFS('FC Calculation'!$T$5:$T$214,'FC Calculation'!$A$5:$A$214,$A29,'FC Calculation'!$D$5:$D$214,G$5))</f>
        <v>1</v>
      </c>
      <c r="H29" s="31" t="n">
        <f aca="false">IF(COUNTIFS('FC Calculation'!$A$5:$A$214,$A29,'FC Calculation'!$D$5:$D$214,H$5,'FC Calculation'!$T$5:$T$214,"&gt;0")=0,"",SUMIFS('FC Calculation'!$T$5:$T$214,'FC Calculation'!$A$5:$A$214,$A29,'FC Calculation'!$D$5:$D$214,H$5))</f>
        <v>1</v>
      </c>
      <c r="I29" s="31" t="n">
        <f aca="false">IF(COUNTIFS('FC Calculation'!$A$5:$A$214,$A29,'FC Calculation'!$D$5:$D$214,I$5,'FC Calculation'!$T$5:$T$214,"&gt;0")=0,"",SUMIFS('FC Calculation'!$T$5:$T$214,'FC Calculation'!$A$5:$A$214,$A29,'FC Calculation'!$D$5:$D$214,I$5))</f>
        <v>1</v>
      </c>
      <c r="J29" s="31" t="n">
        <f aca="false">IF(COUNTIFS('LxI Assessment'!$A$5:$A$394,$A29,'LxI Assessment'!$D$5:$D$394,J$5,'LxI Assessment'!$F$5:$F$394,"N/A")&gt;0,"N/A",IF(COUNTIFS('LxI Assessment'!$A$5:$A$394,$A29,'LxI Assessment'!$D$5:$D$394,J$5,'LxI Assessment'!$S$5:$S$394,"&gt;0")=0,"",SUMIFS('LxI Assessment'!$S$5:$S$394,'LxI Assessment'!$A$5:$A$394,$A29,'LxI Assessment'!$D$5:$D$394,J$5)))</f>
        <v>1</v>
      </c>
      <c r="K29" s="31" t="n">
        <f aca="false">IF(COUNTIFS('LxI Assessment'!$A$5:$A$394,$A29,'LxI Assessment'!$D$5:$D$394,K$5,'LxI Assessment'!$F$5:$F$394,"N/A")&gt;0,"N/A",IF(COUNTIFS('LxI Assessment'!$A$5:$A$394,$A29,'LxI Assessment'!$D$5:$D$394,K$5,'LxI Assessment'!$S$5:$S$394,"&gt;0")=0,"",SUMIFS('LxI Assessment'!$S$5:$S$394,'LxI Assessment'!$A$5:$A$394,$A29,'LxI Assessment'!$D$5:$D$394,K$5)))</f>
        <v>1</v>
      </c>
      <c r="L29" s="31" t="n">
        <f aca="false">IF(COUNTIFS('LxI Assessment'!$A$5:$A$394,$A29,'LxI Assessment'!$D$5:$D$394,L$5,'LxI Assessment'!$F$5:$F$394,"N/A")&gt;0,"N/A",IF(COUNTIFS('LxI Assessment'!$A$5:$A$394,$A29,'LxI Assessment'!$D$5:$D$394,L$5,'LxI Assessment'!$S$5:$S$394,"&gt;0")=0,"",SUMIFS('LxI Assessment'!$S$5:$S$394,'LxI Assessment'!$A$5:$A$394,$A29,'LxI Assessment'!$D$5:$D$394,L$5)))</f>
        <v>1</v>
      </c>
      <c r="M29" s="31" t="str">
        <f aca="false">IF(COUNTIFS('LxI Assessment'!$A$5:$A$394,$A29,'LxI Assessment'!$D$5:$D$394,M$5,'LxI Assessment'!$F$5:$F$394,"N/A")&gt;0,"N/A",IF(COUNTIFS('LxI Assessment'!$A$5:$A$394,$A29,'LxI Assessment'!$D$5:$D$394,M$5,'LxI Assessment'!$S$5:$S$394,"&gt;0")=0,"",SUMIFS('LxI Assessment'!$S$5:$S$394,'LxI Assessment'!$A$5:$A$394,$A29,'LxI Assessment'!$D$5:$D$394,M$5)))</f>
        <v>N/A</v>
      </c>
      <c r="N29" s="31" t="n">
        <f aca="false">IF(COUNTIFS('LxI Assessment'!$A$5:$A$394,$A29,'LxI Assessment'!$D$5:$D$394,N$5,'LxI Assessment'!$F$5:$F$394,"N/A")&gt;0,"N/A",IF(COUNTIFS('LxI Assessment'!$A$5:$A$394,$A29,'LxI Assessment'!$D$5:$D$394,N$5,'LxI Assessment'!$S$5:$S$394,"&gt;0")=0,"",SUMIFS('LxI Assessment'!$S$5:$S$394,'LxI Assessment'!$A$5:$A$394,$A29,'LxI Assessment'!$D$5:$D$394,N$5)))</f>
        <v>3</v>
      </c>
      <c r="O29" s="31" t="n">
        <f aca="false">IF(COUNTIFS('LxI Assessment'!$A$5:$A$394,$A29,'LxI Assessment'!$D$5:$D$394,O$5,'LxI Assessment'!$F$5:$F$394,"N/A")&gt;0,"N/A",IF(COUNTIFS('LxI Assessment'!$A$5:$A$394,$A29,'LxI Assessment'!$D$5:$D$394,O$5,'LxI Assessment'!$S$5:$S$394,"&gt;0")=0,"",SUMIFS('LxI Assessment'!$S$5:$S$394,'LxI Assessment'!$A$5:$A$394,$A29,'LxI Assessment'!$D$5:$D$394,O$5)))</f>
        <v>2</v>
      </c>
      <c r="P29" s="31" t="n">
        <f aca="false">IF(COUNTIFS('LxI Assessment'!$A$5:$A$394,$A29,'LxI Assessment'!$D$5:$D$394,P$5,'LxI Assessment'!$F$5:$F$394,"N/A")&gt;0,"N/A",IF(COUNTIFS('LxI Assessment'!$A$5:$A$394,$A29,'LxI Assessment'!$D$5:$D$394,P$5,'LxI Assessment'!$S$5:$S$394,"&gt;0")=0,"",SUMIFS('LxI Assessment'!$S$5:$S$394,'LxI Assessment'!$A$5:$A$394,$A29,'LxI Assessment'!$D$5:$D$394,P$5)))</f>
        <v>1</v>
      </c>
      <c r="Q29" s="31" t="n">
        <f aca="false">IF(COUNTIFS('LxI Assessment'!$A$5:$A$394,$A29,'LxI Assessment'!$D$5:$D$394,Q$5,'LxI Assessment'!$F$5:$F$394,"N/A")&gt;0,"N/A",IF(COUNTIFS('LxI Assessment'!$A$5:$A$394,$A29,'LxI Assessment'!$D$5:$D$394,Q$5,'LxI Assessment'!$S$5:$S$394,"&gt;0")=0,"",SUMIFS('LxI Assessment'!$S$5:$S$394,'LxI Assessment'!$A$5:$A$394,$A29,'LxI Assessment'!$D$5:$D$394,Q$5)))</f>
        <v>2</v>
      </c>
      <c r="R29" s="31" t="n">
        <f aca="false">IF(COUNTIFS('LxI Assessment'!$A$5:$A$394,$A29,'LxI Assessment'!$D$5:$D$394,R$5,'LxI Assessment'!$F$5:$F$394,"N/A")&gt;0,"N/A",IF(COUNTIFS('LxI Assessment'!$A$5:$A$394,$A29,'LxI Assessment'!$D$5:$D$394,R$5,'LxI Assessment'!$S$5:$S$394,"&gt;0")=0,"",SUMIFS('LxI Assessment'!$S$5:$S$394,'LxI Assessment'!$A$5:$A$394,$A29,'LxI Assessment'!$D$5:$D$394,R$5)))</f>
        <v>1</v>
      </c>
      <c r="S29" s="31" t="n">
        <f aca="false">IF(COUNTIFS('LxI Assessment'!$A$5:$A$394,$A29,'LxI Assessment'!$D$5:$D$394,S$5,'LxI Assessment'!$F$5:$F$394,"N/A")&gt;0,"N/A",IF(COUNTIFS('LxI Assessment'!$A$5:$A$394,$A29,'LxI Assessment'!$D$5:$D$394,S$5,'LxI Assessment'!$S$5:$S$394,"&gt;0")=0,"",SUMIFS('LxI Assessment'!$S$5:$S$394,'LxI Assessment'!$A$5:$A$394,$A29,'LxI Assessment'!$D$5:$D$394,S$5)))</f>
        <v>1</v>
      </c>
      <c r="T29" s="31" t="n">
        <f aca="false">IF(COUNTIFS('LxI Assessment'!$A$5:$A$394,$A29,'LxI Assessment'!$D$5:$D$394,T$5,'LxI Assessment'!$F$5:$F$394,"N/A")&gt;0,"N/A",IF(COUNTIFS('LxI Assessment'!$A$5:$A$394,$A29,'LxI Assessment'!$D$5:$D$394,T$5,'LxI Assessment'!$S$5:$S$394,"&gt;0")=0,"",SUMIFS('LxI Assessment'!$S$5:$S$394,'LxI Assessment'!$A$5:$A$394,$A29,'LxI Assessment'!$D$5:$D$394,T$5)))</f>
        <v>2</v>
      </c>
      <c r="U29" s="31" t="n">
        <f aca="false">IF(COUNTIFS('LxI Assessment'!$A$5:$A$394,$A29,'LxI Assessment'!$D$5:$D$394,U$5,'LxI Assessment'!$F$5:$F$394,"N/A")&gt;0,"N/A",IF(COUNTIFS('LxI Assessment'!$A$5:$A$394,$A29,'LxI Assessment'!$D$5:$D$394,U$5,'LxI Assessment'!$S$5:$S$394,"&gt;0")=0,"",SUMIFS('LxI Assessment'!$S$5:$S$394,'LxI Assessment'!$A$5:$A$394,$A29,'LxI Assessment'!$D$5:$D$394,U$5)))</f>
        <v>1</v>
      </c>
      <c r="V29" s="31" t="n">
        <f aca="false">IF(COUNTIFS('LxI Assessment'!$A$5:$A$394,$A29,'LxI Assessment'!$D$5:$D$394,V$5,'LxI Assessment'!$F$5:$F$394,"N/A")&gt;0,"N/A",IF(COUNTIFS('LxI Assessment'!$A$5:$A$394,$A29,'LxI Assessment'!$D$5:$D$394,V$5,'LxI Assessment'!$S$5:$S$394,"&gt;0")=0,"",SUMIFS('LxI Assessment'!$S$5:$S$394,'LxI Assessment'!$A$5:$A$394,$A29,'LxI Assessment'!$D$5:$D$394,V$5)))</f>
        <v>1</v>
      </c>
      <c r="W29" s="34" t="n">
        <f aca="false">MAX(C29:V29)</f>
        <v>3</v>
      </c>
      <c r="X29" s="29" t="n">
        <f aca="false">IFERROR(AVERAGE(C29:V29),"")</f>
        <v>1.31578947368421</v>
      </c>
      <c r="Y29" s="31" t="n">
        <f aca="false">COUNTIF(C29:V29,5)</f>
        <v>0</v>
      </c>
      <c r="Z29" s="31" t="n">
        <f aca="false">COUNTIF(C29:V29,4)</f>
        <v>0</v>
      </c>
      <c r="AA29" s="7" t="str">
        <f aca="false">IF(W29=0,"",INDEX(Config!$B$5:$B$9,W29))</f>
        <v>Medium</v>
      </c>
    </row>
    <row r="30" customFormat="false" ht="15" hidden="false" customHeight="false" outlineLevel="0" collapsed="false">
      <c r="A30" s="26" t="str">
        <f aca="false">Entities!A29</f>
        <v>IT</v>
      </c>
      <c r="B30" s="26" t="str">
        <f aca="false">Entities!B29</f>
        <v>Arab Bank – Italy</v>
      </c>
      <c r="C30" s="31" t="n">
        <f aca="false">IF(COUNTIFS('FC Calculation'!$A$5:$A$214,$A30,'FC Calculation'!$D$5:$D$214,C$5,'FC Calculation'!$T$5:$T$214,"&gt;0")=0,"",SUMIFS('FC Calculation'!$T$5:$T$214,'FC Calculation'!$A$5:$A$214,$A30,'FC Calculation'!$D$5:$D$214,C$5))</f>
        <v>2</v>
      </c>
      <c r="D30" s="31" t="n">
        <f aca="false">IF(COUNTIFS('FC Calculation'!$A$5:$A$214,$A30,'FC Calculation'!$D$5:$D$214,D$5,'FC Calculation'!$T$5:$T$214,"&gt;0")=0,"",SUMIFS('FC Calculation'!$T$5:$T$214,'FC Calculation'!$A$5:$A$214,$A30,'FC Calculation'!$D$5:$D$214,D$5))</f>
        <v>1</v>
      </c>
      <c r="E30" s="31" t="n">
        <f aca="false">IF(COUNTIFS('FC Calculation'!$A$5:$A$214,$A30,'FC Calculation'!$D$5:$D$214,E$5,'FC Calculation'!$T$5:$T$214,"&gt;0")=0,"",SUMIFS('FC Calculation'!$T$5:$T$214,'FC Calculation'!$A$5:$A$214,$A30,'FC Calculation'!$D$5:$D$214,E$5))</f>
        <v>2</v>
      </c>
      <c r="F30" s="31" t="n">
        <f aca="false">IF(COUNTIFS('FC Calculation'!$A$5:$A$214,$A30,'FC Calculation'!$D$5:$D$214,F$5,'FC Calculation'!$T$5:$T$214,"&gt;0")=0,"",SUMIFS('FC Calculation'!$T$5:$T$214,'FC Calculation'!$A$5:$A$214,$A30,'FC Calculation'!$D$5:$D$214,F$5))</f>
        <v>2</v>
      </c>
      <c r="G30" s="31" t="n">
        <f aca="false">IF(COUNTIFS('FC Calculation'!$A$5:$A$214,$A30,'FC Calculation'!$D$5:$D$214,G$5,'FC Calculation'!$T$5:$T$214,"&gt;0")=0,"",SUMIFS('FC Calculation'!$T$5:$T$214,'FC Calculation'!$A$5:$A$214,$A30,'FC Calculation'!$D$5:$D$214,G$5))</f>
        <v>2</v>
      </c>
      <c r="H30" s="31" t="n">
        <f aca="false">IF(COUNTIFS('FC Calculation'!$A$5:$A$214,$A30,'FC Calculation'!$D$5:$D$214,H$5,'FC Calculation'!$T$5:$T$214,"&gt;0")=0,"",SUMIFS('FC Calculation'!$T$5:$T$214,'FC Calculation'!$A$5:$A$214,$A30,'FC Calculation'!$D$5:$D$214,H$5))</f>
        <v>2</v>
      </c>
      <c r="I30" s="31" t="n">
        <f aca="false">IF(COUNTIFS('FC Calculation'!$A$5:$A$214,$A30,'FC Calculation'!$D$5:$D$214,I$5,'FC Calculation'!$T$5:$T$214,"&gt;0")=0,"",SUMIFS('FC Calculation'!$T$5:$T$214,'FC Calculation'!$A$5:$A$214,$A30,'FC Calculation'!$D$5:$D$214,I$5))</f>
        <v>2</v>
      </c>
      <c r="J30" s="31" t="n">
        <f aca="false">IF(COUNTIFS('LxI Assessment'!$A$5:$A$394,$A30,'LxI Assessment'!$D$5:$D$394,J$5,'LxI Assessment'!$F$5:$F$394,"N/A")&gt;0,"N/A",IF(COUNTIFS('LxI Assessment'!$A$5:$A$394,$A30,'LxI Assessment'!$D$5:$D$394,J$5,'LxI Assessment'!$S$5:$S$394,"&gt;0")=0,"",SUMIFS('LxI Assessment'!$S$5:$S$394,'LxI Assessment'!$A$5:$A$394,$A30,'LxI Assessment'!$D$5:$D$394,J$5)))</f>
        <v>3</v>
      </c>
      <c r="K30" s="31" t="n">
        <f aca="false">IF(COUNTIFS('LxI Assessment'!$A$5:$A$394,$A30,'LxI Assessment'!$D$5:$D$394,K$5,'LxI Assessment'!$F$5:$F$394,"N/A")&gt;0,"N/A",IF(COUNTIFS('LxI Assessment'!$A$5:$A$394,$A30,'LxI Assessment'!$D$5:$D$394,K$5,'LxI Assessment'!$S$5:$S$394,"&gt;0")=0,"",SUMIFS('LxI Assessment'!$S$5:$S$394,'LxI Assessment'!$A$5:$A$394,$A30,'LxI Assessment'!$D$5:$D$394,K$5)))</f>
        <v>1</v>
      </c>
      <c r="L30" s="31" t="n">
        <f aca="false">IF(COUNTIFS('LxI Assessment'!$A$5:$A$394,$A30,'LxI Assessment'!$D$5:$D$394,L$5,'LxI Assessment'!$F$5:$F$394,"N/A")&gt;0,"N/A",IF(COUNTIFS('LxI Assessment'!$A$5:$A$394,$A30,'LxI Assessment'!$D$5:$D$394,L$5,'LxI Assessment'!$S$5:$S$394,"&gt;0")=0,"",SUMIFS('LxI Assessment'!$S$5:$S$394,'LxI Assessment'!$A$5:$A$394,$A30,'LxI Assessment'!$D$5:$D$394,L$5)))</f>
        <v>3</v>
      </c>
      <c r="M30" s="31" t="str">
        <f aca="false">IF(COUNTIFS('LxI Assessment'!$A$5:$A$394,$A30,'LxI Assessment'!$D$5:$D$394,M$5,'LxI Assessment'!$F$5:$F$394,"N/A")&gt;0,"N/A",IF(COUNTIFS('LxI Assessment'!$A$5:$A$394,$A30,'LxI Assessment'!$D$5:$D$394,M$5,'LxI Assessment'!$S$5:$S$394,"&gt;0")=0,"",SUMIFS('LxI Assessment'!$S$5:$S$394,'LxI Assessment'!$A$5:$A$394,$A30,'LxI Assessment'!$D$5:$D$394,M$5)))</f>
        <v>N/A</v>
      </c>
      <c r="N30" s="31" t="n">
        <f aca="false">IF(COUNTIFS('LxI Assessment'!$A$5:$A$394,$A30,'LxI Assessment'!$D$5:$D$394,N$5,'LxI Assessment'!$F$5:$F$394,"N/A")&gt;0,"N/A",IF(COUNTIFS('LxI Assessment'!$A$5:$A$394,$A30,'LxI Assessment'!$D$5:$D$394,N$5,'LxI Assessment'!$S$5:$S$394,"&gt;0")=0,"",SUMIFS('LxI Assessment'!$S$5:$S$394,'LxI Assessment'!$A$5:$A$394,$A30,'LxI Assessment'!$D$5:$D$394,N$5)))</f>
        <v>1</v>
      </c>
      <c r="O30" s="31" t="n">
        <f aca="false">IF(COUNTIFS('LxI Assessment'!$A$5:$A$394,$A30,'LxI Assessment'!$D$5:$D$394,O$5,'LxI Assessment'!$F$5:$F$394,"N/A")&gt;0,"N/A",IF(COUNTIFS('LxI Assessment'!$A$5:$A$394,$A30,'LxI Assessment'!$D$5:$D$394,O$5,'LxI Assessment'!$S$5:$S$394,"&gt;0")=0,"",SUMIFS('LxI Assessment'!$S$5:$S$394,'LxI Assessment'!$A$5:$A$394,$A30,'LxI Assessment'!$D$5:$D$394,O$5)))</f>
        <v>2</v>
      </c>
      <c r="P30" s="31" t="n">
        <f aca="false">IF(COUNTIFS('LxI Assessment'!$A$5:$A$394,$A30,'LxI Assessment'!$D$5:$D$394,P$5,'LxI Assessment'!$F$5:$F$394,"N/A")&gt;0,"N/A",IF(COUNTIFS('LxI Assessment'!$A$5:$A$394,$A30,'LxI Assessment'!$D$5:$D$394,P$5,'LxI Assessment'!$S$5:$S$394,"&gt;0")=0,"",SUMIFS('LxI Assessment'!$S$5:$S$394,'LxI Assessment'!$A$5:$A$394,$A30,'LxI Assessment'!$D$5:$D$394,P$5)))</f>
        <v>3</v>
      </c>
      <c r="Q30" s="31" t="n">
        <f aca="false">IF(COUNTIFS('LxI Assessment'!$A$5:$A$394,$A30,'LxI Assessment'!$D$5:$D$394,Q$5,'LxI Assessment'!$F$5:$F$394,"N/A")&gt;0,"N/A",IF(COUNTIFS('LxI Assessment'!$A$5:$A$394,$A30,'LxI Assessment'!$D$5:$D$394,Q$5,'LxI Assessment'!$S$5:$S$394,"&gt;0")=0,"",SUMIFS('LxI Assessment'!$S$5:$S$394,'LxI Assessment'!$A$5:$A$394,$A30,'LxI Assessment'!$D$5:$D$394,Q$5)))</f>
        <v>3</v>
      </c>
      <c r="R30" s="31" t="n">
        <f aca="false">IF(COUNTIFS('LxI Assessment'!$A$5:$A$394,$A30,'LxI Assessment'!$D$5:$D$394,R$5,'LxI Assessment'!$F$5:$F$394,"N/A")&gt;0,"N/A",IF(COUNTIFS('LxI Assessment'!$A$5:$A$394,$A30,'LxI Assessment'!$D$5:$D$394,R$5,'LxI Assessment'!$S$5:$S$394,"&gt;0")=0,"",SUMIFS('LxI Assessment'!$S$5:$S$394,'LxI Assessment'!$A$5:$A$394,$A30,'LxI Assessment'!$D$5:$D$394,R$5)))</f>
        <v>1</v>
      </c>
      <c r="S30" s="31" t="n">
        <f aca="false">IF(COUNTIFS('LxI Assessment'!$A$5:$A$394,$A30,'LxI Assessment'!$D$5:$D$394,S$5,'LxI Assessment'!$F$5:$F$394,"N/A")&gt;0,"N/A",IF(COUNTIFS('LxI Assessment'!$A$5:$A$394,$A30,'LxI Assessment'!$D$5:$D$394,S$5,'LxI Assessment'!$S$5:$S$394,"&gt;0")=0,"",SUMIFS('LxI Assessment'!$S$5:$S$394,'LxI Assessment'!$A$5:$A$394,$A30,'LxI Assessment'!$D$5:$D$394,S$5)))</f>
        <v>1</v>
      </c>
      <c r="T30" s="31" t="n">
        <f aca="false">IF(COUNTIFS('LxI Assessment'!$A$5:$A$394,$A30,'LxI Assessment'!$D$5:$D$394,T$5,'LxI Assessment'!$F$5:$F$394,"N/A")&gt;0,"N/A",IF(COUNTIFS('LxI Assessment'!$A$5:$A$394,$A30,'LxI Assessment'!$D$5:$D$394,T$5,'LxI Assessment'!$S$5:$S$394,"&gt;0")=0,"",SUMIFS('LxI Assessment'!$S$5:$S$394,'LxI Assessment'!$A$5:$A$394,$A30,'LxI Assessment'!$D$5:$D$394,T$5)))</f>
        <v>1</v>
      </c>
      <c r="U30" s="31" t="n">
        <f aca="false">IF(COUNTIFS('LxI Assessment'!$A$5:$A$394,$A30,'LxI Assessment'!$D$5:$D$394,U$5,'LxI Assessment'!$F$5:$F$394,"N/A")&gt;0,"N/A",IF(COUNTIFS('LxI Assessment'!$A$5:$A$394,$A30,'LxI Assessment'!$D$5:$D$394,U$5,'LxI Assessment'!$S$5:$S$394,"&gt;0")=0,"",SUMIFS('LxI Assessment'!$S$5:$S$394,'LxI Assessment'!$A$5:$A$394,$A30,'LxI Assessment'!$D$5:$D$394,U$5)))</f>
        <v>3</v>
      </c>
      <c r="V30" s="31" t="n">
        <f aca="false">IF(COUNTIFS('LxI Assessment'!$A$5:$A$394,$A30,'LxI Assessment'!$D$5:$D$394,V$5,'LxI Assessment'!$F$5:$F$394,"N/A")&gt;0,"N/A",IF(COUNTIFS('LxI Assessment'!$A$5:$A$394,$A30,'LxI Assessment'!$D$5:$D$394,V$5,'LxI Assessment'!$S$5:$S$394,"&gt;0")=0,"",SUMIFS('LxI Assessment'!$S$5:$S$394,'LxI Assessment'!$A$5:$A$394,$A30,'LxI Assessment'!$D$5:$D$394,V$5)))</f>
        <v>1</v>
      </c>
      <c r="W30" s="34" t="n">
        <f aca="false">MAX(C30:V30)</f>
        <v>3</v>
      </c>
      <c r="X30" s="29" t="n">
        <f aca="false">IFERROR(AVERAGE(C30:V30),"")</f>
        <v>1.89473684210526</v>
      </c>
      <c r="Y30" s="31" t="n">
        <f aca="false">COUNTIF(C30:V30,5)</f>
        <v>0</v>
      </c>
      <c r="Z30" s="31" t="n">
        <f aca="false">COUNTIF(C30:V30,4)</f>
        <v>0</v>
      </c>
      <c r="AA30" s="7" t="str">
        <f aca="false">IF(W30=0,"",INDEX(Config!$B$5:$B$9,W30))</f>
        <v>Medium</v>
      </c>
    </row>
    <row r="31" customFormat="false" ht="15" hidden="false" customHeight="false" outlineLevel="0" collapsed="false">
      <c r="A31" s="26" t="str">
        <f aca="false">Entities!A30</f>
        <v>CH</v>
      </c>
      <c r="B31" s="26" t="str">
        <f aca="false">Entities!B30</f>
        <v>Arab Bank (Switzerland) – sister company</v>
      </c>
      <c r="C31" s="31" t="n">
        <f aca="false">IF(COUNTIFS('FC Calculation'!$A$5:$A$214,$A31,'FC Calculation'!$D$5:$D$214,C$5,'FC Calculation'!$T$5:$T$214,"&gt;0")=0,"",SUMIFS('FC Calculation'!$T$5:$T$214,'FC Calculation'!$A$5:$A$214,$A31,'FC Calculation'!$D$5:$D$214,C$5))</f>
        <v>2</v>
      </c>
      <c r="D31" s="31" t="n">
        <f aca="false">IF(COUNTIFS('FC Calculation'!$A$5:$A$214,$A31,'FC Calculation'!$D$5:$D$214,D$5,'FC Calculation'!$T$5:$T$214,"&gt;0")=0,"",SUMIFS('FC Calculation'!$T$5:$T$214,'FC Calculation'!$A$5:$A$214,$A31,'FC Calculation'!$D$5:$D$214,D$5))</f>
        <v>2</v>
      </c>
      <c r="E31" s="31" t="n">
        <f aca="false">IF(COUNTIFS('FC Calculation'!$A$5:$A$214,$A31,'FC Calculation'!$D$5:$D$214,E$5,'FC Calculation'!$T$5:$T$214,"&gt;0")=0,"",SUMIFS('FC Calculation'!$T$5:$T$214,'FC Calculation'!$A$5:$A$214,$A31,'FC Calculation'!$D$5:$D$214,E$5))</f>
        <v>2</v>
      </c>
      <c r="F31" s="31" t="n">
        <f aca="false">IF(COUNTIFS('FC Calculation'!$A$5:$A$214,$A31,'FC Calculation'!$D$5:$D$214,F$5,'FC Calculation'!$T$5:$T$214,"&gt;0")=0,"",SUMIFS('FC Calculation'!$T$5:$T$214,'FC Calculation'!$A$5:$A$214,$A31,'FC Calculation'!$D$5:$D$214,F$5))</f>
        <v>2</v>
      </c>
      <c r="G31" s="31" t="n">
        <f aca="false">IF(COUNTIFS('FC Calculation'!$A$5:$A$214,$A31,'FC Calculation'!$D$5:$D$214,G$5,'FC Calculation'!$T$5:$T$214,"&gt;0")=0,"",SUMIFS('FC Calculation'!$T$5:$T$214,'FC Calculation'!$A$5:$A$214,$A31,'FC Calculation'!$D$5:$D$214,G$5))</f>
        <v>2</v>
      </c>
      <c r="H31" s="31" t="n">
        <f aca="false">IF(COUNTIFS('FC Calculation'!$A$5:$A$214,$A31,'FC Calculation'!$D$5:$D$214,H$5,'FC Calculation'!$T$5:$T$214,"&gt;0")=0,"",SUMIFS('FC Calculation'!$T$5:$T$214,'FC Calculation'!$A$5:$A$214,$A31,'FC Calculation'!$D$5:$D$214,H$5))</f>
        <v>2</v>
      </c>
      <c r="I31" s="31" t="n">
        <f aca="false">IF(COUNTIFS('FC Calculation'!$A$5:$A$214,$A31,'FC Calculation'!$D$5:$D$214,I$5,'FC Calculation'!$T$5:$T$214,"&gt;0")=0,"",SUMIFS('FC Calculation'!$T$5:$T$214,'FC Calculation'!$A$5:$A$214,$A31,'FC Calculation'!$D$5:$D$214,I$5))</f>
        <v>2</v>
      </c>
      <c r="J31" s="31" t="n">
        <f aca="false">IF(COUNTIFS('LxI Assessment'!$A$5:$A$394,$A31,'LxI Assessment'!$D$5:$D$394,J$5,'LxI Assessment'!$F$5:$F$394,"N/A")&gt;0,"N/A",IF(COUNTIFS('LxI Assessment'!$A$5:$A$394,$A31,'LxI Assessment'!$D$5:$D$394,J$5,'LxI Assessment'!$S$5:$S$394,"&gt;0")=0,"",SUMIFS('LxI Assessment'!$S$5:$S$394,'LxI Assessment'!$A$5:$A$394,$A31,'LxI Assessment'!$D$5:$D$394,J$5)))</f>
        <v>3</v>
      </c>
      <c r="K31" s="31" t="n">
        <f aca="false">IF(COUNTIFS('LxI Assessment'!$A$5:$A$394,$A31,'LxI Assessment'!$D$5:$D$394,K$5,'LxI Assessment'!$F$5:$F$394,"N/A")&gt;0,"N/A",IF(COUNTIFS('LxI Assessment'!$A$5:$A$394,$A31,'LxI Assessment'!$D$5:$D$394,K$5,'LxI Assessment'!$S$5:$S$394,"&gt;0")=0,"",SUMIFS('LxI Assessment'!$S$5:$S$394,'LxI Assessment'!$A$5:$A$394,$A31,'LxI Assessment'!$D$5:$D$394,K$5)))</f>
        <v>2</v>
      </c>
      <c r="L31" s="31" t="n">
        <f aca="false">IF(COUNTIFS('LxI Assessment'!$A$5:$A$394,$A31,'LxI Assessment'!$D$5:$D$394,L$5,'LxI Assessment'!$F$5:$F$394,"N/A")&gt;0,"N/A",IF(COUNTIFS('LxI Assessment'!$A$5:$A$394,$A31,'LxI Assessment'!$D$5:$D$394,L$5,'LxI Assessment'!$S$5:$S$394,"&gt;0")=0,"",SUMIFS('LxI Assessment'!$S$5:$S$394,'LxI Assessment'!$A$5:$A$394,$A31,'LxI Assessment'!$D$5:$D$394,L$5)))</f>
        <v>1</v>
      </c>
      <c r="M31" s="31" t="str">
        <f aca="false">IF(COUNTIFS('LxI Assessment'!$A$5:$A$394,$A31,'LxI Assessment'!$D$5:$D$394,M$5,'LxI Assessment'!$F$5:$F$394,"N/A")&gt;0,"N/A",IF(COUNTIFS('LxI Assessment'!$A$5:$A$394,$A31,'LxI Assessment'!$D$5:$D$394,M$5,'LxI Assessment'!$S$5:$S$394,"&gt;0")=0,"",SUMIFS('LxI Assessment'!$S$5:$S$394,'LxI Assessment'!$A$5:$A$394,$A31,'LxI Assessment'!$D$5:$D$394,M$5)))</f>
        <v>N/A</v>
      </c>
      <c r="N31" s="31" t="n">
        <f aca="false">IF(COUNTIFS('LxI Assessment'!$A$5:$A$394,$A31,'LxI Assessment'!$D$5:$D$394,N$5,'LxI Assessment'!$F$5:$F$394,"N/A")&gt;0,"N/A",IF(COUNTIFS('LxI Assessment'!$A$5:$A$394,$A31,'LxI Assessment'!$D$5:$D$394,N$5,'LxI Assessment'!$S$5:$S$394,"&gt;0")=0,"",SUMIFS('LxI Assessment'!$S$5:$S$394,'LxI Assessment'!$A$5:$A$394,$A31,'LxI Assessment'!$D$5:$D$394,N$5)))</f>
        <v>3</v>
      </c>
      <c r="O31" s="31" t="n">
        <f aca="false">IF(COUNTIFS('LxI Assessment'!$A$5:$A$394,$A31,'LxI Assessment'!$D$5:$D$394,O$5,'LxI Assessment'!$F$5:$F$394,"N/A")&gt;0,"N/A",IF(COUNTIFS('LxI Assessment'!$A$5:$A$394,$A31,'LxI Assessment'!$D$5:$D$394,O$5,'LxI Assessment'!$S$5:$S$394,"&gt;0")=0,"",SUMIFS('LxI Assessment'!$S$5:$S$394,'LxI Assessment'!$A$5:$A$394,$A31,'LxI Assessment'!$D$5:$D$394,O$5)))</f>
        <v>2</v>
      </c>
      <c r="P31" s="31" t="n">
        <f aca="false">IF(COUNTIFS('LxI Assessment'!$A$5:$A$394,$A31,'LxI Assessment'!$D$5:$D$394,P$5,'LxI Assessment'!$F$5:$F$394,"N/A")&gt;0,"N/A",IF(COUNTIFS('LxI Assessment'!$A$5:$A$394,$A31,'LxI Assessment'!$D$5:$D$394,P$5,'LxI Assessment'!$S$5:$S$394,"&gt;0")=0,"",SUMIFS('LxI Assessment'!$S$5:$S$394,'LxI Assessment'!$A$5:$A$394,$A31,'LxI Assessment'!$D$5:$D$394,P$5)))</f>
        <v>3</v>
      </c>
      <c r="Q31" s="31" t="n">
        <f aca="false">IF(COUNTIFS('LxI Assessment'!$A$5:$A$394,$A31,'LxI Assessment'!$D$5:$D$394,Q$5,'LxI Assessment'!$F$5:$F$394,"N/A")&gt;0,"N/A",IF(COUNTIFS('LxI Assessment'!$A$5:$A$394,$A31,'LxI Assessment'!$D$5:$D$394,Q$5,'LxI Assessment'!$S$5:$S$394,"&gt;0")=0,"",SUMIFS('LxI Assessment'!$S$5:$S$394,'LxI Assessment'!$A$5:$A$394,$A31,'LxI Assessment'!$D$5:$D$394,Q$5)))</f>
        <v>2</v>
      </c>
      <c r="R31" s="31" t="n">
        <f aca="false">IF(COUNTIFS('LxI Assessment'!$A$5:$A$394,$A31,'LxI Assessment'!$D$5:$D$394,R$5,'LxI Assessment'!$F$5:$F$394,"N/A")&gt;0,"N/A",IF(COUNTIFS('LxI Assessment'!$A$5:$A$394,$A31,'LxI Assessment'!$D$5:$D$394,R$5,'LxI Assessment'!$S$5:$S$394,"&gt;0")=0,"",SUMIFS('LxI Assessment'!$S$5:$S$394,'LxI Assessment'!$A$5:$A$394,$A31,'LxI Assessment'!$D$5:$D$394,R$5)))</f>
        <v>3</v>
      </c>
      <c r="S31" s="31" t="n">
        <f aca="false">IF(COUNTIFS('LxI Assessment'!$A$5:$A$394,$A31,'LxI Assessment'!$D$5:$D$394,S$5,'LxI Assessment'!$F$5:$F$394,"N/A")&gt;0,"N/A",IF(COUNTIFS('LxI Assessment'!$A$5:$A$394,$A31,'LxI Assessment'!$D$5:$D$394,S$5,'LxI Assessment'!$S$5:$S$394,"&gt;0")=0,"",SUMIFS('LxI Assessment'!$S$5:$S$394,'LxI Assessment'!$A$5:$A$394,$A31,'LxI Assessment'!$D$5:$D$394,S$5)))</f>
        <v>1</v>
      </c>
      <c r="T31" s="31" t="n">
        <f aca="false">IF(COUNTIFS('LxI Assessment'!$A$5:$A$394,$A31,'LxI Assessment'!$D$5:$D$394,T$5,'LxI Assessment'!$F$5:$F$394,"N/A")&gt;0,"N/A",IF(COUNTIFS('LxI Assessment'!$A$5:$A$394,$A31,'LxI Assessment'!$D$5:$D$394,T$5,'LxI Assessment'!$S$5:$S$394,"&gt;0")=0,"",SUMIFS('LxI Assessment'!$S$5:$S$394,'LxI Assessment'!$A$5:$A$394,$A31,'LxI Assessment'!$D$5:$D$394,T$5)))</f>
        <v>2</v>
      </c>
      <c r="U31" s="31" t="n">
        <f aca="false">IF(COUNTIFS('LxI Assessment'!$A$5:$A$394,$A31,'LxI Assessment'!$D$5:$D$394,U$5,'LxI Assessment'!$F$5:$F$394,"N/A")&gt;0,"N/A",IF(COUNTIFS('LxI Assessment'!$A$5:$A$394,$A31,'LxI Assessment'!$D$5:$D$394,U$5,'LxI Assessment'!$S$5:$S$394,"&gt;0")=0,"",SUMIFS('LxI Assessment'!$S$5:$S$394,'LxI Assessment'!$A$5:$A$394,$A31,'LxI Assessment'!$D$5:$D$394,U$5)))</f>
        <v>2</v>
      </c>
      <c r="V31" s="31" t="n">
        <f aca="false">IF(COUNTIFS('LxI Assessment'!$A$5:$A$394,$A31,'LxI Assessment'!$D$5:$D$394,V$5,'LxI Assessment'!$F$5:$F$394,"N/A")&gt;0,"N/A",IF(COUNTIFS('LxI Assessment'!$A$5:$A$394,$A31,'LxI Assessment'!$D$5:$D$394,V$5,'LxI Assessment'!$S$5:$S$394,"&gt;0")=0,"",SUMIFS('LxI Assessment'!$S$5:$S$394,'LxI Assessment'!$A$5:$A$394,$A31,'LxI Assessment'!$D$5:$D$394,V$5)))</f>
        <v>1</v>
      </c>
      <c r="W31" s="34" t="n">
        <f aca="false">MAX(C31:V31)</f>
        <v>3</v>
      </c>
      <c r="X31" s="29" t="n">
        <f aca="false">IFERROR(AVERAGE(C31:V31),"")</f>
        <v>2.05263157894737</v>
      </c>
      <c r="Y31" s="31" t="n">
        <f aca="false">COUNTIF(C31:V31,5)</f>
        <v>0</v>
      </c>
      <c r="Z31" s="31" t="n">
        <f aca="false">COUNTIF(C31:V31,4)</f>
        <v>0</v>
      </c>
      <c r="AA31" s="7" t="str">
        <f aca="false">IF(W31=0,"",INDEX(Config!$B$5:$B$9,W31))</f>
        <v>Medium</v>
      </c>
    </row>
    <row r="32" customFormat="false" ht="15" hidden="false" customHeight="false" outlineLevel="0" collapsed="false">
      <c r="A32" s="26" t="str">
        <f aca="false">Entities!A31</f>
        <v>SG</v>
      </c>
      <c r="B32" s="26" t="str">
        <f aca="false">Entities!B31</f>
        <v>Arab Bank – Singapore</v>
      </c>
      <c r="C32" s="31" t="n">
        <f aca="false">IF(COUNTIFS('FC Calculation'!$A$5:$A$214,$A32,'FC Calculation'!$D$5:$D$214,C$5,'FC Calculation'!$T$5:$T$214,"&gt;0")=0,"",SUMIFS('FC Calculation'!$T$5:$T$214,'FC Calculation'!$A$5:$A$214,$A32,'FC Calculation'!$D$5:$D$214,C$5))</f>
        <v>2</v>
      </c>
      <c r="D32" s="31" t="n">
        <f aca="false">IF(COUNTIFS('FC Calculation'!$A$5:$A$214,$A32,'FC Calculation'!$D$5:$D$214,D$5,'FC Calculation'!$T$5:$T$214,"&gt;0")=0,"",SUMIFS('FC Calculation'!$T$5:$T$214,'FC Calculation'!$A$5:$A$214,$A32,'FC Calculation'!$D$5:$D$214,D$5))</f>
        <v>2</v>
      </c>
      <c r="E32" s="31" t="n">
        <f aca="false">IF(COUNTIFS('FC Calculation'!$A$5:$A$214,$A32,'FC Calculation'!$D$5:$D$214,E$5,'FC Calculation'!$T$5:$T$214,"&gt;0")=0,"",SUMIFS('FC Calculation'!$T$5:$T$214,'FC Calculation'!$A$5:$A$214,$A32,'FC Calculation'!$D$5:$D$214,E$5))</f>
        <v>2</v>
      </c>
      <c r="F32" s="31" t="n">
        <f aca="false">IF(COUNTIFS('FC Calculation'!$A$5:$A$214,$A32,'FC Calculation'!$D$5:$D$214,F$5,'FC Calculation'!$T$5:$T$214,"&gt;0")=0,"",SUMIFS('FC Calculation'!$T$5:$T$214,'FC Calculation'!$A$5:$A$214,$A32,'FC Calculation'!$D$5:$D$214,F$5))</f>
        <v>2</v>
      </c>
      <c r="G32" s="31" t="n">
        <f aca="false">IF(COUNTIFS('FC Calculation'!$A$5:$A$214,$A32,'FC Calculation'!$D$5:$D$214,G$5,'FC Calculation'!$T$5:$T$214,"&gt;0")=0,"",SUMIFS('FC Calculation'!$T$5:$T$214,'FC Calculation'!$A$5:$A$214,$A32,'FC Calculation'!$D$5:$D$214,G$5))</f>
        <v>2</v>
      </c>
      <c r="H32" s="31" t="n">
        <f aca="false">IF(COUNTIFS('FC Calculation'!$A$5:$A$214,$A32,'FC Calculation'!$D$5:$D$214,H$5,'FC Calculation'!$T$5:$T$214,"&gt;0")=0,"",SUMIFS('FC Calculation'!$T$5:$T$214,'FC Calculation'!$A$5:$A$214,$A32,'FC Calculation'!$D$5:$D$214,H$5))</f>
        <v>1</v>
      </c>
      <c r="I32" s="31" t="n">
        <f aca="false">IF(COUNTIFS('FC Calculation'!$A$5:$A$214,$A32,'FC Calculation'!$D$5:$D$214,I$5,'FC Calculation'!$T$5:$T$214,"&gt;0")=0,"",SUMIFS('FC Calculation'!$T$5:$T$214,'FC Calculation'!$A$5:$A$214,$A32,'FC Calculation'!$D$5:$D$214,I$5))</f>
        <v>2</v>
      </c>
      <c r="J32" s="31" t="n">
        <f aca="false">IF(COUNTIFS('LxI Assessment'!$A$5:$A$394,$A32,'LxI Assessment'!$D$5:$D$394,J$5,'LxI Assessment'!$F$5:$F$394,"N/A")&gt;0,"N/A",IF(COUNTIFS('LxI Assessment'!$A$5:$A$394,$A32,'LxI Assessment'!$D$5:$D$394,J$5,'LxI Assessment'!$S$5:$S$394,"&gt;0")=0,"",SUMIFS('LxI Assessment'!$S$5:$S$394,'LxI Assessment'!$A$5:$A$394,$A32,'LxI Assessment'!$D$5:$D$394,J$5)))</f>
        <v>2</v>
      </c>
      <c r="K32" s="31" t="n">
        <f aca="false">IF(COUNTIFS('LxI Assessment'!$A$5:$A$394,$A32,'LxI Assessment'!$D$5:$D$394,K$5,'LxI Assessment'!$F$5:$F$394,"N/A")&gt;0,"N/A",IF(COUNTIFS('LxI Assessment'!$A$5:$A$394,$A32,'LxI Assessment'!$D$5:$D$394,K$5,'LxI Assessment'!$S$5:$S$394,"&gt;0")=0,"",SUMIFS('LxI Assessment'!$S$5:$S$394,'LxI Assessment'!$A$5:$A$394,$A32,'LxI Assessment'!$D$5:$D$394,K$5)))</f>
        <v>2</v>
      </c>
      <c r="L32" s="31" t="n">
        <f aca="false">IF(COUNTIFS('LxI Assessment'!$A$5:$A$394,$A32,'LxI Assessment'!$D$5:$D$394,L$5,'LxI Assessment'!$F$5:$F$394,"N/A")&gt;0,"N/A",IF(COUNTIFS('LxI Assessment'!$A$5:$A$394,$A32,'LxI Assessment'!$D$5:$D$394,L$5,'LxI Assessment'!$S$5:$S$394,"&gt;0")=0,"",SUMIFS('LxI Assessment'!$S$5:$S$394,'LxI Assessment'!$A$5:$A$394,$A32,'LxI Assessment'!$D$5:$D$394,L$5)))</f>
        <v>2</v>
      </c>
      <c r="M32" s="31" t="str">
        <f aca="false">IF(COUNTIFS('LxI Assessment'!$A$5:$A$394,$A32,'LxI Assessment'!$D$5:$D$394,M$5,'LxI Assessment'!$F$5:$F$394,"N/A")&gt;0,"N/A",IF(COUNTIFS('LxI Assessment'!$A$5:$A$394,$A32,'LxI Assessment'!$D$5:$D$394,M$5,'LxI Assessment'!$S$5:$S$394,"&gt;0")=0,"",SUMIFS('LxI Assessment'!$S$5:$S$394,'LxI Assessment'!$A$5:$A$394,$A32,'LxI Assessment'!$D$5:$D$394,M$5)))</f>
        <v>N/A</v>
      </c>
      <c r="N32" s="31" t="n">
        <f aca="false">IF(COUNTIFS('LxI Assessment'!$A$5:$A$394,$A32,'LxI Assessment'!$D$5:$D$394,N$5,'LxI Assessment'!$F$5:$F$394,"N/A")&gt;0,"N/A",IF(COUNTIFS('LxI Assessment'!$A$5:$A$394,$A32,'LxI Assessment'!$D$5:$D$394,N$5,'LxI Assessment'!$S$5:$S$394,"&gt;0")=0,"",SUMIFS('LxI Assessment'!$S$5:$S$394,'LxI Assessment'!$A$5:$A$394,$A32,'LxI Assessment'!$D$5:$D$394,N$5)))</f>
        <v>2</v>
      </c>
      <c r="O32" s="31" t="n">
        <f aca="false">IF(COUNTIFS('LxI Assessment'!$A$5:$A$394,$A32,'LxI Assessment'!$D$5:$D$394,O$5,'LxI Assessment'!$F$5:$F$394,"N/A")&gt;0,"N/A",IF(COUNTIFS('LxI Assessment'!$A$5:$A$394,$A32,'LxI Assessment'!$D$5:$D$394,O$5,'LxI Assessment'!$S$5:$S$394,"&gt;0")=0,"",SUMIFS('LxI Assessment'!$S$5:$S$394,'LxI Assessment'!$A$5:$A$394,$A32,'LxI Assessment'!$D$5:$D$394,O$5)))</f>
        <v>3</v>
      </c>
      <c r="P32" s="31" t="n">
        <f aca="false">IF(COUNTIFS('LxI Assessment'!$A$5:$A$394,$A32,'LxI Assessment'!$D$5:$D$394,P$5,'LxI Assessment'!$F$5:$F$394,"N/A")&gt;0,"N/A",IF(COUNTIFS('LxI Assessment'!$A$5:$A$394,$A32,'LxI Assessment'!$D$5:$D$394,P$5,'LxI Assessment'!$S$5:$S$394,"&gt;0")=0,"",SUMIFS('LxI Assessment'!$S$5:$S$394,'LxI Assessment'!$A$5:$A$394,$A32,'LxI Assessment'!$D$5:$D$394,P$5)))</f>
        <v>2</v>
      </c>
      <c r="Q32" s="31" t="n">
        <f aca="false">IF(COUNTIFS('LxI Assessment'!$A$5:$A$394,$A32,'LxI Assessment'!$D$5:$D$394,Q$5,'LxI Assessment'!$F$5:$F$394,"N/A")&gt;0,"N/A",IF(COUNTIFS('LxI Assessment'!$A$5:$A$394,$A32,'LxI Assessment'!$D$5:$D$394,Q$5,'LxI Assessment'!$S$5:$S$394,"&gt;0")=0,"",SUMIFS('LxI Assessment'!$S$5:$S$394,'LxI Assessment'!$A$5:$A$394,$A32,'LxI Assessment'!$D$5:$D$394,Q$5)))</f>
        <v>2</v>
      </c>
      <c r="R32" s="31" t="n">
        <f aca="false">IF(COUNTIFS('LxI Assessment'!$A$5:$A$394,$A32,'LxI Assessment'!$D$5:$D$394,R$5,'LxI Assessment'!$F$5:$F$394,"N/A")&gt;0,"N/A",IF(COUNTIFS('LxI Assessment'!$A$5:$A$394,$A32,'LxI Assessment'!$D$5:$D$394,R$5,'LxI Assessment'!$S$5:$S$394,"&gt;0")=0,"",SUMIFS('LxI Assessment'!$S$5:$S$394,'LxI Assessment'!$A$5:$A$394,$A32,'LxI Assessment'!$D$5:$D$394,R$5)))</f>
        <v>3</v>
      </c>
      <c r="S32" s="31" t="n">
        <f aca="false">IF(COUNTIFS('LxI Assessment'!$A$5:$A$394,$A32,'LxI Assessment'!$D$5:$D$394,S$5,'LxI Assessment'!$F$5:$F$394,"N/A")&gt;0,"N/A",IF(COUNTIFS('LxI Assessment'!$A$5:$A$394,$A32,'LxI Assessment'!$D$5:$D$394,S$5,'LxI Assessment'!$S$5:$S$394,"&gt;0")=0,"",SUMIFS('LxI Assessment'!$S$5:$S$394,'LxI Assessment'!$A$5:$A$394,$A32,'LxI Assessment'!$D$5:$D$394,S$5)))</f>
        <v>1</v>
      </c>
      <c r="T32" s="31" t="n">
        <f aca="false">IF(COUNTIFS('LxI Assessment'!$A$5:$A$394,$A32,'LxI Assessment'!$D$5:$D$394,T$5,'LxI Assessment'!$F$5:$F$394,"N/A")&gt;0,"N/A",IF(COUNTIFS('LxI Assessment'!$A$5:$A$394,$A32,'LxI Assessment'!$D$5:$D$394,T$5,'LxI Assessment'!$S$5:$S$394,"&gt;0")=0,"",SUMIFS('LxI Assessment'!$S$5:$S$394,'LxI Assessment'!$A$5:$A$394,$A32,'LxI Assessment'!$D$5:$D$394,T$5)))</f>
        <v>2</v>
      </c>
      <c r="U32" s="31" t="n">
        <f aca="false">IF(COUNTIFS('LxI Assessment'!$A$5:$A$394,$A32,'LxI Assessment'!$D$5:$D$394,U$5,'LxI Assessment'!$F$5:$F$394,"N/A")&gt;0,"N/A",IF(COUNTIFS('LxI Assessment'!$A$5:$A$394,$A32,'LxI Assessment'!$D$5:$D$394,U$5,'LxI Assessment'!$S$5:$S$394,"&gt;0")=0,"",SUMIFS('LxI Assessment'!$S$5:$S$394,'LxI Assessment'!$A$5:$A$394,$A32,'LxI Assessment'!$D$5:$D$394,U$5)))</f>
        <v>2</v>
      </c>
      <c r="V32" s="31" t="n">
        <f aca="false">IF(COUNTIFS('LxI Assessment'!$A$5:$A$394,$A32,'LxI Assessment'!$D$5:$D$394,V$5,'LxI Assessment'!$F$5:$F$394,"N/A")&gt;0,"N/A",IF(COUNTIFS('LxI Assessment'!$A$5:$A$394,$A32,'LxI Assessment'!$D$5:$D$394,V$5,'LxI Assessment'!$S$5:$S$394,"&gt;0")=0,"",SUMIFS('LxI Assessment'!$S$5:$S$394,'LxI Assessment'!$A$5:$A$394,$A32,'LxI Assessment'!$D$5:$D$394,V$5)))</f>
        <v>2</v>
      </c>
      <c r="W32" s="34" t="n">
        <f aca="false">MAX(C32:V32)</f>
        <v>3</v>
      </c>
      <c r="X32" s="29" t="n">
        <f aca="false">IFERROR(AVERAGE(C32:V32),"")</f>
        <v>2</v>
      </c>
      <c r="Y32" s="31" t="n">
        <f aca="false">COUNTIF(C32:V32,5)</f>
        <v>0</v>
      </c>
      <c r="Z32" s="31" t="n">
        <f aca="false">COUNTIF(C32:V32,4)</f>
        <v>0</v>
      </c>
      <c r="AA32" s="7" t="str">
        <f aca="false">IF(W32=0,"",INDEX(Config!$B$5:$B$9,W32))</f>
        <v>Medium</v>
      </c>
    </row>
    <row r="33" customFormat="false" ht="15" hidden="false" customHeight="false" outlineLevel="0" collapsed="false">
      <c r="A33" s="26" t="str">
        <f aca="false">Entities!A32</f>
        <v>CN</v>
      </c>
      <c r="B33" s="26" t="str">
        <f aca="false">Entities!B32</f>
        <v>Arab Bank – China</v>
      </c>
      <c r="C33" s="31" t="n">
        <f aca="false">IF(COUNTIFS('FC Calculation'!$A$5:$A$214,$A33,'FC Calculation'!$D$5:$D$214,C$5,'FC Calculation'!$T$5:$T$214,"&gt;0")=0,"",SUMIFS('FC Calculation'!$T$5:$T$214,'FC Calculation'!$A$5:$A$214,$A33,'FC Calculation'!$D$5:$D$214,C$5))</f>
        <v>1</v>
      </c>
      <c r="D33" s="31" t="n">
        <f aca="false">IF(COUNTIFS('FC Calculation'!$A$5:$A$214,$A33,'FC Calculation'!$D$5:$D$214,D$5,'FC Calculation'!$T$5:$T$214,"&gt;0")=0,"",SUMIFS('FC Calculation'!$T$5:$T$214,'FC Calculation'!$A$5:$A$214,$A33,'FC Calculation'!$D$5:$D$214,D$5))</f>
        <v>1</v>
      </c>
      <c r="E33" s="31" t="n">
        <f aca="false">IF(COUNTIFS('FC Calculation'!$A$5:$A$214,$A33,'FC Calculation'!$D$5:$D$214,E$5,'FC Calculation'!$T$5:$T$214,"&gt;0")=0,"",SUMIFS('FC Calculation'!$T$5:$T$214,'FC Calculation'!$A$5:$A$214,$A33,'FC Calculation'!$D$5:$D$214,E$5))</f>
        <v>1</v>
      </c>
      <c r="F33" s="31" t="n">
        <f aca="false">IF(COUNTIFS('FC Calculation'!$A$5:$A$214,$A33,'FC Calculation'!$D$5:$D$214,F$5,'FC Calculation'!$T$5:$T$214,"&gt;0")=0,"",SUMIFS('FC Calculation'!$T$5:$T$214,'FC Calculation'!$A$5:$A$214,$A33,'FC Calculation'!$D$5:$D$214,F$5))</f>
        <v>1</v>
      </c>
      <c r="G33" s="31" t="n">
        <f aca="false">IF(COUNTIFS('FC Calculation'!$A$5:$A$214,$A33,'FC Calculation'!$D$5:$D$214,G$5,'FC Calculation'!$T$5:$T$214,"&gt;0")=0,"",SUMIFS('FC Calculation'!$T$5:$T$214,'FC Calculation'!$A$5:$A$214,$A33,'FC Calculation'!$D$5:$D$214,G$5))</f>
        <v>1</v>
      </c>
      <c r="H33" s="31" t="n">
        <f aca="false">IF(COUNTIFS('FC Calculation'!$A$5:$A$214,$A33,'FC Calculation'!$D$5:$D$214,H$5,'FC Calculation'!$T$5:$T$214,"&gt;0")=0,"",SUMIFS('FC Calculation'!$T$5:$T$214,'FC Calculation'!$A$5:$A$214,$A33,'FC Calculation'!$D$5:$D$214,H$5))</f>
        <v>1</v>
      </c>
      <c r="I33" s="31" t="n">
        <f aca="false">IF(COUNTIFS('FC Calculation'!$A$5:$A$214,$A33,'FC Calculation'!$D$5:$D$214,I$5,'FC Calculation'!$T$5:$T$214,"&gt;0")=0,"",SUMIFS('FC Calculation'!$T$5:$T$214,'FC Calculation'!$A$5:$A$214,$A33,'FC Calculation'!$D$5:$D$214,I$5))</f>
        <v>1</v>
      </c>
      <c r="J33" s="31" t="n">
        <f aca="false">IF(COUNTIFS('LxI Assessment'!$A$5:$A$394,$A33,'LxI Assessment'!$D$5:$D$394,J$5,'LxI Assessment'!$F$5:$F$394,"N/A")&gt;0,"N/A",IF(COUNTIFS('LxI Assessment'!$A$5:$A$394,$A33,'LxI Assessment'!$D$5:$D$394,J$5,'LxI Assessment'!$S$5:$S$394,"&gt;0")=0,"",SUMIFS('LxI Assessment'!$S$5:$S$394,'LxI Assessment'!$A$5:$A$394,$A33,'LxI Assessment'!$D$5:$D$394,J$5)))</f>
        <v>3</v>
      </c>
      <c r="K33" s="31" t="n">
        <f aca="false">IF(COUNTIFS('LxI Assessment'!$A$5:$A$394,$A33,'LxI Assessment'!$D$5:$D$394,K$5,'LxI Assessment'!$F$5:$F$394,"N/A")&gt;0,"N/A",IF(COUNTIFS('LxI Assessment'!$A$5:$A$394,$A33,'LxI Assessment'!$D$5:$D$394,K$5,'LxI Assessment'!$S$5:$S$394,"&gt;0")=0,"",SUMIFS('LxI Assessment'!$S$5:$S$394,'LxI Assessment'!$A$5:$A$394,$A33,'LxI Assessment'!$D$5:$D$394,K$5)))</f>
        <v>1</v>
      </c>
      <c r="L33" s="31" t="n">
        <f aca="false">IF(COUNTIFS('LxI Assessment'!$A$5:$A$394,$A33,'LxI Assessment'!$D$5:$D$394,L$5,'LxI Assessment'!$F$5:$F$394,"N/A")&gt;0,"N/A",IF(COUNTIFS('LxI Assessment'!$A$5:$A$394,$A33,'LxI Assessment'!$D$5:$D$394,L$5,'LxI Assessment'!$S$5:$S$394,"&gt;0")=0,"",SUMIFS('LxI Assessment'!$S$5:$S$394,'LxI Assessment'!$A$5:$A$394,$A33,'LxI Assessment'!$D$5:$D$394,L$5)))</f>
        <v>2</v>
      </c>
      <c r="M33" s="31" t="str">
        <f aca="false">IF(COUNTIFS('LxI Assessment'!$A$5:$A$394,$A33,'LxI Assessment'!$D$5:$D$394,M$5,'LxI Assessment'!$F$5:$F$394,"N/A")&gt;0,"N/A",IF(COUNTIFS('LxI Assessment'!$A$5:$A$394,$A33,'LxI Assessment'!$D$5:$D$394,M$5,'LxI Assessment'!$S$5:$S$394,"&gt;0")=0,"",SUMIFS('LxI Assessment'!$S$5:$S$394,'LxI Assessment'!$A$5:$A$394,$A33,'LxI Assessment'!$D$5:$D$394,M$5)))</f>
        <v>N/A</v>
      </c>
      <c r="N33" s="31" t="n">
        <f aca="false">IF(COUNTIFS('LxI Assessment'!$A$5:$A$394,$A33,'LxI Assessment'!$D$5:$D$394,N$5,'LxI Assessment'!$F$5:$F$394,"N/A")&gt;0,"N/A",IF(COUNTIFS('LxI Assessment'!$A$5:$A$394,$A33,'LxI Assessment'!$D$5:$D$394,N$5,'LxI Assessment'!$S$5:$S$394,"&gt;0")=0,"",SUMIFS('LxI Assessment'!$S$5:$S$394,'LxI Assessment'!$A$5:$A$394,$A33,'LxI Assessment'!$D$5:$D$394,N$5)))</f>
        <v>2</v>
      </c>
      <c r="O33" s="31" t="n">
        <f aca="false">IF(COUNTIFS('LxI Assessment'!$A$5:$A$394,$A33,'LxI Assessment'!$D$5:$D$394,O$5,'LxI Assessment'!$F$5:$F$394,"N/A")&gt;0,"N/A",IF(COUNTIFS('LxI Assessment'!$A$5:$A$394,$A33,'LxI Assessment'!$D$5:$D$394,O$5,'LxI Assessment'!$S$5:$S$394,"&gt;0")=0,"",SUMIFS('LxI Assessment'!$S$5:$S$394,'LxI Assessment'!$A$5:$A$394,$A33,'LxI Assessment'!$D$5:$D$394,O$5)))</f>
        <v>1</v>
      </c>
      <c r="P33" s="31" t="n">
        <f aca="false">IF(COUNTIFS('LxI Assessment'!$A$5:$A$394,$A33,'LxI Assessment'!$D$5:$D$394,P$5,'LxI Assessment'!$F$5:$F$394,"N/A")&gt;0,"N/A",IF(COUNTIFS('LxI Assessment'!$A$5:$A$394,$A33,'LxI Assessment'!$D$5:$D$394,P$5,'LxI Assessment'!$S$5:$S$394,"&gt;0")=0,"",SUMIFS('LxI Assessment'!$S$5:$S$394,'LxI Assessment'!$A$5:$A$394,$A33,'LxI Assessment'!$D$5:$D$394,P$5)))</f>
        <v>1</v>
      </c>
      <c r="Q33" s="31" t="n">
        <f aca="false">IF(COUNTIFS('LxI Assessment'!$A$5:$A$394,$A33,'LxI Assessment'!$D$5:$D$394,Q$5,'LxI Assessment'!$F$5:$F$394,"N/A")&gt;0,"N/A",IF(COUNTIFS('LxI Assessment'!$A$5:$A$394,$A33,'LxI Assessment'!$D$5:$D$394,Q$5,'LxI Assessment'!$S$5:$S$394,"&gt;0")=0,"",SUMIFS('LxI Assessment'!$S$5:$S$394,'LxI Assessment'!$A$5:$A$394,$A33,'LxI Assessment'!$D$5:$D$394,Q$5)))</f>
        <v>1</v>
      </c>
      <c r="R33" s="31" t="n">
        <f aca="false">IF(COUNTIFS('LxI Assessment'!$A$5:$A$394,$A33,'LxI Assessment'!$D$5:$D$394,R$5,'LxI Assessment'!$F$5:$F$394,"N/A")&gt;0,"N/A",IF(COUNTIFS('LxI Assessment'!$A$5:$A$394,$A33,'LxI Assessment'!$D$5:$D$394,R$5,'LxI Assessment'!$S$5:$S$394,"&gt;0")=0,"",SUMIFS('LxI Assessment'!$S$5:$S$394,'LxI Assessment'!$A$5:$A$394,$A33,'LxI Assessment'!$D$5:$D$394,R$5)))</f>
        <v>1</v>
      </c>
      <c r="S33" s="31" t="n">
        <f aca="false">IF(COUNTIFS('LxI Assessment'!$A$5:$A$394,$A33,'LxI Assessment'!$D$5:$D$394,S$5,'LxI Assessment'!$F$5:$F$394,"N/A")&gt;0,"N/A",IF(COUNTIFS('LxI Assessment'!$A$5:$A$394,$A33,'LxI Assessment'!$D$5:$D$394,S$5,'LxI Assessment'!$S$5:$S$394,"&gt;0")=0,"",SUMIFS('LxI Assessment'!$S$5:$S$394,'LxI Assessment'!$A$5:$A$394,$A33,'LxI Assessment'!$D$5:$D$394,S$5)))</f>
        <v>1</v>
      </c>
      <c r="T33" s="31" t="n">
        <f aca="false">IF(COUNTIFS('LxI Assessment'!$A$5:$A$394,$A33,'LxI Assessment'!$D$5:$D$394,T$5,'LxI Assessment'!$F$5:$F$394,"N/A")&gt;0,"N/A",IF(COUNTIFS('LxI Assessment'!$A$5:$A$394,$A33,'LxI Assessment'!$D$5:$D$394,T$5,'LxI Assessment'!$S$5:$S$394,"&gt;0")=0,"",SUMIFS('LxI Assessment'!$S$5:$S$394,'LxI Assessment'!$A$5:$A$394,$A33,'LxI Assessment'!$D$5:$D$394,T$5)))</f>
        <v>3</v>
      </c>
      <c r="U33" s="31" t="n">
        <f aca="false">IF(COUNTIFS('LxI Assessment'!$A$5:$A$394,$A33,'LxI Assessment'!$D$5:$D$394,U$5,'LxI Assessment'!$F$5:$F$394,"N/A")&gt;0,"N/A",IF(COUNTIFS('LxI Assessment'!$A$5:$A$394,$A33,'LxI Assessment'!$D$5:$D$394,U$5,'LxI Assessment'!$S$5:$S$394,"&gt;0")=0,"",SUMIFS('LxI Assessment'!$S$5:$S$394,'LxI Assessment'!$A$5:$A$394,$A33,'LxI Assessment'!$D$5:$D$394,U$5)))</f>
        <v>2</v>
      </c>
      <c r="V33" s="31" t="n">
        <f aca="false">IF(COUNTIFS('LxI Assessment'!$A$5:$A$394,$A33,'LxI Assessment'!$D$5:$D$394,V$5,'LxI Assessment'!$F$5:$F$394,"N/A")&gt;0,"N/A",IF(COUNTIFS('LxI Assessment'!$A$5:$A$394,$A33,'LxI Assessment'!$D$5:$D$394,V$5,'LxI Assessment'!$S$5:$S$394,"&gt;0")=0,"",SUMIFS('LxI Assessment'!$S$5:$S$394,'LxI Assessment'!$A$5:$A$394,$A33,'LxI Assessment'!$D$5:$D$394,V$5)))</f>
        <v>1</v>
      </c>
      <c r="W33" s="34" t="n">
        <f aca="false">MAX(C33:V33)</f>
        <v>3</v>
      </c>
      <c r="X33" s="29" t="n">
        <f aca="false">IFERROR(AVERAGE(C33:V33),"")</f>
        <v>1.36842105263158</v>
      </c>
      <c r="Y33" s="31" t="n">
        <f aca="false">COUNTIF(C33:V33,5)</f>
        <v>0</v>
      </c>
      <c r="Z33" s="31" t="n">
        <f aca="false">COUNTIF(C33:V33,4)</f>
        <v>0</v>
      </c>
      <c r="AA33" s="7" t="str">
        <f aca="false">IF(W33=0,"",INDEX(Config!$B$5:$B$9,W33))</f>
        <v>Medium</v>
      </c>
    </row>
    <row r="34" customFormat="false" ht="15" hidden="false" customHeight="false" outlineLevel="0" collapsed="false">
      <c r="A34" s="26" t="str">
        <f aca="false">Entities!A33</f>
        <v>AU</v>
      </c>
      <c r="B34" s="26" t="str">
        <f aca="false">Entities!B33</f>
        <v>Arab Bank Australia</v>
      </c>
      <c r="C34" s="31" t="n">
        <f aca="false">IF(COUNTIFS('FC Calculation'!$A$5:$A$214,$A34,'FC Calculation'!$D$5:$D$214,C$5,'FC Calculation'!$T$5:$T$214,"&gt;0")=0,"",SUMIFS('FC Calculation'!$T$5:$T$214,'FC Calculation'!$A$5:$A$214,$A34,'FC Calculation'!$D$5:$D$214,C$5))</f>
        <v>1</v>
      </c>
      <c r="D34" s="31" t="n">
        <f aca="false">IF(COUNTIFS('FC Calculation'!$A$5:$A$214,$A34,'FC Calculation'!$D$5:$D$214,D$5,'FC Calculation'!$T$5:$T$214,"&gt;0")=0,"",SUMIFS('FC Calculation'!$T$5:$T$214,'FC Calculation'!$A$5:$A$214,$A34,'FC Calculation'!$D$5:$D$214,D$5))</f>
        <v>1</v>
      </c>
      <c r="E34" s="31" t="n">
        <f aca="false">IF(COUNTIFS('FC Calculation'!$A$5:$A$214,$A34,'FC Calculation'!$D$5:$D$214,E$5,'FC Calculation'!$T$5:$T$214,"&gt;0")=0,"",SUMIFS('FC Calculation'!$T$5:$T$214,'FC Calculation'!$A$5:$A$214,$A34,'FC Calculation'!$D$5:$D$214,E$5))</f>
        <v>1</v>
      </c>
      <c r="F34" s="31" t="n">
        <f aca="false">IF(COUNTIFS('FC Calculation'!$A$5:$A$214,$A34,'FC Calculation'!$D$5:$D$214,F$5,'FC Calculation'!$T$5:$T$214,"&gt;0")=0,"",SUMIFS('FC Calculation'!$T$5:$T$214,'FC Calculation'!$A$5:$A$214,$A34,'FC Calculation'!$D$5:$D$214,F$5))</f>
        <v>1</v>
      </c>
      <c r="G34" s="31" t="n">
        <f aca="false">IF(COUNTIFS('FC Calculation'!$A$5:$A$214,$A34,'FC Calculation'!$D$5:$D$214,G$5,'FC Calculation'!$T$5:$T$214,"&gt;0")=0,"",SUMIFS('FC Calculation'!$T$5:$T$214,'FC Calculation'!$A$5:$A$214,$A34,'FC Calculation'!$D$5:$D$214,G$5))</f>
        <v>1</v>
      </c>
      <c r="H34" s="31" t="n">
        <f aca="false">IF(COUNTIFS('FC Calculation'!$A$5:$A$214,$A34,'FC Calculation'!$D$5:$D$214,H$5,'FC Calculation'!$T$5:$T$214,"&gt;0")=0,"",SUMIFS('FC Calculation'!$T$5:$T$214,'FC Calculation'!$A$5:$A$214,$A34,'FC Calculation'!$D$5:$D$214,H$5))</f>
        <v>1</v>
      </c>
      <c r="I34" s="31" t="n">
        <f aca="false">IF(COUNTIFS('FC Calculation'!$A$5:$A$214,$A34,'FC Calculation'!$D$5:$D$214,I$5,'FC Calculation'!$T$5:$T$214,"&gt;0")=0,"",SUMIFS('FC Calculation'!$T$5:$T$214,'FC Calculation'!$A$5:$A$214,$A34,'FC Calculation'!$D$5:$D$214,I$5))</f>
        <v>1</v>
      </c>
      <c r="J34" s="31" t="n">
        <f aca="false">IF(COUNTIFS('LxI Assessment'!$A$5:$A$394,$A34,'LxI Assessment'!$D$5:$D$394,J$5,'LxI Assessment'!$F$5:$F$394,"N/A")&gt;0,"N/A",IF(COUNTIFS('LxI Assessment'!$A$5:$A$394,$A34,'LxI Assessment'!$D$5:$D$394,J$5,'LxI Assessment'!$S$5:$S$394,"&gt;0")=0,"",SUMIFS('LxI Assessment'!$S$5:$S$394,'LxI Assessment'!$A$5:$A$394,$A34,'LxI Assessment'!$D$5:$D$394,J$5)))</f>
        <v>1</v>
      </c>
      <c r="K34" s="31" t="n">
        <f aca="false">IF(COUNTIFS('LxI Assessment'!$A$5:$A$394,$A34,'LxI Assessment'!$D$5:$D$394,K$5,'LxI Assessment'!$F$5:$F$394,"N/A")&gt;0,"N/A",IF(COUNTIFS('LxI Assessment'!$A$5:$A$394,$A34,'LxI Assessment'!$D$5:$D$394,K$5,'LxI Assessment'!$S$5:$S$394,"&gt;0")=0,"",SUMIFS('LxI Assessment'!$S$5:$S$394,'LxI Assessment'!$A$5:$A$394,$A34,'LxI Assessment'!$D$5:$D$394,K$5)))</f>
        <v>3</v>
      </c>
      <c r="L34" s="31" t="n">
        <f aca="false">IF(COUNTIFS('LxI Assessment'!$A$5:$A$394,$A34,'LxI Assessment'!$D$5:$D$394,L$5,'LxI Assessment'!$F$5:$F$394,"N/A")&gt;0,"N/A",IF(COUNTIFS('LxI Assessment'!$A$5:$A$394,$A34,'LxI Assessment'!$D$5:$D$394,L$5,'LxI Assessment'!$S$5:$S$394,"&gt;0")=0,"",SUMIFS('LxI Assessment'!$S$5:$S$394,'LxI Assessment'!$A$5:$A$394,$A34,'LxI Assessment'!$D$5:$D$394,L$5)))</f>
        <v>2</v>
      </c>
      <c r="M34" s="31" t="str">
        <f aca="false">IF(COUNTIFS('LxI Assessment'!$A$5:$A$394,$A34,'LxI Assessment'!$D$5:$D$394,M$5,'LxI Assessment'!$F$5:$F$394,"N/A")&gt;0,"N/A",IF(COUNTIFS('LxI Assessment'!$A$5:$A$394,$A34,'LxI Assessment'!$D$5:$D$394,M$5,'LxI Assessment'!$S$5:$S$394,"&gt;0")=0,"",SUMIFS('LxI Assessment'!$S$5:$S$394,'LxI Assessment'!$A$5:$A$394,$A34,'LxI Assessment'!$D$5:$D$394,M$5)))</f>
        <v>N/A</v>
      </c>
      <c r="N34" s="31" t="n">
        <f aca="false">IF(COUNTIFS('LxI Assessment'!$A$5:$A$394,$A34,'LxI Assessment'!$D$5:$D$394,N$5,'LxI Assessment'!$F$5:$F$394,"N/A")&gt;0,"N/A",IF(COUNTIFS('LxI Assessment'!$A$5:$A$394,$A34,'LxI Assessment'!$D$5:$D$394,N$5,'LxI Assessment'!$S$5:$S$394,"&gt;0")=0,"",SUMIFS('LxI Assessment'!$S$5:$S$394,'LxI Assessment'!$A$5:$A$394,$A34,'LxI Assessment'!$D$5:$D$394,N$5)))</f>
        <v>1</v>
      </c>
      <c r="O34" s="31" t="n">
        <f aca="false">IF(COUNTIFS('LxI Assessment'!$A$5:$A$394,$A34,'LxI Assessment'!$D$5:$D$394,O$5,'LxI Assessment'!$F$5:$F$394,"N/A")&gt;0,"N/A",IF(COUNTIFS('LxI Assessment'!$A$5:$A$394,$A34,'LxI Assessment'!$D$5:$D$394,O$5,'LxI Assessment'!$S$5:$S$394,"&gt;0")=0,"",SUMIFS('LxI Assessment'!$S$5:$S$394,'LxI Assessment'!$A$5:$A$394,$A34,'LxI Assessment'!$D$5:$D$394,O$5)))</f>
        <v>2</v>
      </c>
      <c r="P34" s="31" t="n">
        <f aca="false">IF(COUNTIFS('LxI Assessment'!$A$5:$A$394,$A34,'LxI Assessment'!$D$5:$D$394,P$5,'LxI Assessment'!$F$5:$F$394,"N/A")&gt;0,"N/A",IF(COUNTIFS('LxI Assessment'!$A$5:$A$394,$A34,'LxI Assessment'!$D$5:$D$394,P$5,'LxI Assessment'!$S$5:$S$394,"&gt;0")=0,"",SUMIFS('LxI Assessment'!$S$5:$S$394,'LxI Assessment'!$A$5:$A$394,$A34,'LxI Assessment'!$D$5:$D$394,P$5)))</f>
        <v>3</v>
      </c>
      <c r="Q34" s="31" t="n">
        <f aca="false">IF(COUNTIFS('LxI Assessment'!$A$5:$A$394,$A34,'LxI Assessment'!$D$5:$D$394,Q$5,'LxI Assessment'!$F$5:$F$394,"N/A")&gt;0,"N/A",IF(COUNTIFS('LxI Assessment'!$A$5:$A$394,$A34,'LxI Assessment'!$D$5:$D$394,Q$5,'LxI Assessment'!$S$5:$S$394,"&gt;0")=0,"",SUMIFS('LxI Assessment'!$S$5:$S$394,'LxI Assessment'!$A$5:$A$394,$A34,'LxI Assessment'!$D$5:$D$394,Q$5)))</f>
        <v>4</v>
      </c>
      <c r="R34" s="31" t="n">
        <f aca="false">IF(COUNTIFS('LxI Assessment'!$A$5:$A$394,$A34,'LxI Assessment'!$D$5:$D$394,R$5,'LxI Assessment'!$F$5:$F$394,"N/A")&gt;0,"N/A",IF(COUNTIFS('LxI Assessment'!$A$5:$A$394,$A34,'LxI Assessment'!$D$5:$D$394,R$5,'LxI Assessment'!$S$5:$S$394,"&gt;0")=0,"",SUMIFS('LxI Assessment'!$S$5:$S$394,'LxI Assessment'!$A$5:$A$394,$A34,'LxI Assessment'!$D$5:$D$394,R$5)))</f>
        <v>3</v>
      </c>
      <c r="S34" s="31" t="n">
        <f aca="false">IF(COUNTIFS('LxI Assessment'!$A$5:$A$394,$A34,'LxI Assessment'!$D$5:$D$394,S$5,'LxI Assessment'!$F$5:$F$394,"N/A")&gt;0,"N/A",IF(COUNTIFS('LxI Assessment'!$A$5:$A$394,$A34,'LxI Assessment'!$D$5:$D$394,S$5,'LxI Assessment'!$S$5:$S$394,"&gt;0")=0,"",SUMIFS('LxI Assessment'!$S$5:$S$394,'LxI Assessment'!$A$5:$A$394,$A34,'LxI Assessment'!$D$5:$D$394,S$5)))</f>
        <v>2</v>
      </c>
      <c r="T34" s="31" t="n">
        <f aca="false">IF(COUNTIFS('LxI Assessment'!$A$5:$A$394,$A34,'LxI Assessment'!$D$5:$D$394,T$5,'LxI Assessment'!$F$5:$F$394,"N/A")&gt;0,"N/A",IF(COUNTIFS('LxI Assessment'!$A$5:$A$394,$A34,'LxI Assessment'!$D$5:$D$394,T$5,'LxI Assessment'!$S$5:$S$394,"&gt;0")=0,"",SUMIFS('LxI Assessment'!$S$5:$S$394,'LxI Assessment'!$A$5:$A$394,$A34,'LxI Assessment'!$D$5:$D$394,T$5)))</f>
        <v>3</v>
      </c>
      <c r="U34" s="31" t="n">
        <f aca="false">IF(COUNTIFS('LxI Assessment'!$A$5:$A$394,$A34,'LxI Assessment'!$D$5:$D$394,U$5,'LxI Assessment'!$F$5:$F$394,"N/A")&gt;0,"N/A",IF(COUNTIFS('LxI Assessment'!$A$5:$A$394,$A34,'LxI Assessment'!$D$5:$D$394,U$5,'LxI Assessment'!$S$5:$S$394,"&gt;0")=0,"",SUMIFS('LxI Assessment'!$S$5:$S$394,'LxI Assessment'!$A$5:$A$394,$A34,'LxI Assessment'!$D$5:$D$394,U$5)))</f>
        <v>2</v>
      </c>
      <c r="V34" s="31" t="n">
        <f aca="false">IF(COUNTIFS('LxI Assessment'!$A$5:$A$394,$A34,'LxI Assessment'!$D$5:$D$394,V$5,'LxI Assessment'!$F$5:$F$394,"N/A")&gt;0,"N/A",IF(COUNTIFS('LxI Assessment'!$A$5:$A$394,$A34,'LxI Assessment'!$D$5:$D$394,V$5,'LxI Assessment'!$S$5:$S$394,"&gt;0")=0,"",SUMIFS('LxI Assessment'!$S$5:$S$394,'LxI Assessment'!$A$5:$A$394,$A34,'LxI Assessment'!$D$5:$D$394,V$5)))</f>
        <v>2</v>
      </c>
      <c r="W34" s="34" t="n">
        <f aca="false">MAX(C34:V34)</f>
        <v>4</v>
      </c>
      <c r="X34" s="29" t="n">
        <f aca="false">IFERROR(AVERAGE(C34:V34),"")</f>
        <v>1.84210526315789</v>
      </c>
      <c r="Y34" s="31" t="n">
        <f aca="false">COUNTIF(C34:V34,5)</f>
        <v>0</v>
      </c>
      <c r="Z34" s="31" t="n">
        <f aca="false">COUNTIF(C34:V34,4)</f>
        <v>1</v>
      </c>
      <c r="AA34" s="7" t="str">
        <f aca="false">IF(W34=0,"",INDEX(Config!$B$5:$B$9,W34))</f>
        <v>Medium-High</v>
      </c>
    </row>
    <row r="35" customFormat="false" ht="15" hidden="false" customHeight="false" outlineLevel="0" collapsed="false">
      <c r="A35" s="26" t="str">
        <f aca="false">Entities!A34</f>
        <v>US</v>
      </c>
      <c r="B35" s="26" t="str">
        <f aca="false">Entities!B34</f>
        <v>Arab Bank – United States (if retained)</v>
      </c>
      <c r="C35" s="31" t="n">
        <f aca="false">IF(COUNTIFS('FC Calculation'!$A$5:$A$214,$A35,'FC Calculation'!$D$5:$D$214,C$5,'FC Calculation'!$T$5:$T$214,"&gt;0")=0,"",SUMIFS('FC Calculation'!$T$5:$T$214,'FC Calculation'!$A$5:$A$214,$A35,'FC Calculation'!$D$5:$D$214,C$5))</f>
        <v>1</v>
      </c>
      <c r="D35" s="31" t="n">
        <f aca="false">IF(COUNTIFS('FC Calculation'!$A$5:$A$214,$A35,'FC Calculation'!$D$5:$D$214,D$5,'FC Calculation'!$T$5:$T$214,"&gt;0")=0,"",SUMIFS('FC Calculation'!$T$5:$T$214,'FC Calculation'!$A$5:$A$214,$A35,'FC Calculation'!$D$5:$D$214,D$5))</f>
        <v>1</v>
      </c>
      <c r="E35" s="31" t="n">
        <f aca="false">IF(COUNTIFS('FC Calculation'!$A$5:$A$214,$A35,'FC Calculation'!$D$5:$D$214,E$5,'FC Calculation'!$T$5:$T$214,"&gt;0")=0,"",SUMIFS('FC Calculation'!$T$5:$T$214,'FC Calculation'!$A$5:$A$214,$A35,'FC Calculation'!$D$5:$D$214,E$5))</f>
        <v>1</v>
      </c>
      <c r="F35" s="31" t="n">
        <f aca="false">IF(COUNTIFS('FC Calculation'!$A$5:$A$214,$A35,'FC Calculation'!$D$5:$D$214,F$5,'FC Calculation'!$T$5:$T$214,"&gt;0")=0,"",SUMIFS('FC Calculation'!$T$5:$T$214,'FC Calculation'!$A$5:$A$214,$A35,'FC Calculation'!$D$5:$D$214,F$5))</f>
        <v>1</v>
      </c>
      <c r="G35" s="31" t="n">
        <f aca="false">IF(COUNTIFS('FC Calculation'!$A$5:$A$214,$A35,'FC Calculation'!$D$5:$D$214,G$5,'FC Calculation'!$T$5:$T$214,"&gt;0")=0,"",SUMIFS('FC Calculation'!$T$5:$T$214,'FC Calculation'!$A$5:$A$214,$A35,'FC Calculation'!$D$5:$D$214,G$5))</f>
        <v>1</v>
      </c>
      <c r="H35" s="31" t="n">
        <f aca="false">IF(COUNTIFS('FC Calculation'!$A$5:$A$214,$A35,'FC Calculation'!$D$5:$D$214,H$5,'FC Calculation'!$T$5:$T$214,"&gt;0")=0,"",SUMIFS('FC Calculation'!$T$5:$T$214,'FC Calculation'!$A$5:$A$214,$A35,'FC Calculation'!$D$5:$D$214,H$5))</f>
        <v>2</v>
      </c>
      <c r="I35" s="31" t="n">
        <f aca="false">IF(COUNTIFS('FC Calculation'!$A$5:$A$214,$A35,'FC Calculation'!$D$5:$D$214,I$5,'FC Calculation'!$T$5:$T$214,"&gt;0")=0,"",SUMIFS('FC Calculation'!$T$5:$T$214,'FC Calculation'!$A$5:$A$214,$A35,'FC Calculation'!$D$5:$D$214,I$5))</f>
        <v>1</v>
      </c>
      <c r="J35" s="31" t="n">
        <f aca="false">IF(COUNTIFS('LxI Assessment'!$A$5:$A$394,$A35,'LxI Assessment'!$D$5:$D$394,J$5,'LxI Assessment'!$F$5:$F$394,"N/A")&gt;0,"N/A",IF(COUNTIFS('LxI Assessment'!$A$5:$A$394,$A35,'LxI Assessment'!$D$5:$D$394,J$5,'LxI Assessment'!$S$5:$S$394,"&gt;0")=0,"",SUMIFS('LxI Assessment'!$S$5:$S$394,'LxI Assessment'!$A$5:$A$394,$A35,'LxI Assessment'!$D$5:$D$394,J$5)))</f>
        <v>1</v>
      </c>
      <c r="K35" s="31" t="n">
        <f aca="false">IF(COUNTIFS('LxI Assessment'!$A$5:$A$394,$A35,'LxI Assessment'!$D$5:$D$394,K$5,'LxI Assessment'!$F$5:$F$394,"N/A")&gt;0,"N/A",IF(COUNTIFS('LxI Assessment'!$A$5:$A$394,$A35,'LxI Assessment'!$D$5:$D$394,K$5,'LxI Assessment'!$S$5:$S$394,"&gt;0")=0,"",SUMIFS('LxI Assessment'!$S$5:$S$394,'LxI Assessment'!$A$5:$A$394,$A35,'LxI Assessment'!$D$5:$D$394,K$5)))</f>
        <v>1</v>
      </c>
      <c r="L35" s="31" t="n">
        <f aca="false">IF(COUNTIFS('LxI Assessment'!$A$5:$A$394,$A35,'LxI Assessment'!$D$5:$D$394,L$5,'LxI Assessment'!$F$5:$F$394,"N/A")&gt;0,"N/A",IF(COUNTIFS('LxI Assessment'!$A$5:$A$394,$A35,'LxI Assessment'!$D$5:$D$394,L$5,'LxI Assessment'!$S$5:$S$394,"&gt;0")=0,"",SUMIFS('LxI Assessment'!$S$5:$S$394,'LxI Assessment'!$A$5:$A$394,$A35,'LxI Assessment'!$D$5:$D$394,L$5)))</f>
        <v>1</v>
      </c>
      <c r="M35" s="31" t="str">
        <f aca="false">IF(COUNTIFS('LxI Assessment'!$A$5:$A$394,$A35,'LxI Assessment'!$D$5:$D$394,M$5,'LxI Assessment'!$F$5:$F$394,"N/A")&gt;0,"N/A",IF(COUNTIFS('LxI Assessment'!$A$5:$A$394,$A35,'LxI Assessment'!$D$5:$D$394,M$5,'LxI Assessment'!$S$5:$S$394,"&gt;0")=0,"",SUMIFS('LxI Assessment'!$S$5:$S$394,'LxI Assessment'!$A$5:$A$394,$A35,'LxI Assessment'!$D$5:$D$394,M$5)))</f>
        <v>N/A</v>
      </c>
      <c r="N35" s="31" t="n">
        <f aca="false">IF(COUNTIFS('LxI Assessment'!$A$5:$A$394,$A35,'LxI Assessment'!$D$5:$D$394,N$5,'LxI Assessment'!$F$5:$F$394,"N/A")&gt;0,"N/A",IF(COUNTIFS('LxI Assessment'!$A$5:$A$394,$A35,'LxI Assessment'!$D$5:$D$394,N$5,'LxI Assessment'!$S$5:$S$394,"&gt;0")=0,"",SUMIFS('LxI Assessment'!$S$5:$S$394,'LxI Assessment'!$A$5:$A$394,$A35,'LxI Assessment'!$D$5:$D$394,N$5)))</f>
        <v>1</v>
      </c>
      <c r="O35" s="31" t="n">
        <f aca="false">IF(COUNTIFS('LxI Assessment'!$A$5:$A$394,$A35,'LxI Assessment'!$D$5:$D$394,O$5,'LxI Assessment'!$F$5:$F$394,"N/A")&gt;0,"N/A",IF(COUNTIFS('LxI Assessment'!$A$5:$A$394,$A35,'LxI Assessment'!$D$5:$D$394,O$5,'LxI Assessment'!$S$5:$S$394,"&gt;0")=0,"",SUMIFS('LxI Assessment'!$S$5:$S$394,'LxI Assessment'!$A$5:$A$394,$A35,'LxI Assessment'!$D$5:$D$394,O$5)))</f>
        <v>2</v>
      </c>
      <c r="P35" s="31" t="n">
        <f aca="false">IF(COUNTIFS('LxI Assessment'!$A$5:$A$394,$A35,'LxI Assessment'!$D$5:$D$394,P$5,'LxI Assessment'!$F$5:$F$394,"N/A")&gt;0,"N/A",IF(COUNTIFS('LxI Assessment'!$A$5:$A$394,$A35,'LxI Assessment'!$D$5:$D$394,P$5,'LxI Assessment'!$S$5:$S$394,"&gt;0")=0,"",SUMIFS('LxI Assessment'!$S$5:$S$394,'LxI Assessment'!$A$5:$A$394,$A35,'LxI Assessment'!$D$5:$D$394,P$5)))</f>
        <v>1</v>
      </c>
      <c r="Q35" s="31" t="n">
        <f aca="false">IF(COUNTIFS('LxI Assessment'!$A$5:$A$394,$A35,'LxI Assessment'!$D$5:$D$394,Q$5,'LxI Assessment'!$F$5:$F$394,"N/A")&gt;0,"N/A",IF(COUNTIFS('LxI Assessment'!$A$5:$A$394,$A35,'LxI Assessment'!$D$5:$D$394,Q$5,'LxI Assessment'!$S$5:$S$394,"&gt;0")=0,"",SUMIFS('LxI Assessment'!$S$5:$S$394,'LxI Assessment'!$A$5:$A$394,$A35,'LxI Assessment'!$D$5:$D$394,Q$5)))</f>
        <v>1</v>
      </c>
      <c r="R35" s="31" t="n">
        <f aca="false">IF(COUNTIFS('LxI Assessment'!$A$5:$A$394,$A35,'LxI Assessment'!$D$5:$D$394,R$5,'LxI Assessment'!$F$5:$F$394,"N/A")&gt;0,"N/A",IF(COUNTIFS('LxI Assessment'!$A$5:$A$394,$A35,'LxI Assessment'!$D$5:$D$394,R$5,'LxI Assessment'!$S$5:$S$394,"&gt;0")=0,"",SUMIFS('LxI Assessment'!$S$5:$S$394,'LxI Assessment'!$A$5:$A$394,$A35,'LxI Assessment'!$D$5:$D$394,R$5)))</f>
        <v>1</v>
      </c>
      <c r="S35" s="31" t="n">
        <f aca="false">IF(COUNTIFS('LxI Assessment'!$A$5:$A$394,$A35,'LxI Assessment'!$D$5:$D$394,S$5,'LxI Assessment'!$F$5:$F$394,"N/A")&gt;0,"N/A",IF(COUNTIFS('LxI Assessment'!$A$5:$A$394,$A35,'LxI Assessment'!$D$5:$D$394,S$5,'LxI Assessment'!$S$5:$S$394,"&gt;0")=0,"",SUMIFS('LxI Assessment'!$S$5:$S$394,'LxI Assessment'!$A$5:$A$394,$A35,'LxI Assessment'!$D$5:$D$394,S$5)))</f>
        <v>3</v>
      </c>
      <c r="T35" s="31" t="n">
        <f aca="false">IF(COUNTIFS('LxI Assessment'!$A$5:$A$394,$A35,'LxI Assessment'!$D$5:$D$394,T$5,'LxI Assessment'!$F$5:$F$394,"N/A")&gt;0,"N/A",IF(COUNTIFS('LxI Assessment'!$A$5:$A$394,$A35,'LxI Assessment'!$D$5:$D$394,T$5,'LxI Assessment'!$S$5:$S$394,"&gt;0")=0,"",SUMIFS('LxI Assessment'!$S$5:$S$394,'LxI Assessment'!$A$5:$A$394,$A35,'LxI Assessment'!$D$5:$D$394,T$5)))</f>
        <v>2</v>
      </c>
      <c r="U35" s="31" t="n">
        <f aca="false">IF(COUNTIFS('LxI Assessment'!$A$5:$A$394,$A35,'LxI Assessment'!$D$5:$D$394,U$5,'LxI Assessment'!$F$5:$F$394,"N/A")&gt;0,"N/A",IF(COUNTIFS('LxI Assessment'!$A$5:$A$394,$A35,'LxI Assessment'!$D$5:$D$394,U$5,'LxI Assessment'!$S$5:$S$394,"&gt;0")=0,"",SUMIFS('LxI Assessment'!$S$5:$S$394,'LxI Assessment'!$A$5:$A$394,$A35,'LxI Assessment'!$D$5:$D$394,U$5)))</f>
        <v>2</v>
      </c>
      <c r="V35" s="31" t="n">
        <f aca="false">IF(COUNTIFS('LxI Assessment'!$A$5:$A$394,$A35,'LxI Assessment'!$D$5:$D$394,V$5,'LxI Assessment'!$F$5:$F$394,"N/A")&gt;0,"N/A",IF(COUNTIFS('LxI Assessment'!$A$5:$A$394,$A35,'LxI Assessment'!$D$5:$D$394,V$5,'LxI Assessment'!$S$5:$S$394,"&gt;0")=0,"",SUMIFS('LxI Assessment'!$S$5:$S$394,'LxI Assessment'!$A$5:$A$394,$A35,'LxI Assessment'!$D$5:$D$394,V$5)))</f>
        <v>1</v>
      </c>
      <c r="W35" s="34" t="n">
        <f aca="false">MAX(C35:V35)</f>
        <v>3</v>
      </c>
      <c r="X35" s="29" t="n">
        <f aca="false">IFERROR(AVERAGE(C35:V35),"")</f>
        <v>1.31578947368421</v>
      </c>
      <c r="Y35" s="31" t="n">
        <f aca="false">COUNTIF(C35:V35,5)</f>
        <v>0</v>
      </c>
      <c r="Z35" s="31" t="n">
        <f aca="false">COUNTIF(C35:V35,4)</f>
        <v>0</v>
      </c>
      <c r="AA35" s="7" t="str">
        <f aca="false">IF(W35=0,"",INDEX(Config!$B$5:$B$9,W35))</f>
        <v>Medium</v>
      </c>
    </row>
    <row r="37" customFormat="false" ht="15" hidden="false" customHeight="false" outlineLevel="0" collapsed="false">
      <c r="A37" s="3" t="s">
        <v>453</v>
      </c>
      <c r="B37" s="3"/>
      <c r="C37" s="29" t="n">
        <f aca="false">IFERROR(AVERAGE(C6:C35),"")</f>
        <v>2.73333333333333</v>
      </c>
      <c r="D37" s="29" t="n">
        <f aca="false">IFERROR(AVERAGE(D6:D35),"")</f>
        <v>2.6</v>
      </c>
      <c r="E37" s="29" t="n">
        <f aca="false">IFERROR(AVERAGE(E6:E35),"")</f>
        <v>2.63333333333333</v>
      </c>
      <c r="F37" s="29" t="n">
        <f aca="false">IFERROR(AVERAGE(F6:F35),"")</f>
        <v>2.7</v>
      </c>
      <c r="G37" s="29" t="n">
        <f aca="false">IFERROR(AVERAGE(G6:G35),"")</f>
        <v>2.66666666666667</v>
      </c>
      <c r="H37" s="29" t="n">
        <f aca="false">IFERROR(AVERAGE(H6:H35),"")</f>
        <v>2.7</v>
      </c>
      <c r="I37" s="29" t="n">
        <f aca="false">IFERROR(AVERAGE(I6:I35),"")</f>
        <v>2.76666666666667</v>
      </c>
      <c r="J37" s="29" t="n">
        <f aca="false">IFERROR(AVERAGE(J6:J35),"")</f>
        <v>3.2</v>
      </c>
      <c r="K37" s="29" t="n">
        <f aca="false">IFERROR(AVERAGE(K6:K35),"")</f>
        <v>2.66666666666667</v>
      </c>
      <c r="L37" s="29" t="n">
        <f aca="false">IFERROR(AVERAGE(L6:L35),"")</f>
        <v>2.8</v>
      </c>
      <c r="M37" s="29" t="n">
        <f aca="false">IFERROR(AVERAGE(M6:M35),"")</f>
        <v>2</v>
      </c>
      <c r="N37" s="29" t="n">
        <f aca="false">IFERROR(AVERAGE(N6:N35),"")</f>
        <v>3.1</v>
      </c>
      <c r="O37" s="29" t="n">
        <f aca="false">IFERROR(AVERAGE(O6:O35),"")</f>
        <v>2.8</v>
      </c>
      <c r="P37" s="29" t="n">
        <f aca="false">IFERROR(AVERAGE(P6:P35),"")</f>
        <v>2.96666666666667</v>
      </c>
      <c r="Q37" s="29" t="n">
        <f aca="false">IFERROR(AVERAGE(Q6:Q35),"")</f>
        <v>3.06666666666667</v>
      </c>
      <c r="R37" s="29" t="n">
        <f aca="false">IFERROR(AVERAGE(R6:R35),"")</f>
        <v>3.13333333333333</v>
      </c>
      <c r="S37" s="29" t="n">
        <f aca="false">IFERROR(AVERAGE(S6:S35),"")</f>
        <v>2.86666666666667</v>
      </c>
      <c r="T37" s="29" t="n">
        <f aca="false">IFERROR(AVERAGE(T6:T35),"")</f>
        <v>2.5</v>
      </c>
      <c r="U37" s="29" t="n">
        <f aca="false">IFERROR(AVERAGE(U6:U35),"")</f>
        <v>2.96666666666667</v>
      </c>
      <c r="V37" s="29" t="n">
        <f aca="false">IFERROR(AVERAGE(V6:V35),"")</f>
        <v>2.66666666666667</v>
      </c>
      <c r="W37" s="29" t="n">
        <f aca="false">IFERROR(AVERAGE(W6:W35),"")</f>
        <v>3.96666666666667</v>
      </c>
      <c r="X37" s="29" t="n">
        <f aca="false">IFERROR(AVERAGE(X6:X35),"")</f>
        <v>2.81614035087719</v>
      </c>
    </row>
    <row r="38" customFormat="false" ht="15" hidden="false" customHeight="false" outlineLevel="0" collapsed="false">
      <c r="A38" s="3" t="s">
        <v>454</v>
      </c>
      <c r="B38" s="3"/>
      <c r="C38" s="40" t="n">
        <f aca="false">IFERROR(SUMPRODUCT(Entities!$I$5:$I$34*ISNUMBER(C6:C35),C6:C35)/SUMPRODUCT(Entities!$I$5:$I$34*ISNUMBER(C6:C35)),"")</f>
        <v>2.75</v>
      </c>
      <c r="D38" s="40" t="n">
        <f aca="false">IFERROR(SUMPRODUCT(Entities!$I$5:$I$34*ISNUMBER(D6:D35),D6:D35)/SUMPRODUCT(Entities!$I$5:$I$34*ISNUMBER(D6:D35)),"")</f>
        <v>2.67857142857143</v>
      </c>
      <c r="E38" s="40" t="n">
        <f aca="false">IFERROR(SUMPRODUCT(Entities!$I$5:$I$34*ISNUMBER(E6:E35),E6:E35)/SUMPRODUCT(Entities!$I$5:$I$34*ISNUMBER(E6:E35)),"")</f>
        <v>2.66071428571429</v>
      </c>
      <c r="F38" s="40" t="n">
        <f aca="false">IFERROR(SUMPRODUCT(Entities!$I$5:$I$34*ISNUMBER(F6:F35),F6:F35)/SUMPRODUCT(Entities!$I$5:$I$34*ISNUMBER(F6:F35)),"")</f>
        <v>2.75</v>
      </c>
      <c r="G38" s="40" t="n">
        <f aca="false">IFERROR(SUMPRODUCT(Entities!$I$5:$I$34*ISNUMBER(G6:G35),G6:G35)/SUMPRODUCT(Entities!$I$5:$I$34*ISNUMBER(G6:G35)),"")</f>
        <v>2.71428571428571</v>
      </c>
      <c r="H38" s="40" t="n">
        <f aca="false">IFERROR(SUMPRODUCT(Entities!$I$5:$I$34*ISNUMBER(H6:H35),H6:H35)/SUMPRODUCT(Entities!$I$5:$I$34*ISNUMBER(H6:H35)),"")</f>
        <v>2.75</v>
      </c>
      <c r="I38" s="40" t="n">
        <f aca="false">IFERROR(SUMPRODUCT(Entities!$I$5:$I$34*ISNUMBER(I6:I35),I6:I35)/SUMPRODUCT(Entities!$I$5:$I$34*ISNUMBER(I6:I35)),"")</f>
        <v>2.78571428571429</v>
      </c>
      <c r="J38" s="40" t="n">
        <f aca="false">IFERROR(SUMPRODUCT(Entities!$I$5:$I$34*ISNUMBER(J6:J35),J6:J35)/SUMPRODUCT(Entities!$I$5:$I$34*ISNUMBER(J6:J35)),"")</f>
        <v>3.21428571428571</v>
      </c>
      <c r="K38" s="40" t="n">
        <f aca="false">IFERROR(SUMPRODUCT(Entities!$I$5:$I$34*ISNUMBER(K6:K35),K6:K35)/SUMPRODUCT(Entities!$I$5:$I$34*ISNUMBER(K6:K35)),"")</f>
        <v>2.73214285714286</v>
      </c>
      <c r="L38" s="40" t="n">
        <f aca="false">IFERROR(SUMPRODUCT(Entities!$I$5:$I$34*ISNUMBER(L6:L35),L6:L35)/SUMPRODUCT(Entities!$I$5:$I$34*ISNUMBER(L6:L35)),"")</f>
        <v>2.80357142857143</v>
      </c>
      <c r="M38" s="40" t="n">
        <f aca="false">IFERROR(SUMPRODUCT(Entities!$I$5:$I$34*ISNUMBER(M6:M35),M6:M35)/SUMPRODUCT(Entities!$I$5:$I$34*ISNUMBER(M6:M35)),"")</f>
        <v>2</v>
      </c>
      <c r="N38" s="40" t="n">
        <f aca="false">IFERROR(SUMPRODUCT(Entities!$I$5:$I$34*ISNUMBER(N6:N35),N6:N35)/SUMPRODUCT(Entities!$I$5:$I$34*ISNUMBER(N6:N35)),"")</f>
        <v>3.07142857142857</v>
      </c>
      <c r="O38" s="40" t="n">
        <f aca="false">IFERROR(SUMPRODUCT(Entities!$I$5:$I$34*ISNUMBER(O6:O35),O6:O35)/SUMPRODUCT(Entities!$I$5:$I$34*ISNUMBER(O6:O35)),"")</f>
        <v>2.83928571428571</v>
      </c>
      <c r="P38" s="40" t="n">
        <f aca="false">IFERROR(SUMPRODUCT(Entities!$I$5:$I$34*ISNUMBER(P6:P35),P6:P35)/SUMPRODUCT(Entities!$I$5:$I$34*ISNUMBER(P6:P35)),"")</f>
        <v>2.98214285714286</v>
      </c>
      <c r="Q38" s="40" t="n">
        <f aca="false">IFERROR(SUMPRODUCT(Entities!$I$5:$I$34*ISNUMBER(Q6:Q35),Q6:Q35)/SUMPRODUCT(Entities!$I$5:$I$34*ISNUMBER(Q6:Q35)),"")</f>
        <v>3.05357142857143</v>
      </c>
      <c r="R38" s="40" t="n">
        <f aca="false">IFERROR(SUMPRODUCT(Entities!$I$5:$I$34*ISNUMBER(R6:R35),R6:R35)/SUMPRODUCT(Entities!$I$5:$I$34*ISNUMBER(R6:R35)),"")</f>
        <v>3.16071428571429</v>
      </c>
      <c r="S38" s="40" t="n">
        <f aca="false">IFERROR(SUMPRODUCT(Entities!$I$5:$I$34*ISNUMBER(S6:S35),S6:S35)/SUMPRODUCT(Entities!$I$5:$I$34*ISNUMBER(S6:S35)),"")</f>
        <v>2.82142857142857</v>
      </c>
      <c r="T38" s="40" t="n">
        <f aca="false">IFERROR(SUMPRODUCT(Entities!$I$5:$I$34*ISNUMBER(T6:T35),T6:T35)/SUMPRODUCT(Entities!$I$5:$I$34*ISNUMBER(T6:T35)),"")</f>
        <v>2.44642857142857</v>
      </c>
      <c r="U38" s="40" t="n">
        <f aca="false">IFERROR(SUMPRODUCT(Entities!$I$5:$I$34*ISNUMBER(U6:U35),U6:U35)/SUMPRODUCT(Entities!$I$5:$I$34*ISNUMBER(U6:U35)),"")</f>
        <v>2.98214285714286</v>
      </c>
      <c r="V38" s="40" t="n">
        <f aca="false">IFERROR(SUMPRODUCT(Entities!$I$5:$I$34*ISNUMBER(V6:V35),V6:V35)/SUMPRODUCT(Entities!$I$5:$I$34*ISNUMBER(V6:V35)),"")</f>
        <v>2.69642857142857</v>
      </c>
      <c r="W38" s="40" t="n">
        <f aca="false">IFERROR(SUMPRODUCT(Entities!$I$5:$I$34*ISNUMBER(W6:W35),W6:W35)/SUMPRODUCT(Entities!$I$5:$I$34*ISNUMBER(W6:W35)),"")</f>
        <v>3.98214285714286</v>
      </c>
      <c r="X38" s="40" t="n">
        <f aca="false">IFERROR(SUMPRODUCT(Entities!$I$5:$I$34*ISNUMBER(X6:X35),X6:X35)/SUMPRODUCT(Entities!$I$5:$I$34*ISNUMBER(X6:X35)),"")</f>
        <v>2.83421052631579</v>
      </c>
    </row>
    <row r="39" customFormat="false" ht="27.75" hidden="false" customHeight="true" outlineLevel="0" collapsed="false">
      <c r="A39" s="3" t="s">
        <v>455</v>
      </c>
      <c r="B39" s="3"/>
      <c r="C39" s="41" t="str">
        <f aca="false">IF(C38="","",INDEX(Config!$B$5:$B$9,MATCH(C38,Config!$D$5:$D$9,1)))</f>
        <v>Medium</v>
      </c>
      <c r="D39" s="41" t="str">
        <f aca="false">IF(D38="","",INDEX(Config!$B$5:$B$9,MATCH(D38,Config!$D$5:$D$9,1)))</f>
        <v>Medium</v>
      </c>
      <c r="E39" s="41" t="str">
        <f aca="false">IF(E38="","",INDEX(Config!$B$5:$B$9,MATCH(E38,Config!$D$5:$D$9,1)))</f>
        <v>Medium</v>
      </c>
      <c r="F39" s="41" t="str">
        <f aca="false">IF(F38="","",INDEX(Config!$B$5:$B$9,MATCH(F38,Config!$D$5:$D$9,1)))</f>
        <v>Medium</v>
      </c>
      <c r="G39" s="41" t="str">
        <f aca="false">IF(G38="","",INDEX(Config!$B$5:$B$9,MATCH(G38,Config!$D$5:$D$9,1)))</f>
        <v>Medium</v>
      </c>
      <c r="H39" s="41" t="str">
        <f aca="false">IF(H38="","",INDEX(Config!$B$5:$B$9,MATCH(H38,Config!$D$5:$D$9,1)))</f>
        <v>Medium</v>
      </c>
      <c r="I39" s="41" t="str">
        <f aca="false">IF(I38="","",INDEX(Config!$B$5:$B$9,MATCH(I38,Config!$D$5:$D$9,1)))</f>
        <v>Medium</v>
      </c>
      <c r="J39" s="41" t="str">
        <f aca="false">IF(J38="","",INDEX(Config!$B$5:$B$9,MATCH(J38,Config!$D$5:$D$9,1)))</f>
        <v>Medium</v>
      </c>
      <c r="K39" s="41" t="str">
        <f aca="false">IF(K38="","",INDEX(Config!$B$5:$B$9,MATCH(K38,Config!$D$5:$D$9,1)))</f>
        <v>Medium</v>
      </c>
      <c r="L39" s="41" t="str">
        <f aca="false">IF(L38="","",INDEX(Config!$B$5:$B$9,MATCH(L38,Config!$D$5:$D$9,1)))</f>
        <v>Medium</v>
      </c>
      <c r="M39" s="41" t="str">
        <f aca="false">IF(M38="","",INDEX(Config!$B$5:$B$9,MATCH(M38,Config!$D$5:$D$9,1)))</f>
        <v>Medium-Low</v>
      </c>
      <c r="N39" s="41" t="str">
        <f aca="false">IF(N38="","",INDEX(Config!$B$5:$B$9,MATCH(N38,Config!$D$5:$D$9,1)))</f>
        <v>Medium</v>
      </c>
      <c r="O39" s="41" t="str">
        <f aca="false">IF(O38="","",INDEX(Config!$B$5:$B$9,MATCH(O38,Config!$D$5:$D$9,1)))</f>
        <v>Medium</v>
      </c>
      <c r="P39" s="41" t="str">
        <f aca="false">IF(P38="","",INDEX(Config!$B$5:$B$9,MATCH(P38,Config!$D$5:$D$9,1)))</f>
        <v>Medium</v>
      </c>
      <c r="Q39" s="41" t="str">
        <f aca="false">IF(Q38="","",INDEX(Config!$B$5:$B$9,MATCH(Q38,Config!$D$5:$D$9,1)))</f>
        <v>Medium</v>
      </c>
      <c r="R39" s="41" t="str">
        <f aca="false">IF(R38="","",INDEX(Config!$B$5:$B$9,MATCH(R38,Config!$D$5:$D$9,1)))</f>
        <v>Medium</v>
      </c>
      <c r="S39" s="41" t="str">
        <f aca="false">IF(S38="","",INDEX(Config!$B$5:$B$9,MATCH(S38,Config!$D$5:$D$9,1)))</f>
        <v>Medium</v>
      </c>
      <c r="T39" s="41" t="str">
        <f aca="false">IF(T38="","",INDEX(Config!$B$5:$B$9,MATCH(T38,Config!$D$5:$D$9,1)))</f>
        <v>Medium-Low</v>
      </c>
      <c r="U39" s="41" t="str">
        <f aca="false">IF(U38="","",INDEX(Config!$B$5:$B$9,MATCH(U38,Config!$D$5:$D$9,1)))</f>
        <v>Medium</v>
      </c>
      <c r="V39" s="41" t="str">
        <f aca="false">IF(V38="","",INDEX(Config!$B$5:$B$9,MATCH(V38,Config!$D$5:$D$9,1)))</f>
        <v>Medium</v>
      </c>
    </row>
    <row r="40" customFormat="false" ht="15" hidden="false" customHeight="false" outlineLevel="0" collapsed="false">
      <c r="A40" s="3" t="s">
        <v>456</v>
      </c>
      <c r="B40" s="3"/>
      <c r="C40" s="31" t="n">
        <f aca="false">COUNTIF(C6:C35,5)</f>
        <v>1</v>
      </c>
      <c r="D40" s="31" t="n">
        <f aca="false">COUNTIF(D6:D35,5)</f>
        <v>1</v>
      </c>
      <c r="E40" s="31" t="n">
        <f aca="false">COUNTIF(E6:E35,5)</f>
        <v>0</v>
      </c>
      <c r="F40" s="31" t="n">
        <f aca="false">COUNTIF(F6:F35,5)</f>
        <v>0</v>
      </c>
      <c r="G40" s="31" t="n">
        <f aca="false">COUNTIF(G6:G35,5)</f>
        <v>0</v>
      </c>
      <c r="H40" s="31" t="n">
        <f aca="false">COUNTIF(H6:H35,5)</f>
        <v>1</v>
      </c>
      <c r="I40" s="31" t="n">
        <f aca="false">COUNTIF(I6:I35,5)</f>
        <v>0</v>
      </c>
      <c r="J40" s="31" t="n">
        <f aca="false">COUNTIF(J6:J35,5)</f>
        <v>8</v>
      </c>
      <c r="K40" s="31" t="n">
        <f aca="false">COUNTIF(K6:K35,5)</f>
        <v>3</v>
      </c>
      <c r="L40" s="31" t="n">
        <f aca="false">COUNTIF(L6:L35,5)</f>
        <v>3</v>
      </c>
      <c r="M40" s="31" t="n">
        <f aca="false">COUNTIF(M6:M35,5)</f>
        <v>0</v>
      </c>
      <c r="N40" s="31" t="n">
        <f aca="false">COUNTIF(N6:N35,5)</f>
        <v>5</v>
      </c>
      <c r="O40" s="31" t="n">
        <f aca="false">COUNTIF(O6:O35,5)</f>
        <v>2</v>
      </c>
      <c r="P40" s="31" t="n">
        <f aca="false">COUNTIF(P6:P35,5)</f>
        <v>5</v>
      </c>
      <c r="Q40" s="31" t="n">
        <f aca="false">COUNTIF(Q6:Q35,5)</f>
        <v>3</v>
      </c>
      <c r="R40" s="31" t="n">
        <f aca="false">COUNTIF(R6:R35,5)</f>
        <v>6</v>
      </c>
      <c r="S40" s="31" t="n">
        <f aca="false">COUNTIF(S6:S35,5)</f>
        <v>4</v>
      </c>
      <c r="T40" s="31" t="n">
        <f aca="false">COUNTIF(T6:T35,5)</f>
        <v>1</v>
      </c>
      <c r="U40" s="31" t="n">
        <f aca="false">COUNTIF(U6:U35,5)</f>
        <v>2</v>
      </c>
      <c r="V40" s="31" t="n">
        <f aca="false">COUNTIF(V6:V35,5)</f>
        <v>4</v>
      </c>
    </row>
    <row r="41" customFormat="false" ht="15" hidden="false" customHeight="false" outlineLevel="0" collapsed="false">
      <c r="A41" s="3" t="s">
        <v>457</v>
      </c>
      <c r="B41" s="3"/>
      <c r="C41" s="31" t="n">
        <f aca="false">COUNTIF(C6:C35,4)</f>
        <v>6</v>
      </c>
      <c r="D41" s="31" t="n">
        <f aca="false">COUNTIF(D6:D35,4)</f>
        <v>5</v>
      </c>
      <c r="E41" s="31" t="n">
        <f aca="false">COUNTIF(E6:E35,4)</f>
        <v>6</v>
      </c>
      <c r="F41" s="31" t="n">
        <f aca="false">COUNTIF(F6:F35,4)</f>
        <v>6</v>
      </c>
      <c r="G41" s="31" t="n">
        <f aca="false">COUNTIF(G6:G35,4)</f>
        <v>7</v>
      </c>
      <c r="H41" s="31" t="n">
        <f aca="false">COUNTIF(H6:H35,4)</f>
        <v>5</v>
      </c>
      <c r="I41" s="31" t="n">
        <f aca="false">COUNTIF(I6:I35,4)</f>
        <v>7</v>
      </c>
      <c r="J41" s="31" t="n">
        <f aca="false">COUNTIF(J6:J35,4)</f>
        <v>3</v>
      </c>
      <c r="K41" s="31" t="n">
        <f aca="false">COUNTIF(K6:K35,4)</f>
        <v>2</v>
      </c>
      <c r="L41" s="31" t="n">
        <f aca="false">COUNTIF(L6:L35,4)</f>
        <v>6</v>
      </c>
      <c r="M41" s="31" t="n">
        <f aca="false">COUNTIF(M6:M35,4)</f>
        <v>0</v>
      </c>
      <c r="N41" s="31" t="n">
        <f aca="false">COUNTIF(N6:N35,4)</f>
        <v>6</v>
      </c>
      <c r="O41" s="31" t="n">
        <f aca="false">COUNTIF(O6:O35,4)</f>
        <v>5</v>
      </c>
      <c r="P41" s="31" t="n">
        <f aca="false">COUNTIF(P6:P35,4)</f>
        <v>3</v>
      </c>
      <c r="Q41" s="31" t="n">
        <f aca="false">COUNTIF(Q6:Q35,4)</f>
        <v>6</v>
      </c>
      <c r="R41" s="31" t="n">
        <f aca="false">COUNTIF(R6:R35,4)</f>
        <v>4</v>
      </c>
      <c r="S41" s="31" t="n">
        <f aca="false">COUNTIF(S6:S35,4)</f>
        <v>5</v>
      </c>
      <c r="T41" s="31" t="n">
        <f aca="false">COUNTIF(T6:T35,4)</f>
        <v>4</v>
      </c>
      <c r="U41" s="31" t="n">
        <f aca="false">COUNTIF(U6:U35,4)</f>
        <v>7</v>
      </c>
      <c r="V41" s="31" t="n">
        <f aca="false">COUNTIF(V6:V35,4)</f>
        <v>3</v>
      </c>
    </row>
  </sheetData>
  <mergeCells count="5">
    <mergeCell ref="A37:B37"/>
    <mergeCell ref="A38:B38"/>
    <mergeCell ref="A39:B39"/>
    <mergeCell ref="A40:B40"/>
    <mergeCell ref="A41:B41"/>
  </mergeCells>
  <conditionalFormatting sqref="C6:X38">
    <cfRule type="expression" priority="2" aboveAverage="0" equalAverage="0" bottom="0" percent="0" rank="0" text="" dxfId="0">
      <formula>AND(ISNUMBER(C6),C6&gt;0,C6&lt;1.81)</formula>
    </cfRule>
    <cfRule type="expression" priority="3" aboveAverage="0" equalAverage="0" bottom="0" percent="0" rank="0" text="" dxfId="1">
      <formula>AND(ISNUMBER(C6),C6&gt;0,AND(C6&gt;=1.81,C6&lt;2.61))</formula>
    </cfRule>
    <cfRule type="expression" priority="4" aboveAverage="0" equalAverage="0" bottom="0" percent="0" rank="0" text="" dxfId="2">
      <formula>AND(ISNUMBER(C6),C6&gt;0,AND(C6&gt;=2.61,C6&lt;3.41))</formula>
    </cfRule>
    <cfRule type="expression" priority="5" aboveAverage="0" equalAverage="0" bottom="0" percent="0" rank="0" text="" dxfId="3">
      <formula>AND(ISNUMBER(C6),C6&gt;0,AND(C6&gt;=3.41,C6&lt;4.21))</formula>
    </cfRule>
    <cfRule type="expression" priority="6" aboveAverage="0" equalAverage="0" bottom="0" percent="0" rank="0" text="" dxfId="4">
      <formula>AND(ISNUMBER(C6),C6&gt;0,C6&gt;=4.21)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458</v>
      </c>
    </row>
    <row r="2" customFormat="false" ht="15" hidden="false" customHeight="false" outlineLevel="0" collapsed="false">
      <c r="A2" s="2" t="s">
        <v>459</v>
      </c>
    </row>
    <row r="4" customFormat="false" ht="15" hidden="false" customHeight="false" outlineLevel="0" collapsed="false">
      <c r="A4" s="3" t="s">
        <v>460</v>
      </c>
      <c r="C4" s="34" t="n">
        <f aca="false">COUNTA(Entities!A5:A34)</f>
        <v>30</v>
      </c>
    </row>
    <row r="5" customFormat="false" ht="15" hidden="false" customHeight="false" outlineLevel="0" collapsed="false">
      <c r="A5" s="3" t="s">
        <v>461</v>
      </c>
      <c r="C5" s="34" t="n">
        <f aca="false">COUNTIF('Inherent Summary'!C6:V35,5)</f>
        <v>49</v>
      </c>
    </row>
    <row r="6" customFormat="false" ht="15" hidden="false" customHeight="false" outlineLevel="0" collapsed="false">
      <c r="A6" s="3" t="s">
        <v>462</v>
      </c>
      <c r="C6" s="34" t="n">
        <f aca="false">COUNTIF('Inherent Summary'!C6:V35,4)</f>
        <v>96</v>
      </c>
    </row>
    <row r="7" customFormat="false" ht="15" hidden="false" customHeight="false" outlineLevel="0" collapsed="false">
      <c r="A7" s="3" t="s">
        <v>463</v>
      </c>
      <c r="C7" s="40" t="n">
        <f aca="false">AVERAGE('Inherent Summary'!C38:V38)</f>
        <v>2.79464285714286</v>
      </c>
    </row>
    <row r="8" customFormat="false" ht="15" hidden="false" customHeight="false" outlineLevel="0" collapsed="false">
      <c r="A8" s="3" t="s">
        <v>464</v>
      </c>
      <c r="C8" s="34" t="n">
        <f aca="false">COUNTIF('FC Calculation'!V5:V214,"Pending HO approval")+COUNTIF('LxI Assessment'!U5:U394,"Pending HO approval")</f>
        <v>1</v>
      </c>
    </row>
    <row r="9" customFormat="false" ht="15" hidden="false" customHeight="false" outlineLevel="0" collapsed="false">
      <c r="A9" s="3" t="s">
        <v>465</v>
      </c>
      <c r="C9" s="34" t="n">
        <f aca="false">COUNTIF('FC Calculation'!V5:V214,"Applied")+COUNTIF('LxI Assessment'!U5:U394,"Applied")</f>
        <v>2</v>
      </c>
    </row>
    <row r="10" customFormat="false" ht="15" hidden="false" customHeight="false" outlineLevel="0" collapsed="false">
      <c r="A10" s="3" t="s">
        <v>466</v>
      </c>
      <c r="C10" s="42" t="str">
        <f aca="false">Checks!C4</f>
        <v>OK with warnings</v>
      </c>
    </row>
    <row r="13" customFormat="false" ht="30" hidden="false" customHeight="true" outlineLevel="0" collapsed="false">
      <c r="A13" s="5" t="s">
        <v>225</v>
      </c>
      <c r="B13" s="5" t="s">
        <v>300</v>
      </c>
      <c r="C13" s="5" t="s">
        <v>467</v>
      </c>
      <c r="D13" s="5" t="s">
        <v>468</v>
      </c>
      <c r="E13" s="5" t="s">
        <v>469</v>
      </c>
      <c r="F13" s="5" t="s">
        <v>470</v>
      </c>
      <c r="G13" s="5" t="s">
        <v>471</v>
      </c>
      <c r="H13" s="5" t="s">
        <v>472</v>
      </c>
    </row>
    <row r="14" customFormat="false" ht="15" hidden="false" customHeight="false" outlineLevel="0" collapsed="false">
      <c r="A14" s="12" t="s">
        <v>233</v>
      </c>
      <c r="B14" s="12" t="s">
        <v>234</v>
      </c>
      <c r="C14" s="43" t="n">
        <f aca="false">'Inherent Summary'!C38</f>
        <v>2.75</v>
      </c>
      <c r="D14" s="31" t="n">
        <f aca="false">COUNTIF('Inherent Summary'!C6:C35,1)</f>
        <v>5</v>
      </c>
      <c r="E14" s="31" t="n">
        <f aca="false">COUNTIF('Inherent Summary'!C6:C35,2)</f>
        <v>6</v>
      </c>
      <c r="F14" s="31" t="n">
        <f aca="false">COUNTIF('Inherent Summary'!C6:C35,3)</f>
        <v>12</v>
      </c>
      <c r="G14" s="31" t="n">
        <f aca="false">COUNTIF('Inherent Summary'!C6:C35,4)</f>
        <v>6</v>
      </c>
      <c r="H14" s="31" t="n">
        <f aca="false">COUNTIF('Inherent Summary'!C6:C35,5)</f>
        <v>1</v>
      </c>
    </row>
    <row r="15" customFormat="false" ht="15" hidden="false" customHeight="false" outlineLevel="0" collapsed="false">
      <c r="A15" s="12" t="s">
        <v>240</v>
      </c>
      <c r="B15" s="12" t="s">
        <v>241</v>
      </c>
      <c r="C15" s="43" t="n">
        <f aca="false">'Inherent Summary'!D38</f>
        <v>2.67857142857143</v>
      </c>
      <c r="D15" s="31" t="n">
        <f aca="false">COUNTIF('Inherent Summary'!D6:D35,1)</f>
        <v>6</v>
      </c>
      <c r="E15" s="31" t="n">
        <f aca="false">COUNTIF('Inherent Summary'!D6:D35,2)</f>
        <v>7</v>
      </c>
      <c r="F15" s="31" t="n">
        <f aca="false">COUNTIF('Inherent Summary'!D6:D35,3)</f>
        <v>11</v>
      </c>
      <c r="G15" s="31" t="n">
        <f aca="false">COUNTIF('Inherent Summary'!D6:D35,4)</f>
        <v>5</v>
      </c>
      <c r="H15" s="31" t="n">
        <f aca="false">COUNTIF('Inherent Summary'!D6:D35,5)</f>
        <v>1</v>
      </c>
    </row>
    <row r="16" customFormat="false" ht="15" hidden="false" customHeight="false" outlineLevel="0" collapsed="false">
      <c r="A16" s="12" t="s">
        <v>243</v>
      </c>
      <c r="B16" s="12" t="s">
        <v>244</v>
      </c>
      <c r="C16" s="43" t="n">
        <f aca="false">'Inherent Summary'!E38</f>
        <v>2.66071428571429</v>
      </c>
      <c r="D16" s="31" t="n">
        <f aca="false">COUNTIF('Inherent Summary'!E6:E35,1)</f>
        <v>4</v>
      </c>
      <c r="E16" s="31" t="n">
        <f aca="false">COUNTIF('Inherent Summary'!E6:E35,2)</f>
        <v>9</v>
      </c>
      <c r="F16" s="31" t="n">
        <f aca="false">COUNTIF('Inherent Summary'!E6:E35,3)</f>
        <v>11</v>
      </c>
      <c r="G16" s="31" t="n">
        <f aca="false">COUNTIF('Inherent Summary'!E6:E35,4)</f>
        <v>6</v>
      </c>
      <c r="H16" s="31" t="n">
        <f aca="false">COUNTIF('Inherent Summary'!E6:E35,5)</f>
        <v>0</v>
      </c>
    </row>
    <row r="17" customFormat="false" ht="15" hidden="false" customHeight="false" outlineLevel="0" collapsed="false">
      <c r="A17" s="12" t="s">
        <v>245</v>
      </c>
      <c r="B17" s="12" t="s">
        <v>246</v>
      </c>
      <c r="C17" s="43" t="n">
        <f aca="false">'Inherent Summary'!F38</f>
        <v>2.75</v>
      </c>
      <c r="D17" s="31" t="n">
        <f aca="false">COUNTIF('Inherent Summary'!F6:F35,1)</f>
        <v>4</v>
      </c>
      <c r="E17" s="31" t="n">
        <f aca="false">COUNTIF('Inherent Summary'!F6:F35,2)</f>
        <v>7</v>
      </c>
      <c r="F17" s="31" t="n">
        <f aca="false">COUNTIF('Inherent Summary'!F6:F35,3)</f>
        <v>13</v>
      </c>
      <c r="G17" s="31" t="n">
        <f aca="false">COUNTIF('Inherent Summary'!F6:F35,4)</f>
        <v>6</v>
      </c>
      <c r="H17" s="31" t="n">
        <f aca="false">COUNTIF('Inherent Summary'!F6:F35,5)</f>
        <v>0</v>
      </c>
    </row>
    <row r="18" customFormat="false" ht="15" hidden="false" customHeight="false" outlineLevel="0" collapsed="false">
      <c r="A18" s="12" t="s">
        <v>248</v>
      </c>
      <c r="B18" s="12" t="s">
        <v>249</v>
      </c>
      <c r="C18" s="43" t="n">
        <f aca="false">'Inherent Summary'!G38</f>
        <v>2.71428571428571</v>
      </c>
      <c r="D18" s="31" t="n">
        <f aca="false">COUNTIF('Inherent Summary'!G6:G35,1)</f>
        <v>4</v>
      </c>
      <c r="E18" s="31" t="n">
        <f aca="false">COUNTIF('Inherent Summary'!G6:G35,2)</f>
        <v>9</v>
      </c>
      <c r="F18" s="31" t="n">
        <f aca="false">COUNTIF('Inherent Summary'!G6:G35,3)</f>
        <v>10</v>
      </c>
      <c r="G18" s="31" t="n">
        <f aca="false">COUNTIF('Inherent Summary'!G6:G35,4)</f>
        <v>7</v>
      </c>
      <c r="H18" s="31" t="n">
        <f aca="false">COUNTIF('Inherent Summary'!G6:G35,5)</f>
        <v>0</v>
      </c>
    </row>
    <row r="19" customFormat="false" ht="15" hidden="false" customHeight="false" outlineLevel="0" collapsed="false">
      <c r="A19" s="12" t="s">
        <v>251</v>
      </c>
      <c r="B19" s="12" t="s">
        <v>252</v>
      </c>
      <c r="C19" s="43" t="n">
        <f aca="false">'Inherent Summary'!H38</f>
        <v>2.75</v>
      </c>
      <c r="D19" s="31" t="n">
        <f aca="false">COUNTIF('Inherent Summary'!H6:H35,1)</f>
        <v>4</v>
      </c>
      <c r="E19" s="31" t="n">
        <f aca="false">COUNTIF('Inherent Summary'!H6:H35,2)</f>
        <v>8</v>
      </c>
      <c r="F19" s="31" t="n">
        <f aca="false">COUNTIF('Inherent Summary'!H6:H35,3)</f>
        <v>12</v>
      </c>
      <c r="G19" s="31" t="n">
        <f aca="false">COUNTIF('Inherent Summary'!H6:H35,4)</f>
        <v>5</v>
      </c>
      <c r="H19" s="31" t="n">
        <f aca="false">COUNTIF('Inherent Summary'!H6:H35,5)</f>
        <v>1</v>
      </c>
    </row>
    <row r="20" customFormat="false" ht="15" hidden="false" customHeight="false" outlineLevel="0" collapsed="false">
      <c r="A20" s="12" t="s">
        <v>254</v>
      </c>
      <c r="B20" s="12" t="s">
        <v>255</v>
      </c>
      <c r="C20" s="43" t="n">
        <f aca="false">'Inherent Summary'!I38</f>
        <v>2.78571428571429</v>
      </c>
      <c r="D20" s="31" t="n">
        <f aca="false">COUNTIF('Inherent Summary'!I6:I35,1)</f>
        <v>4</v>
      </c>
      <c r="E20" s="31" t="n">
        <f aca="false">COUNTIF('Inherent Summary'!I6:I35,2)</f>
        <v>6</v>
      </c>
      <c r="F20" s="31" t="n">
        <f aca="false">COUNTIF('Inherent Summary'!I6:I35,3)</f>
        <v>13</v>
      </c>
      <c r="G20" s="31" t="n">
        <f aca="false">COUNTIF('Inherent Summary'!I6:I35,4)</f>
        <v>7</v>
      </c>
      <c r="H20" s="31" t="n">
        <f aca="false">COUNTIF('Inherent Summary'!I6:I35,5)</f>
        <v>0</v>
      </c>
    </row>
    <row r="21" customFormat="false" ht="15" hidden="false" customHeight="false" outlineLevel="0" collapsed="false">
      <c r="A21" s="12" t="s">
        <v>257</v>
      </c>
      <c r="B21" s="12" t="s">
        <v>258</v>
      </c>
      <c r="C21" s="43" t="n">
        <f aca="false">'Inherent Summary'!J38</f>
        <v>3.21428571428571</v>
      </c>
      <c r="D21" s="31" t="n">
        <f aca="false">COUNTIF('Inherent Summary'!J6:J35,1)</f>
        <v>5</v>
      </c>
      <c r="E21" s="31" t="n">
        <f aca="false">COUNTIF('Inherent Summary'!J6:J35,2)</f>
        <v>3</v>
      </c>
      <c r="F21" s="31" t="n">
        <f aca="false">COUNTIF('Inherent Summary'!J6:J35,3)</f>
        <v>11</v>
      </c>
      <c r="G21" s="31" t="n">
        <f aca="false">COUNTIF('Inherent Summary'!J6:J35,4)</f>
        <v>3</v>
      </c>
      <c r="H21" s="31" t="n">
        <f aca="false">COUNTIF('Inherent Summary'!J6:J35,5)</f>
        <v>8</v>
      </c>
    </row>
    <row r="22" customFormat="false" ht="15" hidden="false" customHeight="false" outlineLevel="0" collapsed="false">
      <c r="A22" s="12" t="s">
        <v>261</v>
      </c>
      <c r="B22" s="12" t="s">
        <v>262</v>
      </c>
      <c r="C22" s="43" t="n">
        <f aca="false">'Inherent Summary'!K38</f>
        <v>2.73214285714286</v>
      </c>
      <c r="D22" s="31" t="n">
        <f aca="false">COUNTIF('Inherent Summary'!K6:K35,1)</f>
        <v>6</v>
      </c>
      <c r="E22" s="31" t="n">
        <f aca="false">COUNTIF('Inherent Summary'!K6:K35,2)</f>
        <v>6</v>
      </c>
      <c r="F22" s="31" t="n">
        <f aca="false">COUNTIF('Inherent Summary'!K6:K35,3)</f>
        <v>13</v>
      </c>
      <c r="G22" s="31" t="n">
        <f aca="false">COUNTIF('Inherent Summary'!K6:K35,4)</f>
        <v>2</v>
      </c>
      <c r="H22" s="31" t="n">
        <f aca="false">COUNTIF('Inherent Summary'!K6:K35,5)</f>
        <v>3</v>
      </c>
    </row>
    <row r="23" customFormat="false" ht="15" hidden="false" customHeight="false" outlineLevel="0" collapsed="false">
      <c r="A23" s="12" t="s">
        <v>263</v>
      </c>
      <c r="B23" s="12" t="s">
        <v>264</v>
      </c>
      <c r="C23" s="43" t="n">
        <f aca="false">'Inherent Summary'!L38</f>
        <v>2.80357142857143</v>
      </c>
      <c r="D23" s="31" t="n">
        <f aca="false">COUNTIF('Inherent Summary'!L6:L35,1)</f>
        <v>5</v>
      </c>
      <c r="E23" s="31" t="n">
        <f aca="false">COUNTIF('Inherent Summary'!L6:L35,2)</f>
        <v>8</v>
      </c>
      <c r="F23" s="31" t="n">
        <f aca="false">COUNTIF('Inherent Summary'!L6:L35,3)</f>
        <v>8</v>
      </c>
      <c r="G23" s="31" t="n">
        <f aca="false">COUNTIF('Inherent Summary'!L6:L35,4)</f>
        <v>6</v>
      </c>
      <c r="H23" s="31" t="n">
        <f aca="false">COUNTIF('Inherent Summary'!L6:L35,5)</f>
        <v>3</v>
      </c>
    </row>
    <row r="24" customFormat="false" ht="15" hidden="false" customHeight="false" outlineLevel="0" collapsed="false">
      <c r="A24" s="12" t="s">
        <v>266</v>
      </c>
      <c r="B24" s="12" t="s">
        <v>267</v>
      </c>
      <c r="C24" s="43" t="n">
        <f aca="false">'Inherent Summary'!M38</f>
        <v>2</v>
      </c>
      <c r="D24" s="31" t="n">
        <f aca="false">COUNTIF('Inherent Summary'!M6:M35,1)</f>
        <v>0</v>
      </c>
      <c r="E24" s="31" t="n">
        <f aca="false">COUNTIF('Inherent Summary'!M6:M35,2)</f>
        <v>1</v>
      </c>
      <c r="F24" s="31" t="n">
        <f aca="false">COUNTIF('Inherent Summary'!M6:M35,3)</f>
        <v>0</v>
      </c>
      <c r="G24" s="31" t="n">
        <f aca="false">COUNTIF('Inherent Summary'!M6:M35,4)</f>
        <v>0</v>
      </c>
      <c r="H24" s="31" t="n">
        <f aca="false">COUNTIF('Inherent Summary'!M6:M35,5)</f>
        <v>0</v>
      </c>
    </row>
    <row r="25" customFormat="false" ht="15" hidden="false" customHeight="false" outlineLevel="0" collapsed="false">
      <c r="A25" s="12" t="s">
        <v>270</v>
      </c>
      <c r="B25" s="12" t="s">
        <v>271</v>
      </c>
      <c r="C25" s="43" t="n">
        <f aca="false">'Inherent Summary'!N38</f>
        <v>3.07142857142857</v>
      </c>
      <c r="D25" s="31" t="n">
        <f aca="false">COUNTIF('Inherent Summary'!N6:N35,1)</f>
        <v>3</v>
      </c>
      <c r="E25" s="31" t="n">
        <f aca="false">COUNTIF('Inherent Summary'!N6:N35,2)</f>
        <v>7</v>
      </c>
      <c r="F25" s="31" t="n">
        <f aca="false">COUNTIF('Inherent Summary'!N6:N35,3)</f>
        <v>9</v>
      </c>
      <c r="G25" s="31" t="n">
        <f aca="false">COUNTIF('Inherent Summary'!N6:N35,4)</f>
        <v>6</v>
      </c>
      <c r="H25" s="31" t="n">
        <f aca="false">COUNTIF('Inherent Summary'!N6:N35,5)</f>
        <v>5</v>
      </c>
    </row>
    <row r="26" customFormat="false" ht="15" hidden="false" customHeight="false" outlineLevel="0" collapsed="false">
      <c r="A26" s="12" t="s">
        <v>275</v>
      </c>
      <c r="B26" s="12" t="s">
        <v>276</v>
      </c>
      <c r="C26" s="43" t="n">
        <f aca="false">'Inherent Summary'!O38</f>
        <v>2.83928571428571</v>
      </c>
      <c r="D26" s="31" t="n">
        <f aca="false">COUNTIF('Inherent Summary'!O6:O35,1)</f>
        <v>3</v>
      </c>
      <c r="E26" s="31" t="n">
        <f aca="false">COUNTIF('Inherent Summary'!O6:O35,2)</f>
        <v>9</v>
      </c>
      <c r="F26" s="31" t="n">
        <f aca="false">COUNTIF('Inherent Summary'!O6:O35,3)</f>
        <v>11</v>
      </c>
      <c r="G26" s="31" t="n">
        <f aca="false">COUNTIF('Inherent Summary'!O6:O35,4)</f>
        <v>5</v>
      </c>
      <c r="H26" s="31" t="n">
        <f aca="false">COUNTIF('Inherent Summary'!O6:O35,5)</f>
        <v>2</v>
      </c>
    </row>
    <row r="27" customFormat="false" ht="15" hidden="false" customHeight="false" outlineLevel="0" collapsed="false">
      <c r="A27" s="12" t="s">
        <v>277</v>
      </c>
      <c r="B27" s="12" t="s">
        <v>278</v>
      </c>
      <c r="C27" s="43" t="n">
        <f aca="false">'Inherent Summary'!P38</f>
        <v>2.98214285714286</v>
      </c>
      <c r="D27" s="31" t="n">
        <f aca="false">COUNTIF('Inherent Summary'!P6:P35,1)</f>
        <v>3</v>
      </c>
      <c r="E27" s="31" t="n">
        <f aca="false">COUNTIF('Inherent Summary'!P6:P35,2)</f>
        <v>8</v>
      </c>
      <c r="F27" s="31" t="n">
        <f aca="false">COUNTIF('Inherent Summary'!P6:P35,3)</f>
        <v>11</v>
      </c>
      <c r="G27" s="31" t="n">
        <f aca="false">COUNTIF('Inherent Summary'!P6:P35,4)</f>
        <v>3</v>
      </c>
      <c r="H27" s="31" t="n">
        <f aca="false">COUNTIF('Inherent Summary'!P6:P35,5)</f>
        <v>5</v>
      </c>
    </row>
    <row r="28" customFormat="false" ht="15" hidden="false" customHeight="false" outlineLevel="0" collapsed="false">
      <c r="A28" s="12" t="s">
        <v>280</v>
      </c>
      <c r="B28" s="12" t="s">
        <v>281</v>
      </c>
      <c r="C28" s="43" t="n">
        <f aca="false">'Inherent Summary'!Q38</f>
        <v>3.05357142857143</v>
      </c>
      <c r="D28" s="31" t="n">
        <f aca="false">COUNTIF('Inherent Summary'!Q6:Q35,1)</f>
        <v>2</v>
      </c>
      <c r="E28" s="31" t="n">
        <f aca="false">COUNTIF('Inherent Summary'!Q6:Q35,2)</f>
        <v>6</v>
      </c>
      <c r="F28" s="31" t="n">
        <f aca="false">COUNTIF('Inherent Summary'!Q6:Q35,3)</f>
        <v>13</v>
      </c>
      <c r="G28" s="31" t="n">
        <f aca="false">COUNTIF('Inherent Summary'!Q6:Q35,4)</f>
        <v>6</v>
      </c>
      <c r="H28" s="31" t="n">
        <f aca="false">COUNTIF('Inherent Summary'!Q6:Q35,5)</f>
        <v>3</v>
      </c>
    </row>
    <row r="29" customFormat="false" ht="15" hidden="false" customHeight="false" outlineLevel="0" collapsed="false">
      <c r="A29" s="12" t="s">
        <v>283</v>
      </c>
      <c r="B29" s="12" t="s">
        <v>284</v>
      </c>
      <c r="C29" s="43" t="n">
        <f aca="false">'Inherent Summary'!R38</f>
        <v>3.16071428571429</v>
      </c>
      <c r="D29" s="31" t="n">
        <f aca="false">COUNTIF('Inherent Summary'!R6:R35,1)</f>
        <v>5</v>
      </c>
      <c r="E29" s="31" t="n">
        <f aca="false">COUNTIF('Inherent Summary'!R6:R35,2)</f>
        <v>2</v>
      </c>
      <c r="F29" s="31" t="n">
        <f aca="false">COUNTIF('Inherent Summary'!R6:R35,3)</f>
        <v>13</v>
      </c>
      <c r="G29" s="31" t="n">
        <f aca="false">COUNTIF('Inherent Summary'!R6:R35,4)</f>
        <v>4</v>
      </c>
      <c r="H29" s="31" t="n">
        <f aca="false">COUNTIF('Inherent Summary'!R6:R35,5)</f>
        <v>6</v>
      </c>
    </row>
    <row r="30" customFormat="false" ht="15" hidden="false" customHeight="false" outlineLevel="0" collapsed="false">
      <c r="A30" s="12" t="s">
        <v>286</v>
      </c>
      <c r="B30" s="12" t="s">
        <v>287</v>
      </c>
      <c r="C30" s="43" t="n">
        <f aca="false">'Inherent Summary'!S38</f>
        <v>2.82142857142857</v>
      </c>
      <c r="D30" s="31" t="n">
        <f aca="false">COUNTIF('Inherent Summary'!S6:S35,1)</f>
        <v>6</v>
      </c>
      <c r="E30" s="31" t="n">
        <f aca="false">COUNTIF('Inherent Summary'!S6:S35,2)</f>
        <v>5</v>
      </c>
      <c r="F30" s="31" t="n">
        <f aca="false">COUNTIF('Inherent Summary'!S6:S35,3)</f>
        <v>10</v>
      </c>
      <c r="G30" s="31" t="n">
        <f aca="false">COUNTIF('Inherent Summary'!S6:S35,4)</f>
        <v>5</v>
      </c>
      <c r="H30" s="31" t="n">
        <f aca="false">COUNTIF('Inherent Summary'!S6:S35,5)</f>
        <v>4</v>
      </c>
    </row>
    <row r="31" customFormat="false" ht="15" hidden="false" customHeight="false" outlineLevel="0" collapsed="false">
      <c r="A31" s="12" t="s">
        <v>289</v>
      </c>
      <c r="B31" s="12" t="s">
        <v>290</v>
      </c>
      <c r="C31" s="43" t="n">
        <f aca="false">'Inherent Summary'!T38</f>
        <v>2.44642857142857</v>
      </c>
      <c r="D31" s="31" t="n">
        <f aca="false">COUNTIF('Inherent Summary'!T6:T35,1)</f>
        <v>6</v>
      </c>
      <c r="E31" s="31" t="n">
        <f aca="false">COUNTIF('Inherent Summary'!T6:T35,2)</f>
        <v>9</v>
      </c>
      <c r="F31" s="31" t="n">
        <f aca="false">COUNTIF('Inherent Summary'!T6:T35,3)</f>
        <v>10</v>
      </c>
      <c r="G31" s="31" t="n">
        <f aca="false">COUNTIF('Inherent Summary'!T6:T35,4)</f>
        <v>4</v>
      </c>
      <c r="H31" s="31" t="n">
        <f aca="false">COUNTIF('Inherent Summary'!T6:T35,5)</f>
        <v>1</v>
      </c>
    </row>
    <row r="32" customFormat="false" ht="15" hidden="false" customHeight="false" outlineLevel="0" collapsed="false">
      <c r="A32" s="12" t="s">
        <v>292</v>
      </c>
      <c r="B32" s="12" t="s">
        <v>293</v>
      </c>
      <c r="C32" s="43" t="n">
        <f aca="false">'Inherent Summary'!U38</f>
        <v>2.98214285714286</v>
      </c>
      <c r="D32" s="31" t="n">
        <f aca="false">COUNTIF('Inherent Summary'!U6:U35,1)</f>
        <v>1</v>
      </c>
      <c r="E32" s="31" t="n">
        <f aca="false">COUNTIF('Inherent Summary'!U6:U35,2)</f>
        <v>10</v>
      </c>
      <c r="F32" s="31" t="n">
        <f aca="false">COUNTIF('Inherent Summary'!U6:U35,3)</f>
        <v>10</v>
      </c>
      <c r="G32" s="31" t="n">
        <f aca="false">COUNTIF('Inherent Summary'!U6:U35,4)</f>
        <v>7</v>
      </c>
      <c r="H32" s="31" t="n">
        <f aca="false">COUNTIF('Inherent Summary'!U6:U35,5)</f>
        <v>2</v>
      </c>
    </row>
    <row r="33" customFormat="false" ht="15" hidden="false" customHeight="false" outlineLevel="0" collapsed="false">
      <c r="A33" s="12" t="s">
        <v>295</v>
      </c>
      <c r="B33" s="12" t="s">
        <v>296</v>
      </c>
      <c r="C33" s="43" t="n">
        <f aca="false">'Inherent Summary'!V38</f>
        <v>2.69642857142857</v>
      </c>
      <c r="D33" s="31" t="n">
        <f aca="false">COUNTIF('Inherent Summary'!V6:V35,1)</f>
        <v>6</v>
      </c>
      <c r="E33" s="31" t="n">
        <f aca="false">COUNTIF('Inherent Summary'!V6:V35,2)</f>
        <v>9</v>
      </c>
      <c r="F33" s="31" t="n">
        <f aca="false">COUNTIF('Inherent Summary'!V6:V35,3)</f>
        <v>8</v>
      </c>
      <c r="G33" s="31" t="n">
        <f aca="false">COUNTIF('Inherent Summary'!V6:V35,4)</f>
        <v>3</v>
      </c>
      <c r="H33" s="31" t="n">
        <f aca="false">COUNTIF('Inherent Summary'!V6:V35,5)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6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2"/>
    <col collapsed="false" customWidth="true" hidden="false" outlineLevel="0" max="10" min="6" style="0" width="13"/>
  </cols>
  <sheetData>
    <row r="1" customFormat="false" ht="17.35" hidden="false" customHeight="false" outlineLevel="0" collapsed="false">
      <c r="A1" s="1" t="s">
        <v>466</v>
      </c>
    </row>
    <row r="2" customFormat="false" ht="15" hidden="false" customHeight="false" outlineLevel="0" collapsed="false">
      <c r="A2" s="2" t="s">
        <v>473</v>
      </c>
    </row>
    <row r="4" customFormat="false" ht="15" hidden="false" customHeight="false" outlineLevel="0" collapsed="false">
      <c r="A4" s="3" t="s">
        <v>474</v>
      </c>
      <c r="C4" s="35" t="str">
        <f aca="false">IF(COUNTIF(C7:C16,"FAIL")&gt;0,"FAIL",IF(COUNTIF(C7:C16,"WARN")&gt;0,"OK with warnings","OK"))</f>
        <v>OK with warnings</v>
      </c>
    </row>
    <row r="6" customFormat="false" ht="15" hidden="false" customHeight="false" outlineLevel="0" collapsed="false">
      <c r="A6" s="5" t="s">
        <v>475</v>
      </c>
      <c r="B6" s="5" t="s">
        <v>302</v>
      </c>
      <c r="C6" s="5" t="s">
        <v>476</v>
      </c>
      <c r="D6" s="5" t="s">
        <v>477</v>
      </c>
    </row>
    <row r="7" customFormat="false" ht="15" hidden="false" customHeight="false" outlineLevel="0" collapsed="false">
      <c r="A7" s="7" t="n">
        <v>1</v>
      </c>
      <c r="B7" s="12" t="s">
        <v>478</v>
      </c>
      <c r="C7" s="35" t="str">
        <f aca="false">IF(COUNTIF('Factor Weights'!I5:I11,"OK")=7,"OK","FAIL")</f>
        <v>OK</v>
      </c>
      <c r="D7" s="12" t="str">
        <f aca="false">7-COUNTIF('Factor Weights'!I5:I11,"OK")&amp;" risk(s) not at 100%"</f>
        <v>0 risk(s) not at 100%</v>
      </c>
    </row>
    <row r="8" customFormat="false" ht="15" hidden="false" customHeight="false" outlineLevel="0" collapsed="false">
      <c r="A8" s="7" t="n">
        <v>2</v>
      </c>
      <c r="B8" s="12" t="s">
        <v>479</v>
      </c>
      <c r="C8" s="35" t="str">
        <f aca="false">IF(COUNTIF(Indicators!R5:R35,"OK")=31,"OK","FAIL")</f>
        <v>OK</v>
      </c>
      <c r="D8" s="12" t="str">
        <f aca="false">31-COUNTIF(Indicators!R5:R35,"OK")&amp;" indicator(s) to fix"</f>
        <v>0 indicator(s) to fix</v>
      </c>
    </row>
    <row r="9" customFormat="false" ht="15" hidden="false" customHeight="false" outlineLevel="0" collapsed="false">
      <c r="A9" s="7" t="n">
        <v>3</v>
      </c>
      <c r="B9" s="12" t="s">
        <v>480</v>
      </c>
      <c r="C9" s="35" t="str">
        <f aca="false">IF(COUNTIF(F27:J33,"Gap")=0,"OK","FAIL")</f>
        <v>OK</v>
      </c>
      <c r="D9" s="12" t="str">
        <f aca="false">COUNTIF(F27:J33,"Gap")&amp;" gap(s) – see coverage grid below"</f>
        <v>0 gap(s) – see coverage grid below</v>
      </c>
    </row>
    <row r="10" customFormat="false" ht="15" hidden="false" customHeight="false" outlineLevel="0" collapsed="false">
      <c r="A10" s="7" t="n">
        <v>4</v>
      </c>
      <c r="B10" s="12" t="s">
        <v>481</v>
      </c>
      <c r="C10" s="35" t="str">
        <f aca="false">IF(ROUND(Config!C24,4)=1,"OK","FAIL")</f>
        <v>OK</v>
      </c>
      <c r="D10" s="12" t="str">
        <f aca="false">TEXT(Config!C24,"0%")</f>
        <v>100%</v>
      </c>
    </row>
    <row r="11" customFormat="false" ht="15" hidden="false" customHeight="false" outlineLevel="0" collapsed="false">
      <c r="A11" s="7" t="n">
        <v>5</v>
      </c>
      <c r="B11" s="12" t="s">
        <v>482</v>
      </c>
      <c r="C11" s="35" t="str">
        <f aca="false">IF(AND(Config!D5&lt;Config!D6,Config!D6&lt;Config!D7,Config!D7&lt;Config!D8,Config!D8&lt;Config!D9,Config!E5&lt;Config!E6,Config!E6&lt;Config!E7,Config!E7&lt;Config!E8,Config!E8&lt;Config!E9),"OK","FAIL")</f>
        <v>OK</v>
      </c>
      <c r="D11" s="12" t="str">
        <f aca="false">"Factor and L×I bands"</f>
        <v>Factor and L×I bands</v>
      </c>
    </row>
    <row r="12" customFormat="false" ht="15" hidden="false" customHeight="false" outlineLevel="0" collapsed="false">
      <c r="A12" s="7" t="n">
        <v>6</v>
      </c>
      <c r="B12" s="12" t="s">
        <v>483</v>
      </c>
      <c r="C12" s="35" t="str">
        <f aca="false">IF(COUNTBLANK('Indicator Data'!D5:AG35)=0,"OK","WARN")</f>
        <v>WARN</v>
      </c>
      <c r="D12" s="12" t="str">
        <f aca="false">COUNTBLANK('Indicator Data'!D5:AG35)&amp;" blank value(s)"</f>
        <v>2 blank value(s)</v>
      </c>
    </row>
    <row r="13" customFormat="false" ht="15" hidden="false" customHeight="false" outlineLevel="0" collapsed="false">
      <c r="A13" s="7" t="n">
        <v>7</v>
      </c>
      <c r="B13" s="12" t="s">
        <v>484</v>
      </c>
      <c r="C13" s="35" t="str">
        <f aca="false">IF(COUNTIF('FC Calculation'!U5:U214,"No data")=0,"OK","FAIL")</f>
        <v>OK</v>
      </c>
      <c r="D13" s="12" t="str">
        <f aca="false">COUNTIF('FC Calculation'!U5:U214,"No data")&amp;" row(s)"</f>
        <v>0 row(s)</v>
      </c>
    </row>
    <row r="14" customFormat="false" ht="15" hidden="false" customHeight="false" outlineLevel="0" collapsed="false">
      <c r="A14" s="7" t="n">
        <v>8</v>
      </c>
      <c r="B14" s="12" t="s">
        <v>485</v>
      </c>
      <c r="C14" s="35" t="str">
        <f aca="false">IF(COUNTIF('LxI Assessment'!T5:T394,"Not assessed")=0,"OK","WARN")</f>
        <v>OK</v>
      </c>
      <c r="D14" s="12" t="str">
        <f aca="false">COUNTIF('LxI Assessment'!T5:T394,"Not assessed")&amp;" row(s)"</f>
        <v>0 row(s)</v>
      </c>
    </row>
    <row r="15" customFormat="false" ht="15" hidden="false" customHeight="false" outlineLevel="0" collapsed="false">
      <c r="A15" s="7" t="n">
        <v>9</v>
      </c>
      <c r="B15" s="12" t="s">
        <v>464</v>
      </c>
      <c r="C15" s="35" t="str">
        <f aca="false">IF(Dashboard!C8=0,"OK","WARN")</f>
        <v>WARN</v>
      </c>
      <c r="D15" s="12" t="str">
        <f aca="false">Dashboard!C8&amp;" pending"</f>
        <v>1 pending</v>
      </c>
    </row>
    <row r="16" customFormat="false" ht="15" hidden="false" customHeight="false" outlineLevel="0" collapsed="false">
      <c r="A16" s="7" t="n">
        <v>10</v>
      </c>
      <c r="B16" s="12" t="s">
        <v>486</v>
      </c>
      <c r="C16" s="35" t="str">
        <f aca="false">IF(COUNTIFS('FC Calculation'!Q5:Q214,"&lt;&gt;0",'FC Calculation'!R5:R214,"")+COUNTIFS('LxI Assessment'!P5:P394,"&lt;&gt;0",'LxI Assessment'!Q5:Q394,"")=0,"OK","FAIL")</f>
        <v>OK</v>
      </c>
      <c r="D16" s="12" t="str">
        <f aca="false">"Every override needs a justification"</f>
        <v>Every override needs a justification</v>
      </c>
    </row>
    <row r="25" customFormat="false" ht="15" hidden="false" customHeight="false" outlineLevel="0" collapsed="false">
      <c r="A25" s="6" t="s">
        <v>487</v>
      </c>
    </row>
    <row r="26" customFormat="false" ht="30" hidden="false" customHeight="true" outlineLevel="0" collapsed="false">
      <c r="A26" s="5" t="s">
        <v>225</v>
      </c>
      <c r="B26" s="5" t="s">
        <v>300</v>
      </c>
      <c r="C26" s="5"/>
      <c r="D26" s="5"/>
      <c r="E26" s="5"/>
      <c r="F26" s="5" t="s">
        <v>87</v>
      </c>
      <c r="G26" s="5" t="s">
        <v>90</v>
      </c>
      <c r="H26" s="5" t="s">
        <v>92</v>
      </c>
      <c r="I26" s="5" t="s">
        <v>94</v>
      </c>
      <c r="J26" s="5" t="s">
        <v>96</v>
      </c>
    </row>
    <row r="27" customFormat="false" ht="15" hidden="false" customHeight="false" outlineLevel="0" collapsed="false">
      <c r="A27" s="12" t="s">
        <v>233</v>
      </c>
      <c r="B27" s="12" t="s">
        <v>234</v>
      </c>
      <c r="F27" s="31" t="n">
        <f aca="false">IF(AND('Factor Weights'!C5&gt;0,SUMPRODUCT((Indicators!$B$5:$B$35=F$26)*(Indicators!$K$5:$K$35&gt;0))=0),"Gap",SUMPRODUCT((Indicators!$B$5:$B$35=F$26)*(Indicators!$K$5:$K$35&gt;0)))</f>
        <v>6</v>
      </c>
      <c r="G27" s="31" t="n">
        <f aca="false">IF(AND('Factor Weights'!D5&gt;0,SUMPRODUCT((Indicators!$B$5:$B$35=G$26)*(Indicators!$K$5:$K$35&gt;0))=0),"Gap",SUMPRODUCT((Indicators!$B$5:$B$35=G$26)*(Indicators!$K$5:$K$35&gt;0)))</f>
        <v>6</v>
      </c>
      <c r="H27" s="31" t="n">
        <f aca="false">IF(AND('Factor Weights'!E5&gt;0,SUMPRODUCT((Indicators!$B$5:$B$35=H$26)*(Indicators!$K$5:$K$35&gt;0))=0),"Gap",SUMPRODUCT((Indicators!$B$5:$B$35=H$26)*(Indicators!$K$5:$K$35&gt;0)))</f>
        <v>6</v>
      </c>
      <c r="I27" s="31" t="n">
        <f aca="false">IF(AND('Factor Weights'!F5&gt;0,SUMPRODUCT((Indicators!$B$5:$B$35=I$26)*(Indicators!$K$5:$K$35&gt;0))=0),"Gap",SUMPRODUCT((Indicators!$B$5:$B$35=I$26)*(Indicators!$K$5:$K$35&gt;0)))</f>
        <v>4</v>
      </c>
      <c r="J27" s="31" t="n">
        <f aca="false">IF(AND('Factor Weights'!G5&gt;0,SUMPRODUCT((Indicators!$B$5:$B$35=J$26)*(Indicators!$K$5:$K$35&gt;0))=0),"Gap",SUMPRODUCT((Indicators!$B$5:$B$35=J$26)*(Indicators!$K$5:$K$35&gt;0)))</f>
        <v>5</v>
      </c>
    </row>
    <row r="28" customFormat="false" ht="15" hidden="false" customHeight="false" outlineLevel="0" collapsed="false">
      <c r="A28" s="12" t="s">
        <v>240</v>
      </c>
      <c r="B28" s="12" t="s">
        <v>241</v>
      </c>
      <c r="F28" s="31" t="n">
        <f aca="false">IF(AND('Factor Weights'!C6&gt;0,SUMPRODUCT((Indicators!$B$5:$B$35=F$26)*(Indicators!$L$5:$L$35&gt;0))=0),"Gap",SUMPRODUCT((Indicators!$B$5:$B$35=F$26)*(Indicators!$L$5:$L$35&gt;0)))</f>
        <v>6</v>
      </c>
      <c r="G28" s="31" t="n">
        <f aca="false">IF(AND('Factor Weights'!D6&gt;0,SUMPRODUCT((Indicators!$B$5:$B$35=G$26)*(Indicators!$L$5:$L$35&gt;0))=0),"Gap",SUMPRODUCT((Indicators!$B$5:$B$35=G$26)*(Indicators!$L$5:$L$35&gt;0)))</f>
        <v>4</v>
      </c>
      <c r="H28" s="31" t="n">
        <f aca="false">IF(AND('Factor Weights'!E6&gt;0,SUMPRODUCT((Indicators!$B$5:$B$35=H$26)*(Indicators!$L$5:$L$35&gt;0))=0),"Gap",SUMPRODUCT((Indicators!$B$5:$B$35=H$26)*(Indicators!$L$5:$L$35&gt;0)))</f>
        <v>4</v>
      </c>
      <c r="I28" s="31" t="n">
        <f aca="false">IF(AND('Factor Weights'!F6&gt;0,SUMPRODUCT((Indicators!$B$5:$B$35=I$26)*(Indicators!$L$5:$L$35&gt;0))=0),"Gap",SUMPRODUCT((Indicators!$B$5:$B$35=I$26)*(Indicators!$L$5:$L$35&gt;0)))</f>
        <v>4</v>
      </c>
      <c r="J28" s="31" t="n">
        <f aca="false">IF(AND('Factor Weights'!G6&gt;0,SUMPRODUCT((Indicators!$B$5:$B$35=J$26)*(Indicators!$L$5:$L$35&gt;0))=0),"Gap",SUMPRODUCT((Indicators!$B$5:$B$35=J$26)*(Indicators!$L$5:$L$35&gt;0)))</f>
        <v>4</v>
      </c>
    </row>
    <row r="29" customFormat="false" ht="15" hidden="false" customHeight="false" outlineLevel="0" collapsed="false">
      <c r="A29" s="12" t="s">
        <v>243</v>
      </c>
      <c r="B29" s="12" t="s">
        <v>244</v>
      </c>
      <c r="F29" s="31" t="n">
        <f aca="false">IF(AND('Factor Weights'!C7&gt;0,SUMPRODUCT((Indicators!$B$5:$B$35=F$26)*(Indicators!$M$5:$M$35&gt;0))=0),"Gap",SUMPRODUCT((Indicators!$B$5:$B$35=F$26)*(Indicators!$M$5:$M$35&gt;0)))</f>
        <v>3</v>
      </c>
      <c r="G29" s="31" t="n">
        <f aca="false">IF(AND('Factor Weights'!D7&gt;0,SUMPRODUCT((Indicators!$B$5:$B$35=G$26)*(Indicators!$M$5:$M$35&gt;0))=0),"Gap",SUMPRODUCT((Indicators!$B$5:$B$35=G$26)*(Indicators!$M$5:$M$35&gt;0)))</f>
        <v>4</v>
      </c>
      <c r="H29" s="31" t="n">
        <f aca="false">IF(AND('Factor Weights'!E7&gt;0,SUMPRODUCT((Indicators!$B$5:$B$35=H$26)*(Indicators!$M$5:$M$35&gt;0))=0),"Gap",SUMPRODUCT((Indicators!$B$5:$B$35=H$26)*(Indicators!$M$5:$M$35&gt;0)))</f>
        <v>4</v>
      </c>
      <c r="I29" s="31" t="n">
        <f aca="false">IF(AND('Factor Weights'!F7&gt;0,SUMPRODUCT((Indicators!$B$5:$B$35=I$26)*(Indicators!$M$5:$M$35&gt;0))=0),"Gap",SUMPRODUCT((Indicators!$B$5:$B$35=I$26)*(Indicators!$M$5:$M$35&gt;0)))</f>
        <v>2</v>
      </c>
      <c r="J29" s="31" t="n">
        <f aca="false">IF(AND('Factor Weights'!G7&gt;0,SUMPRODUCT((Indicators!$B$5:$B$35=J$26)*(Indicators!$M$5:$M$35&gt;0))=0),"Gap",SUMPRODUCT((Indicators!$B$5:$B$35=J$26)*(Indicators!$M$5:$M$35&gt;0)))</f>
        <v>2</v>
      </c>
    </row>
    <row r="30" customFormat="false" ht="15" hidden="false" customHeight="false" outlineLevel="0" collapsed="false">
      <c r="A30" s="12" t="s">
        <v>245</v>
      </c>
      <c r="B30" s="12" t="s">
        <v>246</v>
      </c>
      <c r="F30" s="31" t="n">
        <f aca="false">IF(AND('Factor Weights'!C8&gt;0,SUMPRODUCT((Indicators!$B$5:$B$35=F$26)*(Indicators!$N$5:$N$35&gt;0))=0),"Gap",SUMPRODUCT((Indicators!$B$5:$B$35=F$26)*(Indicators!$N$5:$N$35&gt;0)))</f>
        <v>5</v>
      </c>
      <c r="G30" s="31" t="n">
        <f aca="false">IF(AND('Factor Weights'!D8&gt;0,SUMPRODUCT((Indicators!$B$5:$B$35=G$26)*(Indicators!$N$5:$N$35&gt;0))=0),"Gap",SUMPRODUCT((Indicators!$B$5:$B$35=G$26)*(Indicators!$N$5:$N$35&gt;0)))</f>
        <v>4</v>
      </c>
      <c r="H30" s="31" t="n">
        <f aca="false">IF(AND('Factor Weights'!E8&gt;0,SUMPRODUCT((Indicators!$B$5:$B$35=H$26)*(Indicators!$N$5:$N$35&gt;0))=0),"Gap",SUMPRODUCT((Indicators!$B$5:$B$35=H$26)*(Indicators!$N$5:$N$35&gt;0)))</f>
        <v>5</v>
      </c>
      <c r="I30" s="31" t="n">
        <f aca="false">IF(AND('Factor Weights'!F8&gt;0,SUMPRODUCT((Indicators!$B$5:$B$35=I$26)*(Indicators!$N$5:$N$35&gt;0))=0),"Gap",SUMPRODUCT((Indicators!$B$5:$B$35=I$26)*(Indicators!$N$5:$N$35&gt;0)))</f>
        <v>2</v>
      </c>
      <c r="J30" s="31" t="n">
        <f aca="false">IF(AND('Factor Weights'!G8&gt;0,SUMPRODUCT((Indicators!$B$5:$B$35=J$26)*(Indicators!$N$5:$N$35&gt;0))=0),"Gap",SUMPRODUCT((Indicators!$B$5:$B$35=J$26)*(Indicators!$N$5:$N$35&gt;0)))</f>
        <v>2</v>
      </c>
    </row>
    <row r="31" customFormat="false" ht="15" hidden="false" customHeight="false" outlineLevel="0" collapsed="false">
      <c r="A31" s="12" t="s">
        <v>248</v>
      </c>
      <c r="B31" s="12" t="s">
        <v>249</v>
      </c>
      <c r="F31" s="31" t="n">
        <f aca="false">IF(AND('Factor Weights'!C9&gt;0,SUMPRODUCT((Indicators!$B$5:$B$35=F$26)*(Indicators!$O$5:$O$35&gt;0))=0),"Gap",SUMPRODUCT((Indicators!$B$5:$B$35=F$26)*(Indicators!$O$5:$O$35&gt;0)))</f>
        <v>5</v>
      </c>
      <c r="G31" s="31" t="n">
        <f aca="false">IF(AND('Factor Weights'!D9&gt;0,SUMPRODUCT((Indicators!$B$5:$B$35=G$26)*(Indicators!$O$5:$O$35&gt;0))=0),"Gap",SUMPRODUCT((Indicators!$B$5:$B$35=G$26)*(Indicators!$O$5:$O$35&gt;0)))</f>
        <v>3</v>
      </c>
      <c r="H31" s="31" t="n">
        <f aca="false">IF(AND('Factor Weights'!E9&gt;0,SUMPRODUCT((Indicators!$B$5:$B$35=H$26)*(Indicators!$O$5:$O$35&gt;0))=0),"Gap",SUMPRODUCT((Indicators!$B$5:$B$35=H$26)*(Indicators!$O$5:$O$35&gt;0)))</f>
        <v>2</v>
      </c>
      <c r="I31" s="31" t="n">
        <f aca="false">IF(AND('Factor Weights'!F9&gt;0,SUMPRODUCT((Indicators!$B$5:$B$35=I$26)*(Indicators!$O$5:$O$35&gt;0))=0),"Gap",SUMPRODUCT((Indicators!$B$5:$B$35=I$26)*(Indicators!$O$5:$O$35&gt;0)))</f>
        <v>2</v>
      </c>
      <c r="J31" s="31" t="n">
        <f aca="false">IF(AND('Factor Weights'!G9&gt;0,SUMPRODUCT((Indicators!$B$5:$B$35=J$26)*(Indicators!$O$5:$O$35&gt;0))=0),"Gap",SUMPRODUCT((Indicators!$B$5:$B$35=J$26)*(Indicators!$O$5:$O$35&gt;0)))</f>
        <v>1</v>
      </c>
    </row>
    <row r="32" customFormat="false" ht="15" hidden="false" customHeight="false" outlineLevel="0" collapsed="false">
      <c r="A32" s="12" t="s">
        <v>251</v>
      </c>
      <c r="B32" s="12" t="s">
        <v>252</v>
      </c>
      <c r="F32" s="31" t="n">
        <f aca="false">IF(AND('Factor Weights'!C10&gt;0,SUMPRODUCT((Indicators!$B$5:$B$35=F$26)*(Indicators!$P$5:$P$35&gt;0))=0),"Gap",SUMPRODUCT((Indicators!$B$5:$B$35=F$26)*(Indicators!$P$5:$P$35&gt;0)))</f>
        <v>3</v>
      </c>
      <c r="G32" s="31" t="n">
        <f aca="false">IF(AND('Factor Weights'!D10&gt;0,SUMPRODUCT((Indicators!$B$5:$B$35=G$26)*(Indicators!$P$5:$P$35&gt;0))=0),"Gap",SUMPRODUCT((Indicators!$B$5:$B$35=G$26)*(Indicators!$P$5:$P$35&gt;0)))</f>
        <v>4</v>
      </c>
      <c r="H32" s="31" t="n">
        <f aca="false">IF(AND('Factor Weights'!E10&gt;0,SUMPRODUCT((Indicators!$B$5:$B$35=H$26)*(Indicators!$P$5:$P$35&gt;0))=0),"Gap",SUMPRODUCT((Indicators!$B$5:$B$35=H$26)*(Indicators!$P$5:$P$35&gt;0)))</f>
        <v>3</v>
      </c>
      <c r="I32" s="31" t="n">
        <f aca="false">IF(AND('Factor Weights'!F10&gt;0,SUMPRODUCT((Indicators!$B$5:$B$35=I$26)*(Indicators!$P$5:$P$35&gt;0))=0),"Gap",SUMPRODUCT((Indicators!$B$5:$B$35=I$26)*(Indicators!$P$5:$P$35&gt;0)))</f>
        <v>4</v>
      </c>
      <c r="J32" s="31" t="n">
        <f aca="false">IF(AND('Factor Weights'!G10&gt;0,SUMPRODUCT((Indicators!$B$5:$B$35=J$26)*(Indicators!$P$5:$P$35&gt;0))=0),"Gap",SUMPRODUCT((Indicators!$B$5:$B$35=J$26)*(Indicators!$P$5:$P$35&gt;0)))</f>
        <v>3</v>
      </c>
    </row>
    <row r="33" customFormat="false" ht="15" hidden="false" customHeight="false" outlineLevel="0" collapsed="false">
      <c r="A33" s="12" t="s">
        <v>254</v>
      </c>
      <c r="B33" s="12" t="s">
        <v>255</v>
      </c>
      <c r="F33" s="31" t="n">
        <f aca="false">IF(AND('Factor Weights'!C11&gt;0,SUMPRODUCT((Indicators!$B$5:$B$35=F$26)*(Indicators!$Q$5:$Q$35&gt;0))=0),"Gap",SUMPRODUCT((Indicators!$B$5:$B$35=F$26)*(Indicators!$Q$5:$Q$35&gt;0)))</f>
        <v>5</v>
      </c>
      <c r="G33" s="31" t="n">
        <f aca="false">IF(AND('Factor Weights'!D11&gt;0,SUMPRODUCT((Indicators!$B$5:$B$35=G$26)*(Indicators!$Q$5:$Q$35&gt;0))=0),"Gap",SUMPRODUCT((Indicators!$B$5:$B$35=G$26)*(Indicators!$Q$5:$Q$35&gt;0)))</f>
        <v>4</v>
      </c>
      <c r="H33" s="31" t="n">
        <f aca="false">IF(AND('Factor Weights'!E11&gt;0,SUMPRODUCT((Indicators!$B$5:$B$35=H$26)*(Indicators!$Q$5:$Q$35&gt;0))=0),"Gap",SUMPRODUCT((Indicators!$B$5:$B$35=H$26)*(Indicators!$Q$5:$Q$35&gt;0)))</f>
        <v>3</v>
      </c>
      <c r="I33" s="31" t="n">
        <f aca="false">IF(AND('Factor Weights'!F11&gt;0,SUMPRODUCT((Indicators!$B$5:$B$35=I$26)*(Indicators!$Q$5:$Q$35&gt;0))=0),"Gap",SUMPRODUCT((Indicators!$B$5:$B$35=I$26)*(Indicators!$Q$5:$Q$35&gt;0)))</f>
        <v>2</v>
      </c>
      <c r="J33" s="31" t="n">
        <f aca="false">IF(AND('Factor Weights'!G11&gt;0,SUMPRODUCT((Indicators!$B$5:$B$35=J$26)*(Indicators!$Q$5:$Q$35&gt;0))=0),"Gap",SUMPRODUCT((Indicators!$B$5:$B$35=J$26)*(Indicators!$Q$5:$Q$35&gt;0)))</f>
        <v>3</v>
      </c>
    </row>
  </sheetData>
  <conditionalFormatting sqref="C4:C17">
    <cfRule type="expression" priority="2" aboveAverage="0" equalAverage="0" bottom="0" percent="0" rank="0" text="" dxfId="4">
      <formula>LEFT(C4,4)="FAIL"</formula>
    </cfRule>
    <cfRule type="expression" priority="3" aboveAverage="0" equalAverage="0" bottom="0" percent="0" rank="0" text="" dxfId="2">
      <formula>LEFT(C4,4)="WARN"</formula>
    </cfRule>
    <cfRule type="expression" priority="4" aboveAverage="0" equalAverage="0" bottom="0" percent="0" rank="0" text="" dxfId="1">
      <formula>LEFT(C4,2)="OK"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2026-10-24T10:09:58Z</dcterms:created>
  <dc:creator>openpyxl</dc:creator>
  <dc:description/>
  <dc:language>en-US</dc:language>
  <cp:lastModifiedBy/>
  <dcterms:modified xsi:type="dcterms:W3CDTF">2026-10-24T13:10:04Z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